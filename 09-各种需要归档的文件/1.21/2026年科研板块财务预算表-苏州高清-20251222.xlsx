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941" activeTab="8"/>
  </bookViews>
  <sheets>
    <sheet name="预算规则" sheetId="4" r:id="rId1"/>
    <sheet name="利润表" sheetId="2" r:id="rId2"/>
    <sheet name="现金流量表" sheetId="3" r:id="rId3"/>
    <sheet name="收入及成本" sheetId="26" r:id="rId4"/>
    <sheet name="产品成本" sheetId="8" r:id="rId5"/>
    <sheet name="其他收入及支出" sheetId="9" r:id="rId6"/>
    <sheet name="费用预算" sheetId="35" r:id="rId7"/>
    <sheet name="资产预算" sheetId="25" r:id="rId8"/>
    <sheet name="研发预算" sheetId="18" r:id="rId9"/>
    <sheet name="附件1.1费用预算（管理）" sheetId="13" r:id="rId10"/>
    <sheet name="附件1.2费用预算（销售）" sheetId="32" r:id="rId11"/>
    <sheet name="市场推广预算" sheetId="27" r:id="rId12"/>
    <sheet name="附件3（公共费用分摊表）" sheetId="30" r:id="rId13"/>
    <sheet name="附件2（人员预算)" sheetId="29" r:id="rId14"/>
    <sheet name="附件4（财务费用明细）" sheetId="33" r:id="rId15"/>
    <sheet name="附件5（其他收益明细）" sheetId="3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P24" authorId="0">
      <text>
        <r>
          <rPr>
            <sz val="9"/>
            <rFont val="宋体"/>
            <charset val="134"/>
          </rPr>
          <t>年度审计，中智服务</t>
        </r>
      </text>
    </comment>
    <comment ref="R24" authorId="0">
      <text>
        <r>
          <rPr>
            <sz val="9"/>
            <rFont val="宋体"/>
            <charset val="134"/>
          </rPr>
          <t>专利代理费</t>
        </r>
      </text>
    </comment>
  </commentList>
</comments>
</file>

<file path=xl/sharedStrings.xml><?xml version="1.0" encoding="utf-8"?>
<sst xmlns="http://schemas.openxmlformats.org/spreadsheetml/2006/main" count="1039" uniqueCount="459">
  <si>
    <t>预算项目</t>
  </si>
  <si>
    <t>科研公司</t>
  </si>
  <si>
    <t>公共项目</t>
  </si>
  <si>
    <t>科目分配规则</t>
  </si>
  <si>
    <t>项目分配规则</t>
  </si>
  <si>
    <t>责任中心</t>
  </si>
  <si>
    <t>部门</t>
  </si>
  <si>
    <t>房屋租赁</t>
  </si>
  <si>
    <t>使用面积</t>
  </si>
  <si>
    <t>人员工时</t>
  </si>
  <si>
    <t>收入预算</t>
  </si>
  <si>
    <t>固定资产折旧</t>
  </si>
  <si>
    <t>使用部门</t>
  </si>
  <si>
    <t>设备工时</t>
  </si>
  <si>
    <t>成本</t>
  </si>
  <si>
    <t>实际生产成本</t>
  </si>
  <si>
    <t>人员人工</t>
  </si>
  <si>
    <t>人力成本</t>
  </si>
  <si>
    <t>人均产值</t>
  </si>
  <si>
    <t>无形资产摊销</t>
  </si>
  <si>
    <t>变动费用</t>
  </si>
  <si>
    <t>装修摊销</t>
  </si>
  <si>
    <t>市交</t>
  </si>
  <si>
    <t>动力费（电费）</t>
  </si>
  <si>
    <t>差旅</t>
  </si>
  <si>
    <t>按实际情况编制预算</t>
  </si>
  <si>
    <t>办公</t>
  </si>
  <si>
    <t>500元/人.年（日常办公用品）；新增人员1000元/人（显示器）</t>
  </si>
  <si>
    <t>福利费</t>
  </si>
  <si>
    <t>餐费（含茶点）100元/人.月；</t>
  </si>
  <si>
    <t>预算编制记要：
1、收入按第三方，关联方分列；
2、高清的关联结算费用正常做预算；
3、其他收益（政府补贴）以净额法填列
 4、按法人公司归集人员费（深圳包含人力资源和财务人员）@所有人 
 5、关联方借款利息单独填列 
6、目前无息借款25年按3.1%利率计算关联利息 
7、研发预计立项费用单独一个表格，不包含在利润表，现流表内</t>
  </si>
  <si>
    <t>通讯费</t>
  </si>
  <si>
    <t>市场推广费</t>
  </si>
  <si>
    <t>业务招待费</t>
  </si>
  <si>
    <t>其他</t>
  </si>
  <si>
    <t>根据实际业务需要预算</t>
  </si>
  <si>
    <t>固定费用</t>
  </si>
  <si>
    <t>折旧与摊销</t>
  </si>
  <si>
    <t>财务部</t>
  </si>
  <si>
    <t>公共费用</t>
  </si>
  <si>
    <t>内部会议费</t>
  </si>
  <si>
    <t>2000元/人.年</t>
  </si>
  <si>
    <t>利润预算表</t>
  </si>
  <si>
    <t>单位：万元</t>
  </si>
  <si>
    <t>项目</t>
  </si>
  <si>
    <t>FY2025
（截至2025.11）</t>
  </si>
  <si>
    <t>Q1</t>
  </si>
  <si>
    <t>Q2</t>
  </si>
  <si>
    <t>Q3</t>
  </si>
  <si>
    <t>Q4</t>
  </si>
  <si>
    <t>FY2026</t>
  </si>
  <si>
    <t>26/25</t>
  </si>
  <si>
    <t xml:space="preserve"> 营业收入</t>
  </si>
  <si>
    <t>其中: 关联方销售</t>
  </si>
  <si>
    <t xml:space="preserve">         第三方销售</t>
  </si>
  <si>
    <t xml:space="preserve"> 营业成本</t>
  </si>
  <si>
    <t>毛利润</t>
  </si>
  <si>
    <t xml:space="preserve">       税金及附加</t>
  </si>
  <si>
    <t xml:space="preserve">       销售费用</t>
  </si>
  <si>
    <t>其中: 技术人员成本</t>
  </si>
  <si>
    <t xml:space="preserve">        运杂费</t>
  </si>
  <si>
    <t xml:space="preserve">       管理费用</t>
  </si>
  <si>
    <t xml:space="preserve">       研发费用</t>
  </si>
  <si>
    <t xml:space="preserve">       财务费用</t>
  </si>
  <si>
    <t xml:space="preserve">       其中: 利息费用</t>
  </si>
  <si>
    <t xml:space="preserve">                 手续费</t>
  </si>
  <si>
    <t xml:space="preserve">                 利息收入</t>
  </si>
  <si>
    <t xml:space="preserve">                 汇兑损益</t>
  </si>
  <si>
    <t xml:space="preserve">                 租赁利息调整</t>
  </si>
  <si>
    <t xml:space="preserve"> 加：其他收益</t>
  </si>
  <si>
    <t xml:space="preserve">      信用减值损失</t>
  </si>
  <si>
    <t xml:space="preserve">      资产减值损失</t>
  </si>
  <si>
    <t xml:space="preserve"> 营业利润（亏损以“-”号填列）</t>
  </si>
  <si>
    <t xml:space="preserve">  减：所得税费用</t>
  </si>
  <si>
    <t xml:space="preserve"> 净利润（净亏损以“-”号填列）</t>
  </si>
  <si>
    <t>主要比率</t>
  </si>
  <si>
    <t>毛利率</t>
  </si>
  <si>
    <t>净利润率</t>
  </si>
  <si>
    <t>销售费用率</t>
  </si>
  <si>
    <t>管理费用率</t>
  </si>
  <si>
    <t>研发费用率</t>
  </si>
  <si>
    <t>所得税率</t>
  </si>
  <si>
    <t>现金流预算表</t>
  </si>
  <si>
    <t>项     目</t>
  </si>
  <si>
    <t xml:space="preserve">1.经营活动产生的现金流量 </t>
  </si>
  <si>
    <t xml:space="preserve">    销售商品、提供劳务收到的现金 </t>
  </si>
  <si>
    <t xml:space="preserve">    收到的税费返还 </t>
  </si>
  <si>
    <t xml:space="preserve">    收到其他与经营活动有关的现金 </t>
  </si>
  <si>
    <t xml:space="preserve">      经营活动现金流入小计 </t>
  </si>
  <si>
    <t xml:space="preserve">    购买商品、接受劳务支付的现金 </t>
  </si>
  <si>
    <t xml:space="preserve">    支付给职工以及为职工支付的现金 </t>
  </si>
  <si>
    <t xml:space="preserve">    支付的各项税费 </t>
  </si>
  <si>
    <t>核对</t>
  </si>
  <si>
    <t xml:space="preserve">    支付其他与经营活动有关的现金 </t>
  </si>
  <si>
    <t>利润</t>
  </si>
  <si>
    <t>经营现流</t>
  </si>
  <si>
    <t xml:space="preserve">      经营活动现金流出小计 </t>
  </si>
  <si>
    <t>摊销</t>
  </si>
  <si>
    <t>租赁现流</t>
  </si>
  <si>
    <t xml:space="preserve">        经营活动产生的现金流量净额  </t>
  </si>
  <si>
    <t>汇兑</t>
  </si>
  <si>
    <t>注册</t>
  </si>
  <si>
    <t xml:space="preserve">2.投资活动产生的现金流量 </t>
  </si>
  <si>
    <t>销项税</t>
  </si>
  <si>
    <t xml:space="preserve">    收回投资收到的现金 </t>
  </si>
  <si>
    <t>信用减值</t>
  </si>
  <si>
    <t>进项税</t>
  </si>
  <si>
    <t xml:space="preserve">    取得投资收益收到的现金 </t>
  </si>
  <si>
    <t>租赁差</t>
  </si>
  <si>
    <t>利息费用</t>
  </si>
  <si>
    <t xml:space="preserve">    处置固定资产、无形资产和其他长期资产收回的现金净额 </t>
  </si>
  <si>
    <t>租赁税</t>
  </si>
  <si>
    <t xml:space="preserve">    处置子公司及其他营业单位收到的现金净额 </t>
  </si>
  <si>
    <t>调整后</t>
  </si>
  <si>
    <t xml:space="preserve">    收到其他与投资活动有关的现金 </t>
  </si>
  <si>
    <t xml:space="preserve">      投资活动现金流入小计 </t>
  </si>
  <si>
    <t xml:space="preserve">    购建固定资产、无形资产和其他长期资产支付的现金 </t>
  </si>
  <si>
    <t xml:space="preserve">    投资支付的现金</t>
  </si>
  <si>
    <t xml:space="preserve">    取得子公司及其他营业单位支付的现金净额 </t>
  </si>
  <si>
    <t xml:space="preserve">    支付其他与投资活动有关的现金  </t>
  </si>
  <si>
    <t xml:space="preserve">      投资活动现金流出小计 </t>
  </si>
  <si>
    <t xml:space="preserve">        投资活动产生的现金流量净额 </t>
  </si>
  <si>
    <t xml:space="preserve">3.筹资活动产生的现金流量 </t>
  </si>
  <si>
    <t xml:space="preserve">    吸收投资收到的现金 </t>
  </si>
  <si>
    <t xml:space="preserve">          其中：子公司吸收少数股东投资收到的现金</t>
  </si>
  <si>
    <t xml:space="preserve">    取得借款收到的现金 </t>
  </si>
  <si>
    <t xml:space="preserve">    收到其他与筹资活动有关的现金 </t>
  </si>
  <si>
    <t xml:space="preserve">      筹资活动现金流入小计 </t>
  </si>
  <si>
    <t>预计现金流缺口</t>
  </si>
  <si>
    <t xml:space="preserve">    偿还债务支付的现金 </t>
  </si>
  <si>
    <t>银行借款</t>
  </si>
  <si>
    <t xml:space="preserve">    分配股利、利润或偿付利息支付的现金 </t>
  </si>
  <si>
    <t>剩余借款额度</t>
  </si>
  <si>
    <t xml:space="preserve">          其中：子公司支付给少数股东的股利、利润</t>
  </si>
  <si>
    <t>新签协议预计使用资金</t>
  </si>
  <si>
    <t xml:space="preserve">    支付其他与筹资活动有关的现金 </t>
  </si>
  <si>
    <t xml:space="preserve">      筹资活动现金流出小计 </t>
  </si>
  <si>
    <t xml:space="preserve">        筹资活动产生的现金流量净额 </t>
  </si>
  <si>
    <t xml:space="preserve">4.汇率变动对现金及现金等价物的影响 </t>
  </si>
  <si>
    <t xml:space="preserve">5.现金及现金等价物净增加额 </t>
  </si>
  <si>
    <t xml:space="preserve">    加：期初现金及现金等价物余额 </t>
  </si>
  <si>
    <t xml:space="preserve">6.期末现金及现金等价物余额 </t>
  </si>
  <si>
    <t>收入及成本预算表</t>
  </si>
  <si>
    <t>产品线</t>
  </si>
  <si>
    <t>收入金额</t>
  </si>
  <si>
    <t>成本金额</t>
  </si>
  <si>
    <t>FY2026毛利率</t>
  </si>
  <si>
    <t xml:space="preserve">分类 </t>
  </si>
  <si>
    <t>FY2025毛利率</t>
  </si>
  <si>
    <t>RGP</t>
  </si>
  <si>
    <t>第三方</t>
  </si>
  <si>
    <t>离焦镜片</t>
  </si>
  <si>
    <t>其他服务</t>
  </si>
  <si>
    <t>合计</t>
  </si>
  <si>
    <t>产品名称</t>
  </si>
  <si>
    <t>产品型号</t>
  </si>
  <si>
    <t>销售单价</t>
  </si>
  <si>
    <t>销售数量</t>
  </si>
  <si>
    <t>销售收入金额</t>
  </si>
  <si>
    <t>小计</t>
  </si>
  <si>
    <r>
      <rPr>
        <b/>
        <sz val="11"/>
        <color rgb="FF000000"/>
        <rFont val="微软雅黑"/>
        <charset val="134"/>
      </rPr>
      <t>产品成本预算表</t>
    </r>
  </si>
  <si>
    <r>
      <rPr>
        <b/>
        <sz val="9"/>
        <color rgb="FF000000"/>
        <rFont val="微软雅黑"/>
        <charset val="134"/>
      </rPr>
      <t>产品名称</t>
    </r>
  </si>
  <si>
    <r>
      <rPr>
        <b/>
        <sz val="9"/>
        <color rgb="FF000000"/>
        <rFont val="微软雅黑"/>
        <charset val="134"/>
      </rPr>
      <t>总产量</t>
    </r>
  </si>
  <si>
    <r>
      <rPr>
        <b/>
        <sz val="9"/>
        <color rgb="FF000000"/>
        <rFont val="微软雅黑"/>
        <charset val="134"/>
      </rPr>
      <t>成本总计</t>
    </r>
  </si>
  <si>
    <t>标准单位成本</t>
  </si>
  <si>
    <t>单位成本预算</t>
  </si>
  <si>
    <r>
      <rPr>
        <b/>
        <sz val="9"/>
        <color rgb="FF000000"/>
        <rFont val="微软雅黑"/>
        <charset val="134"/>
      </rPr>
      <t>Q1</t>
    </r>
  </si>
  <si>
    <r>
      <rPr>
        <b/>
        <sz val="9"/>
        <color rgb="FF000000"/>
        <rFont val="微软雅黑"/>
        <charset val="134"/>
      </rPr>
      <t>Q2</t>
    </r>
  </si>
  <si>
    <r>
      <rPr>
        <b/>
        <sz val="9"/>
        <color rgb="FF000000"/>
        <rFont val="微软雅黑"/>
        <charset val="134"/>
      </rPr>
      <t>Q3</t>
    </r>
  </si>
  <si>
    <r>
      <rPr>
        <b/>
        <sz val="9"/>
        <color rgb="FF000000"/>
        <rFont val="微软雅黑"/>
        <charset val="134"/>
      </rPr>
      <t>Q4</t>
    </r>
  </si>
  <si>
    <t>单位成本</t>
  </si>
  <si>
    <r>
      <rPr>
        <b/>
        <sz val="9"/>
        <color rgb="FF000000"/>
        <rFont val="微软雅黑"/>
        <charset val="134"/>
      </rPr>
      <t>产量</t>
    </r>
  </si>
  <si>
    <r>
      <rPr>
        <b/>
        <sz val="9"/>
        <color rgb="FF000000"/>
        <rFont val="微软雅黑"/>
        <charset val="134"/>
      </rPr>
      <t>材料成本</t>
    </r>
  </si>
  <si>
    <r>
      <rPr>
        <b/>
        <sz val="9"/>
        <color rgb="FF000000"/>
        <rFont val="微软雅黑"/>
        <charset val="134"/>
      </rPr>
      <t>人工成本</t>
    </r>
  </si>
  <si>
    <r>
      <rPr>
        <b/>
        <sz val="9"/>
        <color rgb="FF000000"/>
        <rFont val="微软雅黑"/>
        <charset val="134"/>
      </rPr>
      <t>制造费用</t>
    </r>
  </si>
  <si>
    <r>
      <rPr>
        <b/>
        <sz val="9"/>
        <color rgb="FF000000"/>
        <rFont val="微软雅黑"/>
        <charset val="134"/>
      </rPr>
      <t>合计</t>
    </r>
  </si>
  <si>
    <t>直接材料</t>
  </si>
  <si>
    <t>直接人工</t>
  </si>
  <si>
    <t>制造费用</t>
  </si>
  <si>
    <r>
      <rPr>
        <b/>
        <sz val="9"/>
        <color rgb="FF000000"/>
        <rFont val="微软雅黑"/>
        <charset val="134"/>
      </rPr>
      <t>总计</t>
    </r>
  </si>
  <si>
    <t>制造费用预算表（生产管理人员，QC)</t>
  </si>
  <si>
    <r>
      <rPr>
        <b/>
        <sz val="8"/>
        <color rgb="FF000000"/>
        <rFont val="微软雅黑"/>
        <charset val="134"/>
      </rPr>
      <t>费用分类</t>
    </r>
  </si>
  <si>
    <r>
      <rPr>
        <b/>
        <sz val="8"/>
        <color rgb="FF000000"/>
        <rFont val="微软雅黑"/>
        <charset val="134"/>
      </rPr>
      <t>Q1</t>
    </r>
  </si>
  <si>
    <r>
      <rPr>
        <b/>
        <sz val="8"/>
        <color rgb="FF000000"/>
        <rFont val="微软雅黑"/>
        <charset val="134"/>
      </rPr>
      <t>Q2</t>
    </r>
  </si>
  <si>
    <r>
      <rPr>
        <b/>
        <sz val="8"/>
        <color rgb="FF000000"/>
        <rFont val="微软雅黑"/>
        <charset val="134"/>
      </rPr>
      <t>Q3</t>
    </r>
  </si>
  <si>
    <r>
      <rPr>
        <b/>
        <sz val="8"/>
        <color rgb="FF000000"/>
        <rFont val="微软雅黑"/>
        <charset val="134"/>
      </rPr>
      <t>Q4</t>
    </r>
  </si>
  <si>
    <r>
      <rPr>
        <b/>
        <sz val="8"/>
        <color rgb="FF000000"/>
        <rFont val="微软雅黑"/>
        <charset val="134"/>
      </rPr>
      <t>备注</t>
    </r>
  </si>
  <si>
    <t>折旧</t>
  </si>
  <si>
    <t xml:space="preserve">购买商品、接受劳务支付的现金 </t>
  </si>
  <si>
    <t>水电费</t>
  </si>
  <si>
    <t xml:space="preserve">支付给职工以及为职工支付的现金 </t>
  </si>
  <si>
    <t>加工费</t>
  </si>
  <si>
    <t xml:space="preserve">支付其他与经营活动有关的现金 </t>
  </si>
  <si>
    <t>维修检测费</t>
  </si>
  <si>
    <t xml:space="preserve">支付其他与筹资活动有关的现金 </t>
  </si>
  <si>
    <t>办公费</t>
  </si>
  <si>
    <t>市内交通费</t>
  </si>
  <si>
    <t>差旅费</t>
  </si>
  <si>
    <t>物料消耗</t>
  </si>
  <si>
    <t>物业费</t>
  </si>
  <si>
    <t>运杂费</t>
  </si>
  <si>
    <t>摊销费-无形资产</t>
  </si>
  <si>
    <t>摊销费-其他摊销</t>
  </si>
  <si>
    <t>环保费</t>
  </si>
  <si>
    <t>使用权资产折旧</t>
  </si>
  <si>
    <t>总计</t>
  </si>
  <si>
    <t>其他收入及支出预算表</t>
  </si>
  <si>
    <t>FY2025</t>
  </si>
  <si>
    <t>信用减值损失</t>
  </si>
  <si>
    <t>资产减值损失</t>
  </si>
  <si>
    <t>公允价值变动损益</t>
  </si>
  <si>
    <t>资产处置收益</t>
  </si>
  <si>
    <t>其他收益</t>
  </si>
  <si>
    <t>其中：退税</t>
  </si>
  <si>
    <t xml:space="preserve">           政府补贴</t>
  </si>
  <si>
    <t>营业外收入</t>
  </si>
  <si>
    <t>营业外支出</t>
  </si>
  <si>
    <t>政府补助，按照应取得的分项列示，标注可取得的概率、金额和时间，对于和费用联动的补助，按净额法放此列</t>
  </si>
  <si>
    <t>明细项目</t>
  </si>
  <si>
    <t>计划取得日期</t>
  </si>
  <si>
    <t>可取得概率</t>
  </si>
  <si>
    <t>收益金额</t>
  </si>
  <si>
    <t>费用金额</t>
  </si>
  <si>
    <t>净额</t>
  </si>
  <si>
    <t xml:space="preserve"> 收到的税费返还 </t>
  </si>
  <si>
    <t xml:space="preserve"> 收到其他与经营活动有关的现金 </t>
  </si>
  <si>
    <t xml:space="preserve"> 支付其他与经营活动有关的现金 </t>
  </si>
  <si>
    <t>费用预算表</t>
  </si>
  <si>
    <t xml:space="preserve">单位：万元 </t>
  </si>
  <si>
    <t>费用分类</t>
  </si>
  <si>
    <t>备注</t>
  </si>
  <si>
    <t>人年数</t>
  </si>
  <si>
    <t>费用总计</t>
  </si>
  <si>
    <t>总部费用分摊合计</t>
  </si>
  <si>
    <t>期间费用合计</t>
  </si>
  <si>
    <t>其中：人员费用合计</t>
  </si>
  <si>
    <t>公共费用合计</t>
  </si>
  <si>
    <t>日常费用合计</t>
  </si>
  <si>
    <t>专项费用合计</t>
  </si>
  <si>
    <t xml:space="preserve">日常费用 </t>
  </si>
  <si>
    <t>境内差旅费</t>
  </si>
  <si>
    <t>福利费（餐费）</t>
  </si>
  <si>
    <t>境外差旅费</t>
  </si>
  <si>
    <t>会议费</t>
  </si>
  <si>
    <t>中标服务费</t>
  </si>
  <si>
    <t>样机费</t>
  </si>
  <si>
    <t>管理专项费用</t>
  </si>
  <si>
    <t>培训费</t>
  </si>
  <si>
    <t>咨询服务费</t>
  </si>
  <si>
    <t>劳务费（管理）</t>
  </si>
  <si>
    <t>市场专项费用</t>
  </si>
  <si>
    <t>广告费</t>
  </si>
  <si>
    <t>劳务费（市场）</t>
  </si>
  <si>
    <t>客户培训费</t>
  </si>
  <si>
    <t>注册费</t>
  </si>
  <si>
    <t>研究费用</t>
  </si>
  <si>
    <t>其他专项</t>
  </si>
  <si>
    <t>存货损失</t>
  </si>
  <si>
    <t>税费</t>
  </si>
  <si>
    <t>售后维修费</t>
  </si>
  <si>
    <t>租赁费</t>
  </si>
  <si>
    <t>水电物业费</t>
  </si>
  <si>
    <t>折旧费</t>
  </si>
  <si>
    <t>装修费摊销</t>
  </si>
  <si>
    <t>车辆费</t>
  </si>
  <si>
    <t>财产保险</t>
  </si>
  <si>
    <t>综合支持服务费</t>
  </si>
  <si>
    <t>人员费用</t>
  </si>
  <si>
    <t>工资</t>
  </si>
  <si>
    <t>人力统一提供</t>
  </si>
  <si>
    <t>奖金</t>
  </si>
  <si>
    <t>提成</t>
  </si>
  <si>
    <t>福利费（其他福利）</t>
  </si>
  <si>
    <t>社保费</t>
  </si>
  <si>
    <t>住房公积金</t>
  </si>
  <si>
    <t>残疾人保障金</t>
  </si>
  <si>
    <t>固定&amp;无形资产预算表</t>
  </si>
  <si>
    <t>序号</t>
  </si>
  <si>
    <t>资产名称</t>
  </si>
  <si>
    <t>项目名称</t>
  </si>
  <si>
    <t>资产用途</t>
  </si>
  <si>
    <t>计划采购日期</t>
  </si>
  <si>
    <t>计划到货日期</t>
  </si>
  <si>
    <t>数量</t>
  </si>
  <si>
    <t>单价</t>
  </si>
  <si>
    <t>预算金额</t>
  </si>
  <si>
    <t>办公类</t>
  </si>
  <si>
    <t>生产设备</t>
  </si>
  <si>
    <t>苏州高清-研发部</t>
  </si>
  <si>
    <t>RD1202</t>
  </si>
  <si>
    <t>苏州高清-采购部</t>
  </si>
  <si>
    <t>RD1204</t>
  </si>
  <si>
    <t>苏州高清-生产部</t>
  </si>
  <si>
    <t>RD1205</t>
  </si>
  <si>
    <t>苏州高清-市场部</t>
  </si>
  <si>
    <t>RD1206</t>
  </si>
  <si>
    <t>苏州高清-销售部</t>
  </si>
  <si>
    <t>无形资产</t>
  </si>
  <si>
    <t>苏州高清-质量管理部</t>
  </si>
  <si>
    <t>苏州高清-注册部</t>
  </si>
  <si>
    <t>苏州高清-总经办</t>
  </si>
  <si>
    <t>其他长期资产预算表</t>
  </si>
  <si>
    <t>项目编码</t>
  </si>
  <si>
    <t xml:space="preserve">购建固定资产、无形资产和其他长期资产支付的现金 </t>
  </si>
  <si>
    <r>
      <rPr>
        <b/>
        <sz val="11"/>
        <color rgb="FF000000"/>
        <rFont val="微软雅黑"/>
        <charset val="134"/>
      </rPr>
      <t>研发项目预算表</t>
    </r>
  </si>
  <si>
    <r>
      <rPr>
        <b/>
        <sz val="9"/>
        <color rgb="FF000000"/>
        <rFont val="微软雅黑"/>
        <charset val="134"/>
      </rPr>
      <t>单位：万元</t>
    </r>
  </si>
  <si>
    <t>分类</t>
  </si>
  <si>
    <t>资金支出总计</t>
  </si>
  <si>
    <t>费用化总计</t>
  </si>
  <si>
    <t>资本化总计</t>
  </si>
  <si>
    <t>材料</t>
  </si>
  <si>
    <t>子项目</t>
  </si>
  <si>
    <t>动力费</t>
  </si>
  <si>
    <t>试验费</t>
  </si>
  <si>
    <t>测试购置费</t>
  </si>
  <si>
    <t>检验费</t>
  </si>
  <si>
    <t>设备租赁费</t>
  </si>
  <si>
    <t>汇总</t>
  </si>
  <si>
    <t>设备运维费</t>
  </si>
  <si>
    <t>固定资产</t>
  </si>
  <si>
    <t>折旧费用</t>
  </si>
  <si>
    <t>设计费</t>
  </si>
  <si>
    <t>厂房建设</t>
  </si>
  <si>
    <t>其他摊销</t>
  </si>
  <si>
    <t>其他费用</t>
  </si>
  <si>
    <t>委托研发</t>
  </si>
  <si>
    <t>临床试验费</t>
  </si>
  <si>
    <t>临床人员人工</t>
  </si>
  <si>
    <t>临床材料费</t>
  </si>
  <si>
    <t>项目工时分配表</t>
  </si>
  <si>
    <t>项目简称</t>
  </si>
  <si>
    <t>角膜塑形镜OK7</t>
  </si>
  <si>
    <t>多焦软镜（国内自研）</t>
  </si>
  <si>
    <t>高透氧RGP</t>
  </si>
  <si>
    <t>RD1207</t>
  </si>
  <si>
    <t>渐近项目</t>
  </si>
  <si>
    <t>设备工时分配表</t>
  </si>
  <si>
    <t>注：30000欧元的专家服务费，折后人民币3*8.5=25.5万元（Ben+另外两人，每人10000欧元，分别于Q2,Q3,Q4支付）</t>
  </si>
  <si>
    <t>管理费用预算表</t>
  </si>
  <si>
    <t>总经办</t>
  </si>
  <si>
    <t>注册部</t>
  </si>
  <si>
    <t>财务&amp;人力</t>
  </si>
  <si>
    <t>质量管理部</t>
  </si>
  <si>
    <t>采购部</t>
  </si>
  <si>
    <t>需附明细</t>
  </si>
  <si>
    <t>财务填写</t>
  </si>
  <si>
    <t>销售费用预算表</t>
  </si>
  <si>
    <t>销售部</t>
  </si>
  <si>
    <t>市场部（含新媒体运营）</t>
  </si>
  <si>
    <t>提示：本表适用于各种市场宣传活动发生的相关预算，主要指各种市场会议费。</t>
  </si>
  <si>
    <t>会议名称（全称）
（按照举办时间先后顺序填列）</t>
  </si>
  <si>
    <t>会议类型(1全国会2区域会3自办会）</t>
  </si>
  <si>
    <t>举办时间（月度）</t>
  </si>
  <si>
    <t>地点
（城市）</t>
  </si>
  <si>
    <t>员工参会人数</t>
  </si>
  <si>
    <t>客户参会人数</t>
  </si>
  <si>
    <t>参展费（赞助费，展位费等）</t>
  </si>
  <si>
    <t>场地租金</t>
  </si>
  <si>
    <t>会议注册费</t>
  </si>
  <si>
    <t>展台设计及装修费</t>
  </si>
  <si>
    <t>展板制作</t>
  </si>
  <si>
    <t>会议礼品</t>
  </si>
  <si>
    <t>会议其他
杂费</t>
  </si>
  <si>
    <t>客户费用</t>
  </si>
  <si>
    <t>专家讲课费（计入“劳务费”）</t>
  </si>
  <si>
    <t>市场推广费（含“劳务费合计）</t>
  </si>
  <si>
    <t>代理商招商会议</t>
  </si>
  <si>
    <t>4月</t>
  </si>
  <si>
    <t>上海</t>
  </si>
  <si>
    <t>COOC</t>
  </si>
  <si>
    <t>Vision China</t>
  </si>
  <si>
    <t>5月</t>
  </si>
  <si>
    <t>天津</t>
  </si>
  <si>
    <t>全国眼科年会</t>
  </si>
  <si>
    <t>9月</t>
  </si>
  <si>
    <t>待定</t>
  </si>
  <si>
    <t>线下产品上市会</t>
  </si>
  <si>
    <t>5-12月</t>
  </si>
  <si>
    <t>全国</t>
  </si>
  <si>
    <t>线上产品推广会</t>
  </si>
  <si>
    <t>1-12月</t>
  </si>
  <si>
    <t>高视星自办会</t>
  </si>
  <si>
    <t>数字营销推广费</t>
  </si>
  <si>
    <t>小红书等平台运营和投流费</t>
  </si>
  <si>
    <t>市场物料制作费</t>
  </si>
  <si>
    <t>数字化营销软件使用费</t>
  </si>
  <si>
    <t>分摊依据比例</t>
  </si>
  <si>
    <t>生产部</t>
  </si>
  <si>
    <t>研发部</t>
  </si>
  <si>
    <t>行政部</t>
  </si>
  <si>
    <t>分摊金额</t>
  </si>
  <si>
    <t>月金额</t>
  </si>
  <si>
    <t>金额</t>
  </si>
  <si>
    <t>固资折旧（不分摊）</t>
  </si>
  <si>
    <t xml:space="preserve">人员编制 </t>
  </si>
  <si>
    <t>年度金额</t>
  </si>
  <si>
    <t>管理费用</t>
  </si>
  <si>
    <t>生产成本</t>
  </si>
  <si>
    <t>研发支出</t>
  </si>
  <si>
    <t>销售费用</t>
  </si>
  <si>
    <t>商业险</t>
  </si>
  <si>
    <t>工时分配</t>
  </si>
  <si>
    <t>年度预算总额</t>
  </si>
  <si>
    <t>RD1202角膜塑形镜</t>
  </si>
  <si>
    <t>RD1204离焦镜片</t>
  </si>
  <si>
    <t>RD1205多焦软镜</t>
  </si>
  <si>
    <t>RD1206高透氧RGP</t>
  </si>
  <si>
    <t>（渐近镜片）新项目</t>
  </si>
  <si>
    <t>生产制造</t>
  </si>
  <si>
    <t>管理职能</t>
  </si>
  <si>
    <t>法人公司</t>
  </si>
  <si>
    <t>三级部门</t>
  </si>
  <si>
    <t>编制</t>
  </si>
  <si>
    <t>2026年度总人员费用预算</t>
  </si>
  <si>
    <t>高视高清-总经办</t>
  </si>
  <si>
    <t>高视高清</t>
  </si>
  <si>
    <t>高视高清-质量管理部</t>
  </si>
  <si>
    <t>高视高清-采购部</t>
  </si>
  <si>
    <t>高视高清-生产部</t>
  </si>
  <si>
    <t>高视高清-注册部</t>
  </si>
  <si>
    <t>高视高清-市场部</t>
  </si>
  <si>
    <t>高视高清-研发部</t>
  </si>
  <si>
    <t>高视高清-销售部</t>
  </si>
  <si>
    <t>占比</t>
  </si>
  <si>
    <t>高视高清 汇总</t>
  </si>
  <si>
    <t>内容</t>
  </si>
  <si>
    <t>租赁未确认融资费用</t>
  </si>
  <si>
    <t>借款利息</t>
  </si>
  <si>
    <t>手续费</t>
  </si>
  <si>
    <t>利息收入</t>
  </si>
  <si>
    <t>汇兑损益</t>
  </si>
  <si>
    <t>集团借款部分</t>
  </si>
  <si>
    <t>增加额</t>
  </si>
  <si>
    <t>期初借款额</t>
  </si>
  <si>
    <t>1月</t>
  </si>
  <si>
    <t>2月</t>
  </si>
  <si>
    <t>3月</t>
  </si>
  <si>
    <t>6月</t>
  </si>
  <si>
    <t>7月</t>
  </si>
  <si>
    <t>8月</t>
  </si>
  <si>
    <t>10月</t>
  </si>
  <si>
    <t>11月</t>
  </si>
  <si>
    <t>12月</t>
  </si>
  <si>
    <t>月余额</t>
  </si>
  <si>
    <t>银行贷款</t>
  </si>
  <si>
    <t>科目</t>
  </si>
  <si>
    <t>手续费返还</t>
  </si>
  <si>
    <t>稳岗补贴</t>
  </si>
  <si>
    <t>政府补助</t>
  </si>
  <si>
    <t>危废补贴</t>
  </si>
  <si>
    <t>其他支出</t>
  </si>
  <si>
    <t>类目</t>
  </si>
  <si>
    <t>印花税</t>
  </si>
  <si>
    <t>收入</t>
  </si>
  <si>
    <t>采购</t>
  </si>
  <si>
    <t>固资</t>
  </si>
  <si>
    <t>资产减值</t>
  </si>
  <si>
    <t>存货减值</t>
  </si>
  <si>
    <t>坏账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</si>
</sst>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&quot;\ \-\ &quot;&quot;_);_(@_)"/>
    <numFmt numFmtId="177" formatCode="_ \¥* #,##0.00_ ;_ \¥* \-#,##0.00_ ;_ \¥* &quot;-&quot;??_ ;_ @_ "/>
    <numFmt numFmtId="178" formatCode="0.0000_);[Red]\(0.0000\)"/>
    <numFmt numFmtId="179" formatCode="0.0000%"/>
    <numFmt numFmtId="180" formatCode="_ * #,##0_ ;_ * \-#,##0_ ;_ * &quot;-&quot;??_ ;_ @_ "/>
    <numFmt numFmtId="181" formatCode="#,##0_ "/>
    <numFmt numFmtId="182" formatCode="#,##0.0_ "/>
    <numFmt numFmtId="183" formatCode="#,##0.00_ "/>
    <numFmt numFmtId="184" formatCode="#\ ??/??"/>
    <numFmt numFmtId="185" formatCode="0.00_ "/>
    <numFmt numFmtId="186" formatCode="yyyy&quot;年&quot;m&quot;月&quot;;@"/>
    <numFmt numFmtId="187" formatCode="0_);[Red]\(0\)"/>
    <numFmt numFmtId="188" formatCode="#,##0.0000000_ "/>
    <numFmt numFmtId="189" formatCode="#,##0.00000_ "/>
    <numFmt numFmtId="190" formatCode="_(* #,##0_);_(* \(#,##0\);_(* &quot;-&quot;_);_(@_)"/>
    <numFmt numFmtId="191" formatCode="_ * #,##0.0000_ ;_ * \-#,##0.0000_ ;_ * &quot;-&quot;????_ ;_ @_ "/>
    <numFmt numFmtId="192" formatCode="#,##0.00000_ ;[Red]\-#,##0.00000\ "/>
    <numFmt numFmtId="193" formatCode="\¥#,##0.00;\¥\-#,##0.00"/>
    <numFmt numFmtId="194" formatCode="&quot;US$&quot;#,##0.00;\-&quot;US$&quot;#,##0.00"/>
  </numFmts>
  <fonts count="59">
    <font>
      <sz val="11"/>
      <color indexed="8"/>
      <name val="等线"/>
      <charset val="134"/>
      <scheme val="minor"/>
    </font>
    <font>
      <sz val="9"/>
      <color indexed="8"/>
      <name val="微软雅黑"/>
      <charset val="134"/>
    </font>
    <font>
      <b/>
      <sz val="9"/>
      <color theme="1"/>
      <name val="微软雅黑"/>
      <charset val="134"/>
    </font>
    <font>
      <sz val="10"/>
      <color indexed="8"/>
      <name val="微软雅黑"/>
      <charset val="134"/>
    </font>
    <font>
      <b/>
      <sz val="9"/>
      <color indexed="8"/>
      <name val="微软雅黑"/>
      <charset val="134"/>
    </font>
    <font>
      <sz val="9"/>
      <color theme="1"/>
      <name val="微软雅黑"/>
      <charset val="134"/>
    </font>
    <font>
      <b/>
      <sz val="9"/>
      <name val="微软雅黑"/>
      <charset val="134"/>
    </font>
    <font>
      <sz val="11"/>
      <color indexed="8"/>
      <name val="微软雅黑"/>
      <charset val="134"/>
    </font>
    <font>
      <sz val="10"/>
      <color theme="1"/>
      <name val="微软雅黑"/>
      <charset val="134"/>
    </font>
    <font>
      <b/>
      <sz val="9"/>
      <color rgb="FF000000"/>
      <name val="等线"/>
      <charset val="134"/>
      <scheme val="minor"/>
    </font>
    <font>
      <b/>
      <sz val="9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b/>
      <sz val="8"/>
      <color rgb="FF000000"/>
      <name val="微软雅黑"/>
      <charset val="134"/>
    </font>
    <font>
      <sz val="8"/>
      <color theme="1"/>
      <name val="微软雅黑"/>
      <charset val="134"/>
    </font>
    <font>
      <sz val="9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rgb="FF0000FF"/>
      <name val="微软雅黑"/>
      <charset val="134"/>
    </font>
    <font>
      <b/>
      <sz val="9"/>
      <color indexed="8"/>
      <name val="等线"/>
      <charset val="134"/>
      <scheme val="minor"/>
    </font>
    <font>
      <sz val="9"/>
      <color indexed="8"/>
      <name val="等线"/>
      <charset val="134"/>
      <scheme val="minor"/>
    </font>
    <font>
      <b/>
      <sz val="11"/>
      <color rgb="FF000000"/>
      <name val="微软雅黑"/>
      <charset val="134"/>
    </font>
    <font>
      <b/>
      <sz val="12"/>
      <name val="微软雅黑"/>
      <charset val="134"/>
    </font>
    <font>
      <sz val="11"/>
      <name val="宋体"/>
      <charset val="134"/>
    </font>
    <font>
      <sz val="9"/>
      <name val="宋体"/>
      <charset val="134"/>
    </font>
    <font>
      <sz val="11"/>
      <color theme="1"/>
      <name val="等线"/>
      <charset val="134"/>
    </font>
    <font>
      <b/>
      <sz val="11"/>
      <color theme="1"/>
      <name val="微软雅黑"/>
      <charset val="134"/>
    </font>
    <font>
      <sz val="9"/>
      <color rgb="FF333333"/>
      <name val="Microsoft YaHei"/>
      <charset val="134"/>
    </font>
    <font>
      <b/>
      <sz val="12"/>
      <color indexed="8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name val="Arial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 tint="-0.14975432599871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BDBDB"/>
        <bgColor indexed="64"/>
      </patternFill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3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149937437055574"/>
      </left>
      <right style="thin">
        <color theme="0" tint="-0.14996795556505"/>
      </right>
      <top style="thin">
        <color theme="0" tint="-0.149937437055574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37437055574"/>
      </top>
      <bottom style="thin">
        <color theme="0" tint="-0.14996795556505"/>
      </bottom>
      <diagonal/>
    </border>
    <border>
      <left style="thin">
        <color theme="0" tint="-0.14996795556505"/>
      </left>
      <right/>
      <top style="thin">
        <color theme="0" tint="-0.149937437055574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37437055574"/>
      </right>
      <top style="thin">
        <color theme="0" tint="-0.149937437055574"/>
      </top>
      <bottom style="thin">
        <color theme="0" tint="-0.14996795556505"/>
      </bottom>
      <diagonal/>
    </border>
    <border>
      <left style="thin">
        <color theme="0" tint="-0.149937437055574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37437055574"/>
      </right>
      <top style="thin">
        <color theme="0" tint="-0.14996795556505"/>
      </top>
      <bottom style="thin">
        <color theme="0" tint="-0.14996795556505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17" borderId="58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9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8" borderId="61" applyNumberFormat="0" applyAlignment="0" applyProtection="0">
      <alignment vertical="center"/>
    </xf>
    <xf numFmtId="0" fontId="47" fillId="19" borderId="62" applyNumberFormat="0" applyAlignment="0" applyProtection="0">
      <alignment vertical="center"/>
    </xf>
    <xf numFmtId="0" fontId="48" fillId="19" borderId="61" applyNumberFormat="0" applyAlignment="0" applyProtection="0">
      <alignment vertical="center"/>
    </xf>
    <xf numFmtId="0" fontId="49" fillId="20" borderId="63" applyNumberFormat="0" applyAlignment="0" applyProtection="0">
      <alignment vertical="center"/>
    </xf>
    <xf numFmtId="0" fontId="50" fillId="0" borderId="64" applyNumberFormat="0" applyFill="0" applyAlignment="0" applyProtection="0">
      <alignment vertical="center"/>
    </xf>
    <xf numFmtId="0" fontId="51" fillId="0" borderId="65" applyNumberFormat="0" applyFill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176" fontId="57" fillId="47" borderId="0">
      <alignment horizontal="right"/>
    </xf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44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43" fontId="2" fillId="2" borderId="5" xfId="1" applyFont="1" applyFill="1" applyBorder="1" applyAlignment="1">
      <alignment horizontal="center" vertical="center" wrapText="1"/>
    </xf>
    <xf numFmtId="43" fontId="2" fillId="2" borderId="6" xfId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5" xfId="0" applyFont="1" applyBorder="1">
      <alignment vertical="center"/>
    </xf>
    <xf numFmtId="178" fontId="1" fillId="0" borderId="5" xfId="1" applyNumberFormat="1" applyFont="1" applyBorder="1">
      <alignment vertical="center"/>
    </xf>
    <xf numFmtId="178" fontId="1" fillId="0" borderId="6" xfId="1" applyNumberFormat="1" applyFont="1" applyBorder="1">
      <alignment vertical="center"/>
    </xf>
    <xf numFmtId="178" fontId="1" fillId="0" borderId="5" xfId="0" applyNumberFormat="1" applyFont="1" applyBorder="1">
      <alignment vertical="center"/>
    </xf>
    <xf numFmtId="178" fontId="1" fillId="0" borderId="6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178" fontId="1" fillId="0" borderId="8" xfId="0" applyNumberFormat="1" applyFont="1" applyBorder="1">
      <alignment vertical="center"/>
    </xf>
    <xf numFmtId="178" fontId="1" fillId="0" borderId="9" xfId="0" applyNumberFormat="1" applyFont="1" applyBorder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43" fontId="0" fillId="0" borderId="0" xfId="1" applyFont="1">
      <alignment vertical="center"/>
    </xf>
    <xf numFmtId="43" fontId="1" fillId="0" borderId="5" xfId="1" applyFont="1" applyBorder="1">
      <alignment vertical="center"/>
    </xf>
    <xf numFmtId="43" fontId="1" fillId="0" borderId="5" xfId="0" applyNumberFormat="1" applyFont="1" applyBorder="1">
      <alignment vertical="center"/>
    </xf>
    <xf numFmtId="0" fontId="0" fillId="0" borderId="0" xfId="0" applyFont="1">
      <alignment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79" fontId="1" fillId="3" borderId="5" xfId="3" applyNumberFormat="1" applyFont="1" applyFill="1" applyBorder="1" applyAlignment="1">
      <alignment horizontal="center" vertical="center"/>
    </xf>
    <xf numFmtId="43" fontId="1" fillId="0" borderId="5" xfId="1" applyFont="1" applyBorder="1" applyAlignment="1">
      <alignment vertical="center"/>
    </xf>
    <xf numFmtId="0" fontId="0" fillId="0" borderId="5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3" fontId="1" fillId="0" borderId="5" xfId="0" applyNumberFormat="1" applyFont="1" applyBorder="1" applyAlignment="1">
      <alignment horizontal="center" vertical="center"/>
    </xf>
    <xf numFmtId="43" fontId="5" fillId="0" borderId="5" xfId="1" applyFont="1" applyFill="1" applyBorder="1" applyAlignment="1">
      <alignment horizontal="center"/>
    </xf>
    <xf numFmtId="43" fontId="0" fillId="0" borderId="0" xfId="0" applyNumberFormat="1" applyAlignment="1">
      <alignment horizontal="left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5" fillId="4" borderId="5" xfId="0" applyFont="1" applyFill="1" applyBorder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0" fontId="6" fillId="4" borderId="13" xfId="0" applyFont="1" applyFill="1" applyBorder="1">
      <alignment vertical="center"/>
    </xf>
    <xf numFmtId="0" fontId="6" fillId="4" borderId="14" xfId="0" applyFont="1" applyFill="1" applyBorder="1" applyAlignment="1">
      <alignment vertical="center" wrapText="1"/>
    </xf>
    <xf numFmtId="180" fontId="6" fillId="4" borderId="15" xfId="1" applyNumberFormat="1" applyFont="1" applyFill="1" applyBorder="1" applyAlignment="1">
      <alignment vertical="center" wrapText="1"/>
    </xf>
    <xf numFmtId="43" fontId="6" fillId="4" borderId="15" xfId="1" applyFont="1" applyFill="1" applyBorder="1" applyAlignment="1">
      <alignment vertical="center" wrapText="1"/>
    </xf>
    <xf numFmtId="0" fontId="6" fillId="4" borderId="16" xfId="0" applyFont="1" applyFill="1" applyBorder="1" applyAlignment="1">
      <alignment vertical="center" wrapText="1"/>
    </xf>
    <xf numFmtId="0" fontId="5" fillId="0" borderId="5" xfId="0" applyFont="1" applyBorder="1">
      <alignment vertical="center"/>
    </xf>
    <xf numFmtId="180" fontId="5" fillId="0" borderId="5" xfId="1" applyNumberFormat="1" applyFont="1" applyBorder="1" applyAlignment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180" fontId="5" fillId="0" borderId="19" xfId="1" applyNumberFormat="1" applyFont="1" applyBorder="1" applyAlignment="1">
      <alignment vertical="center"/>
    </xf>
    <xf numFmtId="43" fontId="5" fillId="0" borderId="19" xfId="1" applyFont="1" applyBorder="1" applyAlignment="1">
      <alignment vertical="center"/>
    </xf>
    <xf numFmtId="180" fontId="5" fillId="0" borderId="20" xfId="1" applyNumberFormat="1" applyFont="1" applyBorder="1" applyAlignment="1">
      <alignment vertical="center" wrapText="1"/>
    </xf>
    <xf numFmtId="0" fontId="5" fillId="0" borderId="11" xfId="0" applyFont="1" applyBorder="1">
      <alignment vertical="center"/>
    </xf>
    <xf numFmtId="180" fontId="7" fillId="0" borderId="0" xfId="0" applyNumberFormat="1" applyFont="1" applyAlignment="1"/>
    <xf numFmtId="9" fontId="7" fillId="0" borderId="0" xfId="3" applyFont="1" applyAlignment="1"/>
    <xf numFmtId="0" fontId="8" fillId="0" borderId="0" xfId="0" applyFont="1" applyAlignment="1">
      <alignment horizontal="center"/>
    </xf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43" fontId="3" fillId="0" borderId="5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9" fontId="8" fillId="0" borderId="5" xfId="3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8" fillId="0" borderId="0" xfId="3" applyFont="1" applyFill="1" applyBorder="1" applyAlignment="1">
      <alignment horizontal="center"/>
    </xf>
    <xf numFmtId="43" fontId="3" fillId="0" borderId="0" xfId="1" applyFont="1" applyBorder="1" applyAlignment="1">
      <alignment horizontal="center" vertical="center"/>
    </xf>
    <xf numFmtId="0" fontId="8" fillId="0" borderId="0" xfId="0" applyFont="1">
      <alignment vertical="center"/>
    </xf>
    <xf numFmtId="43" fontId="3" fillId="0" borderId="22" xfId="1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0" fillId="0" borderId="24" xfId="0" applyBorder="1">
      <alignment vertical="center"/>
    </xf>
    <xf numFmtId="43" fontId="3" fillId="7" borderId="5" xfId="1" applyFont="1" applyFill="1" applyBorder="1" applyAlignment="1">
      <alignment horizontal="center" vertical="center"/>
    </xf>
    <xf numFmtId="43" fontId="3" fillId="0" borderId="5" xfId="0" applyNumberFormat="1" applyFont="1" applyBorder="1" applyAlignment="1">
      <alignment horizontal="center" vertical="center"/>
    </xf>
    <xf numFmtId="43" fontId="3" fillId="0" borderId="6" xfId="0" applyNumberFormat="1" applyFont="1" applyBorder="1" applyAlignment="1">
      <alignment horizontal="center" vertical="center"/>
    </xf>
    <xf numFmtId="0" fontId="3" fillId="7" borderId="5" xfId="0" applyFont="1" applyFill="1" applyBorder="1">
      <alignment vertical="center"/>
    </xf>
    <xf numFmtId="43" fontId="0" fillId="0" borderId="0" xfId="0" applyNumberFormat="1">
      <alignment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43" fontId="0" fillId="0" borderId="6" xfId="0" applyNumberFormat="1" applyBorder="1">
      <alignment vertical="center"/>
    </xf>
    <xf numFmtId="43" fontId="8" fillId="0" borderId="5" xfId="0" applyNumberFormat="1" applyFont="1" applyBorder="1" applyAlignment="1">
      <alignment horizontal="center"/>
    </xf>
    <xf numFmtId="43" fontId="3" fillId="7" borderId="8" xfId="1" applyFont="1" applyFill="1" applyBorder="1" applyAlignment="1">
      <alignment horizontal="center" vertical="center"/>
    </xf>
    <xf numFmtId="43" fontId="8" fillId="0" borderId="8" xfId="0" applyNumberFormat="1" applyFont="1" applyBorder="1" applyAlignment="1">
      <alignment horizontal="center"/>
    </xf>
    <xf numFmtId="43" fontId="0" fillId="0" borderId="9" xfId="0" applyNumberFormat="1" applyBorder="1">
      <alignment vertical="center"/>
    </xf>
    <xf numFmtId="0" fontId="8" fillId="0" borderId="0" xfId="0" applyFont="1" applyAlignment="1">
      <alignment horizontal="right"/>
    </xf>
    <xf numFmtId="0" fontId="8" fillId="0" borderId="0" xfId="0" applyFont="1" applyAlignment="1"/>
    <xf numFmtId="43" fontId="3" fillId="0" borderId="0" xfId="1" applyFont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2" fillId="5" borderId="5" xfId="5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43" fontId="3" fillId="8" borderId="5" xfId="0" applyNumberFormat="1" applyFont="1" applyFill="1" applyBorder="1" applyAlignment="1">
      <alignment horizontal="center" vertical="center"/>
    </xf>
    <xf numFmtId="9" fontId="8" fillId="0" borderId="5" xfId="3" applyNumberFormat="1" applyFont="1" applyFill="1" applyBorder="1" applyAlignment="1">
      <alignment horizontal="center"/>
    </xf>
    <xf numFmtId="43" fontId="8" fillId="7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3" fillId="9" borderId="25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181" fontId="13" fillId="9" borderId="26" xfId="0" applyNumberFormat="1" applyFont="1" applyFill="1" applyBorder="1" applyAlignment="1">
      <alignment horizontal="center" vertical="center" wrapText="1"/>
    </xf>
    <xf numFmtId="181" fontId="13" fillId="7" borderId="2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81" fontId="13" fillId="0" borderId="28" xfId="0" applyNumberFormat="1" applyFont="1" applyBorder="1" applyAlignment="1">
      <alignment horizontal="left" vertical="center"/>
    </xf>
    <xf numFmtId="43" fontId="13" fillId="0" borderId="28" xfId="1" applyFont="1" applyBorder="1" applyAlignment="1">
      <alignment horizontal="center" vertical="center"/>
    </xf>
    <xf numFmtId="43" fontId="13" fillId="0" borderId="28" xfId="0" applyNumberFormat="1" applyFont="1" applyBorder="1" applyAlignment="1">
      <alignment horizontal="left" vertical="center"/>
    </xf>
    <xf numFmtId="182" fontId="13" fillId="0" borderId="28" xfId="0" applyNumberFormat="1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43" fontId="13" fillId="0" borderId="28" xfId="1" applyNumberFormat="1" applyFont="1" applyBorder="1" applyAlignment="1">
      <alignment horizontal="left" vertical="center"/>
    </xf>
    <xf numFmtId="43" fontId="13" fillId="9" borderId="25" xfId="1" applyFont="1" applyFill="1" applyBorder="1" applyAlignment="1">
      <alignment horizontal="right" vertical="center"/>
    </xf>
    <xf numFmtId="183" fontId="13" fillId="0" borderId="28" xfId="0" applyNumberFormat="1" applyFont="1" applyBorder="1" applyAlignment="1">
      <alignment horizontal="left" vertical="center"/>
    </xf>
    <xf numFmtId="0" fontId="1" fillId="7" borderId="5" xfId="0" applyFont="1" applyFill="1" applyBorder="1">
      <alignment vertical="center"/>
    </xf>
    <xf numFmtId="0" fontId="1" fillId="0" borderId="29" xfId="0" applyFont="1" applyBorder="1">
      <alignment vertical="center"/>
    </xf>
    <xf numFmtId="0" fontId="13" fillId="0" borderId="28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/>
    </xf>
    <xf numFmtId="43" fontId="13" fillId="0" borderId="28" xfId="1" applyFont="1" applyBorder="1" applyAlignment="1">
      <alignment horizontal="left" vertical="center"/>
    </xf>
    <xf numFmtId="0" fontId="15" fillId="5" borderId="30" xfId="0" applyFont="1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49" fontId="16" fillId="9" borderId="33" xfId="0" applyNumberFormat="1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 wrapText="1"/>
    </xf>
    <xf numFmtId="49" fontId="17" fillId="0" borderId="31" xfId="0" applyNumberFormat="1" applyFont="1" applyBorder="1" applyAlignment="1">
      <alignment horizontal="center" vertical="center" wrapText="1"/>
    </xf>
    <xf numFmtId="49" fontId="17" fillId="0" borderId="32" xfId="0" applyNumberFormat="1" applyFont="1" applyBorder="1" applyAlignment="1">
      <alignment horizontal="center" vertical="center" wrapText="1"/>
    </xf>
    <xf numFmtId="43" fontId="18" fillId="10" borderId="33" xfId="1" applyFont="1" applyFill="1" applyBorder="1">
      <alignment vertical="center"/>
    </xf>
    <xf numFmtId="181" fontId="13" fillId="0" borderId="34" xfId="0" applyNumberFormat="1" applyFont="1" applyBorder="1" applyAlignment="1">
      <alignment horizontal="left" vertical="center" wrapText="1"/>
    </xf>
    <xf numFmtId="181" fontId="1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20" fillId="0" borderId="35" xfId="0" applyNumberFormat="1" applyFont="1" applyBorder="1" applyAlignment="1">
      <alignment horizontal="left" vertical="center"/>
    </xf>
    <xf numFmtId="0" fontId="21" fillId="0" borderId="35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right"/>
    </xf>
    <xf numFmtId="0" fontId="21" fillId="0" borderId="0" xfId="0" applyFont="1" applyAlignment="1"/>
    <xf numFmtId="49" fontId="14" fillId="0" borderId="0" xfId="0" applyNumberFormat="1" applyFont="1" applyAlignment="1">
      <alignment horizontal="center"/>
    </xf>
    <xf numFmtId="49" fontId="14" fillId="5" borderId="5" xfId="0" applyNumberFormat="1" applyFont="1" applyFill="1" applyBorder="1" applyAlignment="1">
      <alignment horizontal="center" vertical="center"/>
    </xf>
    <xf numFmtId="0" fontId="21" fillId="5" borderId="5" xfId="0" applyFont="1" applyFill="1" applyBorder="1">
      <alignment vertical="center"/>
    </xf>
    <xf numFmtId="49" fontId="20" fillId="5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 wrapText="1"/>
    </xf>
    <xf numFmtId="184" fontId="14" fillId="5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21" fillId="0" borderId="5" xfId="0" applyFont="1" applyBorder="1">
      <alignment vertical="center"/>
    </xf>
    <xf numFmtId="0" fontId="21" fillId="0" borderId="5" xfId="0" applyFont="1" applyBorder="1" applyAlignment="1">
      <alignment horizontal="center" vertical="center" wrapText="1"/>
    </xf>
    <xf numFmtId="49" fontId="21" fillId="0" borderId="5" xfId="0" applyNumberFormat="1" applyFont="1" applyBorder="1" applyAlignment="1">
      <alignment horizontal="center"/>
    </xf>
    <xf numFmtId="0" fontId="21" fillId="8" borderId="5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 wrapText="1"/>
    </xf>
    <xf numFmtId="4" fontId="22" fillId="0" borderId="5" xfId="0" applyNumberFormat="1" applyFont="1" applyBorder="1" applyAlignment="1">
      <alignment horizontal="right" vertical="center"/>
    </xf>
    <xf numFmtId="4" fontId="22" fillId="8" borderId="5" xfId="0" applyNumberFormat="1" applyFont="1" applyFill="1" applyBorder="1" applyAlignment="1">
      <alignment horizontal="right" vertical="center"/>
    </xf>
    <xf numFmtId="9" fontId="21" fillId="0" borderId="5" xfId="3" applyFont="1" applyBorder="1" applyAlignment="1">
      <alignment horizontal="center"/>
    </xf>
    <xf numFmtId="0" fontId="21" fillId="0" borderId="5" xfId="0" applyFont="1" applyBorder="1" applyAlignment="1"/>
    <xf numFmtId="49" fontId="14" fillId="12" borderId="5" xfId="0" applyNumberFormat="1" applyFont="1" applyFill="1" applyBorder="1" applyAlignment="1">
      <alignment horizontal="center" vertical="center"/>
    </xf>
    <xf numFmtId="43" fontId="21" fillId="0" borderId="5" xfId="1" applyFont="1" applyBorder="1" applyAlignment="1"/>
    <xf numFmtId="0" fontId="14" fillId="12" borderId="5" xfId="0" applyFont="1" applyFill="1" applyBorder="1" applyAlignment="1">
      <alignment horizontal="center" vertical="center"/>
    </xf>
    <xf numFmtId="49" fontId="14" fillId="0" borderId="5" xfId="0" applyNumberFormat="1" applyFont="1" applyBorder="1" applyAlignment="1">
      <alignment horizontal="left" vertical="center" wrapText="1"/>
    </xf>
    <xf numFmtId="49" fontId="14" fillId="0" borderId="5" xfId="0" applyNumberFormat="1" applyFont="1" applyBorder="1">
      <alignment vertical="center"/>
    </xf>
    <xf numFmtId="185" fontId="21" fillId="0" borderId="5" xfId="0" applyNumberFormat="1" applyFont="1" applyBorder="1" applyAlignment="1">
      <alignment horizontal="right" vertical="center"/>
    </xf>
    <xf numFmtId="43" fontId="21" fillId="8" borderId="5" xfId="0" applyNumberFormat="1" applyFont="1" applyFill="1" applyBorder="1" applyAlignment="1">
      <alignment horizontal="center" vertical="center"/>
    </xf>
    <xf numFmtId="43" fontId="21" fillId="0" borderId="5" xfId="1" applyFont="1" applyFill="1" applyBorder="1" applyAlignment="1"/>
    <xf numFmtId="43" fontId="21" fillId="0" borderId="5" xfId="0" applyNumberFormat="1" applyFont="1" applyBorder="1" applyAlignment="1"/>
    <xf numFmtId="43" fontId="21" fillId="0" borderId="5" xfId="0" applyNumberFormat="1" applyFont="1" applyFill="1" applyBorder="1" applyAlignment="1"/>
    <xf numFmtId="0" fontId="21" fillId="0" borderId="5" xfId="0" applyFont="1" applyFill="1" applyBorder="1" applyAlignment="1"/>
    <xf numFmtId="0" fontId="21" fillId="13" borderId="5" xfId="0" applyFont="1" applyFill="1" applyBorder="1" applyAlignment="1"/>
    <xf numFmtId="9" fontId="21" fillId="0" borderId="5" xfId="3" applyFont="1" applyFill="1" applyBorder="1" applyAlignment="1">
      <alignment horizontal="center"/>
    </xf>
    <xf numFmtId="43" fontId="21" fillId="0" borderId="10" xfId="0" applyNumberFormat="1" applyFont="1" applyBorder="1" applyAlignment="1">
      <alignment horizontal="center" vertical="center"/>
    </xf>
    <xf numFmtId="43" fontId="21" fillId="8" borderId="10" xfId="0" applyNumberFormat="1" applyFont="1" applyFill="1" applyBorder="1" applyAlignment="1">
      <alignment horizontal="center" vertical="center"/>
    </xf>
    <xf numFmtId="9" fontId="21" fillId="0" borderId="10" xfId="3" applyFont="1" applyBorder="1" applyAlignment="1">
      <alignment horizontal="center" vertical="center"/>
    </xf>
    <xf numFmtId="43" fontId="21" fillId="0" borderId="11" xfId="0" applyNumberFormat="1" applyFont="1" applyBorder="1" applyAlignment="1">
      <alignment horizontal="center" vertical="center"/>
    </xf>
    <xf numFmtId="43" fontId="21" fillId="8" borderId="11" xfId="0" applyNumberFormat="1" applyFont="1" applyFill="1" applyBorder="1" applyAlignment="1">
      <alignment horizontal="center" vertical="center"/>
    </xf>
    <xf numFmtId="9" fontId="21" fillId="0" borderId="11" xfId="3" applyFont="1" applyBorder="1" applyAlignment="1">
      <alignment horizontal="center" vertical="center"/>
    </xf>
    <xf numFmtId="43" fontId="21" fillId="0" borderId="12" xfId="0" applyNumberFormat="1" applyFont="1" applyBorder="1" applyAlignment="1">
      <alignment horizontal="center" vertical="center"/>
    </xf>
    <xf numFmtId="43" fontId="21" fillId="8" borderId="12" xfId="0" applyNumberFormat="1" applyFont="1" applyFill="1" applyBorder="1" applyAlignment="1">
      <alignment horizontal="center" vertical="center"/>
    </xf>
    <xf numFmtId="9" fontId="21" fillId="0" borderId="12" xfId="3" applyFont="1" applyBorder="1" applyAlignment="1">
      <alignment horizontal="center" vertical="center"/>
    </xf>
    <xf numFmtId="43" fontId="3" fillId="0" borderId="0" xfId="0" applyNumberFormat="1" applyFont="1">
      <alignment vertical="center"/>
    </xf>
    <xf numFmtId="43" fontId="3" fillId="0" borderId="0" xfId="1" applyFont="1">
      <alignment vertical="center"/>
    </xf>
    <xf numFmtId="43" fontId="3" fillId="0" borderId="0" xfId="1" applyFont="1" applyFill="1">
      <alignment vertical="center"/>
    </xf>
    <xf numFmtId="0" fontId="14" fillId="8" borderId="5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43" fontId="6" fillId="0" borderId="0" xfId="0" applyNumberFormat="1" applyFont="1">
      <alignment vertical="center"/>
    </xf>
    <xf numFmtId="0" fontId="26" fillId="0" borderId="0" xfId="0" applyFont="1">
      <alignment vertical="center"/>
    </xf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horizontal="left" wrapText="1"/>
    </xf>
    <xf numFmtId="0" fontId="27" fillId="0" borderId="0" xfId="0" applyFont="1" applyAlignment="1"/>
    <xf numFmtId="0" fontId="28" fillId="0" borderId="0" xfId="0" applyFont="1" applyAlignment="1"/>
    <xf numFmtId="0" fontId="10" fillId="9" borderId="2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49" fontId="10" fillId="9" borderId="26" xfId="0" applyNumberFormat="1" applyFont="1" applyFill="1" applyBorder="1" applyAlignment="1">
      <alignment horizontal="center" vertical="center"/>
    </xf>
    <xf numFmtId="49" fontId="10" fillId="10" borderId="26" xfId="0" applyNumberFormat="1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10" fillId="14" borderId="37" xfId="0" applyFont="1" applyFill="1" applyBorder="1" applyAlignment="1">
      <alignment horizontal="center" vertical="center" wrapText="1"/>
    </xf>
    <xf numFmtId="43" fontId="10" fillId="9" borderId="5" xfId="1" applyFont="1" applyFill="1" applyBorder="1" applyAlignment="1">
      <alignment horizontal="center" vertical="center"/>
    </xf>
    <xf numFmtId="43" fontId="10" fillId="9" borderId="28" xfId="1" applyFont="1" applyFill="1" applyBorder="1" applyAlignment="1">
      <alignment horizontal="center" vertical="center"/>
    </xf>
    <xf numFmtId="43" fontId="24" fillId="0" borderId="0" xfId="0" applyNumberFormat="1" applyFont="1">
      <alignment vertical="center"/>
    </xf>
    <xf numFmtId="0" fontId="10" fillId="14" borderId="38" xfId="0" applyFont="1" applyFill="1" applyBorder="1" applyAlignment="1">
      <alignment horizontal="center" vertical="center" wrapText="1"/>
    </xf>
    <xf numFmtId="43" fontId="10" fillId="9" borderId="27" xfId="1" applyFont="1" applyFill="1" applyBorder="1" applyAlignment="1">
      <alignment horizontal="center" vertical="center"/>
    </xf>
    <xf numFmtId="43" fontId="10" fillId="9" borderId="39" xfId="1" applyFont="1" applyFill="1" applyBorder="1" applyAlignment="1">
      <alignment horizontal="center" vertical="center"/>
    </xf>
    <xf numFmtId="43" fontId="10" fillId="5" borderId="40" xfId="1" applyFont="1" applyFill="1" applyBorder="1" applyAlignment="1">
      <alignment horizontal="center" vertical="center"/>
    </xf>
    <xf numFmtId="0" fontId="13" fillId="0" borderId="5" xfId="0" applyFont="1" applyBorder="1">
      <alignment vertical="center"/>
    </xf>
    <xf numFmtId="43" fontId="13" fillId="0" borderId="5" xfId="0" applyNumberFormat="1" applyFont="1" applyBorder="1">
      <alignment vertical="center"/>
    </xf>
    <xf numFmtId="43" fontId="13" fillId="10" borderId="28" xfId="1" applyFont="1" applyFill="1" applyBorder="1">
      <alignment vertical="center"/>
    </xf>
    <xf numFmtId="43" fontId="18" fillId="10" borderId="28" xfId="1" applyFont="1" applyFill="1" applyBorder="1">
      <alignment vertical="center"/>
    </xf>
    <xf numFmtId="43" fontId="13" fillId="9" borderId="5" xfId="1" applyFont="1" applyFill="1" applyBorder="1" applyAlignment="1">
      <alignment horizontal="center" vertical="center"/>
    </xf>
    <xf numFmtId="43" fontId="13" fillId="5" borderId="28" xfId="1" applyFont="1" applyFill="1" applyBorder="1">
      <alignment vertical="center"/>
    </xf>
    <xf numFmtId="43" fontId="13" fillId="5" borderId="41" xfId="1" applyFont="1" applyFill="1" applyBorder="1">
      <alignment vertical="center"/>
    </xf>
    <xf numFmtId="43" fontId="18" fillId="0" borderId="5" xfId="1" applyFont="1" applyFill="1" applyBorder="1">
      <alignment vertical="center"/>
    </xf>
    <xf numFmtId="43" fontId="13" fillId="5" borderId="5" xfId="1" applyFont="1" applyFill="1" applyBorder="1">
      <alignment vertical="center"/>
    </xf>
    <xf numFmtId="43" fontId="13" fillId="10" borderId="5" xfId="1" applyFont="1" applyFill="1" applyBorder="1">
      <alignment vertical="center"/>
    </xf>
    <xf numFmtId="0" fontId="13" fillId="0" borderId="5" xfId="50" applyFont="1" applyBorder="1" applyAlignment="1">
      <alignment vertical="center"/>
    </xf>
    <xf numFmtId="43" fontId="13" fillId="0" borderId="5" xfId="50" applyNumberFormat="1" applyFont="1" applyBorder="1" applyAlignment="1">
      <alignment vertical="center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>
      <alignment horizontal="left" vertical="center"/>
    </xf>
    <xf numFmtId="43" fontId="13" fillId="0" borderId="5" xfId="1" applyNumberFormat="1" applyFont="1" applyBorder="1" applyAlignment="1">
      <alignment horizontal="left" vertical="center"/>
    </xf>
    <xf numFmtId="49" fontId="13" fillId="0" borderId="5" xfId="0" applyNumberFormat="1" applyFont="1" applyBorder="1">
      <alignment vertical="center"/>
    </xf>
    <xf numFmtId="43" fontId="13" fillId="0" borderId="5" xfId="1" applyFont="1" applyBorder="1" applyAlignment="1">
      <alignment horizontal="left" vertical="center"/>
    </xf>
    <xf numFmtId="49" fontId="1" fillId="0" borderId="10" xfId="0" applyNumberFormat="1" applyFont="1" applyBorder="1" applyAlignment="1" applyProtection="1">
      <alignment horizontal="left" vertical="center" wrapText="1"/>
      <protection locked="0"/>
    </xf>
    <xf numFmtId="43" fontId="13" fillId="10" borderId="40" xfId="1" applyFont="1" applyFill="1" applyBorder="1">
      <alignment vertical="center"/>
    </xf>
    <xf numFmtId="43" fontId="13" fillId="10" borderId="42" xfId="1" applyFont="1" applyFill="1" applyBorder="1">
      <alignment vertical="center"/>
    </xf>
    <xf numFmtId="49" fontId="17" fillId="0" borderId="43" xfId="0" applyNumberFormat="1" applyFont="1" applyBorder="1" applyAlignment="1">
      <alignment horizontal="left" vertical="center" wrapText="1"/>
    </xf>
    <xf numFmtId="43" fontId="13" fillId="10" borderId="43" xfId="1" applyFont="1" applyFill="1" applyBorder="1">
      <alignment vertical="center"/>
    </xf>
    <xf numFmtId="43" fontId="13" fillId="10" borderId="0" xfId="1" applyFont="1" applyFill="1" applyBorder="1">
      <alignment vertical="center"/>
    </xf>
    <xf numFmtId="43" fontId="18" fillId="0" borderId="0" xfId="1" applyFont="1" applyFill="1" applyBorder="1">
      <alignment vertical="center"/>
    </xf>
    <xf numFmtId="49" fontId="17" fillId="0" borderId="33" xfId="0" applyNumberFormat="1" applyFont="1" applyBorder="1" applyAlignment="1">
      <alignment horizontal="left" vertical="center" wrapText="1"/>
    </xf>
    <xf numFmtId="43" fontId="13" fillId="10" borderId="33" xfId="1" applyFont="1" applyFill="1" applyBorder="1">
      <alignment vertical="center"/>
    </xf>
    <xf numFmtId="43" fontId="13" fillId="0" borderId="0" xfId="1" applyFont="1" applyFill="1" applyBorder="1">
      <alignment vertical="center"/>
    </xf>
    <xf numFmtId="0" fontId="13" fillId="0" borderId="0" xfId="0" applyFont="1">
      <alignment vertical="center"/>
    </xf>
    <xf numFmtId="43" fontId="29" fillId="0" borderId="0" xfId="0" applyNumberFormat="1" applyFont="1" applyAlignment="1">
      <alignment horizontal="left"/>
    </xf>
    <xf numFmtId="0" fontId="29" fillId="0" borderId="0" xfId="0" applyFont="1" applyAlignment="1">
      <alignment horizontal="left"/>
    </xf>
    <xf numFmtId="0" fontId="21" fillId="5" borderId="36" xfId="0" applyFont="1" applyFill="1" applyBorder="1" applyAlignment="1">
      <alignment horizontal="center" vertical="center"/>
    </xf>
    <xf numFmtId="49" fontId="16" fillId="9" borderId="26" xfId="0" applyNumberFormat="1" applyFont="1" applyFill="1" applyBorder="1" applyAlignment="1">
      <alignment horizontal="center" vertical="center"/>
    </xf>
    <xf numFmtId="9" fontId="18" fillId="0" borderId="28" xfId="3" applyFont="1" applyFill="1" applyBorder="1" applyAlignment="1">
      <alignment horizontal="center" vertical="center"/>
    </xf>
    <xf numFmtId="0" fontId="13" fillId="0" borderId="28" xfId="0" applyFont="1" applyBorder="1">
      <alignment vertical="center"/>
    </xf>
    <xf numFmtId="0" fontId="21" fillId="5" borderId="2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0" xfId="0" applyFont="1" applyAlignment="1">
      <alignment wrapText="1"/>
    </xf>
    <xf numFmtId="186" fontId="5" fillId="0" borderId="0" xfId="0" applyNumberFormat="1" applyFont="1" applyAlignment="1">
      <alignment wrapText="1"/>
    </xf>
    <xf numFmtId="0" fontId="30" fillId="6" borderId="0" xfId="53" applyFont="1" applyFill="1">
      <alignment vertical="center"/>
    </xf>
    <xf numFmtId="186" fontId="30" fillId="6" borderId="0" xfId="53" applyNumberFormat="1" applyFont="1" applyFill="1">
      <alignment vertical="center"/>
    </xf>
    <xf numFmtId="0" fontId="8" fillId="6" borderId="44" xfId="53" applyFont="1" applyFill="1" applyBorder="1" applyAlignment="1"/>
    <xf numFmtId="0" fontId="8" fillId="6" borderId="44" xfId="53" applyFont="1" applyFill="1" applyBorder="1" applyAlignment="1">
      <alignment horizontal="right"/>
    </xf>
    <xf numFmtId="0" fontId="2" fillId="2" borderId="5" xfId="51" applyFont="1" applyFill="1" applyBorder="1" applyAlignment="1">
      <alignment horizontal="center" vertical="center"/>
    </xf>
    <xf numFmtId="0" fontId="2" fillId="2" borderId="5" xfId="51" applyFont="1" applyFill="1" applyBorder="1" applyAlignment="1">
      <alignment horizontal="center" vertical="center" wrapText="1"/>
    </xf>
    <xf numFmtId="186" fontId="2" fillId="2" borderId="5" xfId="51" applyNumberFormat="1" applyFont="1" applyFill="1" applyBorder="1" applyAlignment="1">
      <alignment horizontal="center" vertical="center" wrapText="1"/>
    </xf>
    <xf numFmtId="0" fontId="5" fillId="0" borderId="5" xfId="51" applyFont="1" applyBorder="1" applyAlignment="1">
      <alignment horizontal="center" vertical="center"/>
    </xf>
    <xf numFmtId="0" fontId="5" fillId="6" borderId="5" xfId="51" applyFont="1" applyFill="1" applyBorder="1" applyAlignment="1">
      <alignment horizontal="center" vertical="center" wrapText="1"/>
    </xf>
    <xf numFmtId="186" fontId="5" fillId="6" borderId="5" xfId="51" applyNumberFormat="1" applyFont="1" applyFill="1" applyBorder="1" applyAlignment="1">
      <alignment horizontal="center" vertical="center" wrapText="1"/>
    </xf>
    <xf numFmtId="187" fontId="5" fillId="6" borderId="5" xfId="51" applyNumberFormat="1" applyFont="1" applyFill="1" applyBorder="1" applyAlignment="1">
      <alignment horizontal="center" vertical="center" wrapText="1"/>
    </xf>
    <xf numFmtId="43" fontId="5" fillId="6" borderId="5" xfId="1" applyFont="1" applyFill="1" applyBorder="1" applyAlignment="1">
      <alignment horizontal="center" vertical="center" wrapText="1"/>
    </xf>
    <xf numFmtId="0" fontId="31" fillId="15" borderId="5" xfId="0" applyFont="1" applyFill="1" applyBorder="1">
      <alignment vertical="center"/>
    </xf>
    <xf numFmtId="0" fontId="0" fillId="15" borderId="5" xfId="0" applyFill="1" applyBorder="1">
      <alignment vertical="center"/>
    </xf>
    <xf numFmtId="49" fontId="17" fillId="0" borderId="30" xfId="0" applyNumberFormat="1" applyFont="1" applyBorder="1" applyAlignment="1">
      <alignment horizontal="left" vertical="center" wrapText="1"/>
    </xf>
    <xf numFmtId="49" fontId="17" fillId="0" borderId="31" xfId="0" applyNumberFormat="1" applyFont="1" applyBorder="1" applyAlignment="1">
      <alignment horizontal="left" vertical="center" wrapText="1"/>
    </xf>
    <xf numFmtId="49" fontId="17" fillId="0" borderId="32" xfId="0" applyNumberFormat="1" applyFont="1" applyBorder="1" applyAlignment="1">
      <alignment horizontal="left" vertical="center" wrapText="1"/>
    </xf>
    <xf numFmtId="43" fontId="1" fillId="0" borderId="33" xfId="1" applyFont="1" applyBorder="1">
      <alignment vertical="center"/>
    </xf>
    <xf numFmtId="9" fontId="3" fillId="0" borderId="0" xfId="3" applyFont="1" applyAlignment="1">
      <alignment horizontal="center" vertical="center"/>
    </xf>
    <xf numFmtId="9" fontId="19" fillId="0" borderId="0" xfId="3" applyFont="1" applyFill="1" applyAlignment="1">
      <alignment horizontal="center" vertical="center"/>
    </xf>
    <xf numFmtId="9" fontId="14" fillId="0" borderId="0" xfId="3" applyFont="1" applyFill="1" applyBorder="1" applyAlignment="1">
      <alignment horizontal="center"/>
    </xf>
    <xf numFmtId="9" fontId="14" fillId="5" borderId="5" xfId="3" applyNumberFormat="1" applyFont="1" applyFill="1" applyBorder="1" applyAlignment="1">
      <alignment horizontal="center" vertical="center"/>
    </xf>
    <xf numFmtId="0" fontId="21" fillId="8" borderId="5" xfId="0" applyFont="1" applyFill="1" applyBorder="1">
      <alignment vertical="center"/>
    </xf>
    <xf numFmtId="9" fontId="21" fillId="5" borderId="5" xfId="3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 wrapText="1"/>
    </xf>
    <xf numFmtId="9" fontId="21" fillId="0" borderId="5" xfId="3" applyFont="1" applyFill="1" applyBorder="1" applyAlignment="1">
      <alignment horizontal="center" vertical="center"/>
    </xf>
    <xf numFmtId="188" fontId="21" fillId="0" borderId="5" xfId="0" applyNumberFormat="1" applyFont="1" applyBorder="1" applyAlignment="1"/>
    <xf numFmtId="189" fontId="3" fillId="0" borderId="0" xfId="0" applyNumberFormat="1" applyFont="1">
      <alignment vertical="center"/>
    </xf>
    <xf numFmtId="43" fontId="21" fillId="0" borderId="5" xfId="0" applyNumberFormat="1" applyFont="1" applyBorder="1" applyAlignment="1">
      <alignment horizontal="right" vertical="center"/>
    </xf>
    <xf numFmtId="4" fontId="3" fillId="0" borderId="45" xfId="0" applyNumberFormat="1" applyFont="1" applyBorder="1" applyAlignment="1">
      <alignment horizontal="right"/>
    </xf>
    <xf numFmtId="43" fontId="21" fillId="8" borderId="46" xfId="0" applyNumberFormat="1" applyFont="1" applyFill="1" applyBorder="1" applyAlignment="1">
      <alignment horizontal="center" vertical="center"/>
    </xf>
    <xf numFmtId="9" fontId="21" fillId="0" borderId="47" xfId="3" applyFont="1" applyFill="1" applyBorder="1" applyAlignment="1">
      <alignment horizontal="center" vertical="center"/>
    </xf>
    <xf numFmtId="43" fontId="21" fillId="8" borderId="48" xfId="0" applyNumberFormat="1" applyFont="1" applyFill="1" applyBorder="1" applyAlignment="1">
      <alignment horizontal="center" vertical="center"/>
    </xf>
    <xf numFmtId="9" fontId="21" fillId="0" borderId="49" xfId="3" applyFont="1" applyFill="1" applyBorder="1" applyAlignment="1">
      <alignment horizontal="center" vertical="center"/>
    </xf>
    <xf numFmtId="43" fontId="21" fillId="8" borderId="50" xfId="0" applyNumberFormat="1" applyFont="1" applyFill="1" applyBorder="1" applyAlignment="1">
      <alignment horizontal="center" vertical="center"/>
    </xf>
    <xf numFmtId="9" fontId="21" fillId="0" borderId="51" xfId="3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right"/>
    </xf>
    <xf numFmtId="0" fontId="14" fillId="5" borderId="25" xfId="0" applyFont="1" applyFill="1" applyBorder="1" applyAlignment="1">
      <alignment horizontal="center"/>
    </xf>
    <xf numFmtId="0" fontId="8" fillId="5" borderId="25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/>
    </xf>
    <xf numFmtId="49" fontId="14" fillId="5" borderId="26" xfId="0" applyNumberFormat="1" applyFont="1" applyFill="1" applyBorder="1" applyAlignment="1">
      <alignment horizontal="center"/>
    </xf>
    <xf numFmtId="0" fontId="14" fillId="0" borderId="27" xfId="0" applyFont="1" applyBorder="1">
      <alignment vertical="center"/>
    </xf>
    <xf numFmtId="43" fontId="14" fillId="0" borderId="28" xfId="1" applyFont="1" applyBorder="1">
      <alignment vertical="center"/>
    </xf>
    <xf numFmtId="43" fontId="21" fillId="0" borderId="28" xfId="1" applyFont="1" applyFill="1" applyBorder="1">
      <alignment vertical="center"/>
    </xf>
    <xf numFmtId="43" fontId="21" fillId="0" borderId="28" xfId="1" applyFont="1" applyBorder="1">
      <alignment vertical="center"/>
    </xf>
    <xf numFmtId="9" fontId="8" fillId="5" borderId="25" xfId="3" applyFont="1" applyFill="1" applyBorder="1" applyAlignment="1">
      <alignment horizontal="center"/>
    </xf>
    <xf numFmtId="0" fontId="21" fillId="0" borderId="28" xfId="0" applyFont="1" applyBorder="1">
      <alignment vertical="center"/>
    </xf>
    <xf numFmtId="0" fontId="14" fillId="5" borderId="36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9" fontId="14" fillId="0" borderId="27" xfId="0" applyNumberFormat="1" applyFont="1" applyBorder="1" applyAlignment="1">
      <alignment horizontal="center" vertical="center"/>
    </xf>
    <xf numFmtId="43" fontId="14" fillId="0" borderId="27" xfId="1" applyFont="1" applyFill="1" applyBorder="1">
      <alignment vertical="center"/>
    </xf>
    <xf numFmtId="0" fontId="14" fillId="0" borderId="28" xfId="0" applyFont="1" applyBorder="1">
      <alignment vertical="center"/>
    </xf>
    <xf numFmtId="0" fontId="15" fillId="5" borderId="30" xfId="0" applyFont="1" applyFill="1" applyBorder="1" applyAlignment="1">
      <alignment vertical="center" wrapText="1"/>
    </xf>
    <xf numFmtId="0" fontId="15" fillId="5" borderId="31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21" fillId="0" borderId="0" xfId="0" applyFont="1">
      <alignment vertical="center"/>
    </xf>
    <xf numFmtId="0" fontId="33" fillId="0" borderId="0" xfId="0" applyFont="1">
      <alignment vertical="center"/>
    </xf>
    <xf numFmtId="0" fontId="6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10" fillId="9" borderId="25" xfId="0" applyFont="1" applyFill="1" applyBorder="1" applyAlignment="1">
      <alignment horizontal="center" vertical="center" wrapText="1"/>
    </xf>
    <xf numFmtId="0" fontId="21" fillId="0" borderId="25" xfId="0" applyFont="1" applyBorder="1">
      <alignment vertical="center"/>
    </xf>
    <xf numFmtId="0" fontId="10" fillId="9" borderId="26" xfId="0" applyFont="1" applyFill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21" fillId="0" borderId="25" xfId="0" applyFont="1" applyBorder="1" applyAlignment="1">
      <alignment vertical="center" wrapText="1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7" fillId="0" borderId="52" xfId="0" applyFont="1" applyBorder="1">
      <alignment vertical="center"/>
    </xf>
    <xf numFmtId="0" fontId="7" fillId="0" borderId="5" xfId="0" applyFont="1" applyBorder="1">
      <alignment vertical="center"/>
    </xf>
    <xf numFmtId="190" fontId="18" fillId="6" borderId="5" xfId="52" applyNumberFormat="1" applyFont="1" applyFill="1" applyBorder="1" applyAlignment="1">
      <alignment vertical="center" wrapText="1"/>
    </xf>
    <xf numFmtId="0" fontId="18" fillId="0" borderId="27" xfId="0" applyFont="1" applyBorder="1" applyAlignment="1">
      <alignment horizontal="center" vertical="center"/>
    </xf>
    <xf numFmtId="43" fontId="13" fillId="0" borderId="25" xfId="1" applyFont="1" applyBorder="1" applyAlignment="1">
      <alignment vertical="center"/>
    </xf>
    <xf numFmtId="43" fontId="13" fillId="0" borderId="26" xfId="0" applyNumberFormat="1" applyFont="1" applyBorder="1">
      <alignment vertical="center"/>
    </xf>
    <xf numFmtId="191" fontId="13" fillId="0" borderId="26" xfId="0" applyNumberFormat="1" applyFont="1" applyBorder="1">
      <alignment vertical="center"/>
    </xf>
    <xf numFmtId="43" fontId="18" fillId="0" borderId="28" xfId="0" applyNumberFormat="1" applyFont="1" applyBorder="1">
      <alignment vertical="center"/>
    </xf>
    <xf numFmtId="43" fontId="13" fillId="0" borderId="28" xfId="1" applyFont="1" applyFill="1" applyBorder="1">
      <alignment vertical="center"/>
    </xf>
    <xf numFmtId="43" fontId="18" fillId="0" borderId="5" xfId="1" applyFont="1" applyFill="1" applyBorder="1" applyAlignment="1">
      <alignment horizontal="center" vertical="center"/>
    </xf>
    <xf numFmtId="191" fontId="18" fillId="6" borderId="52" xfId="1" applyNumberFormat="1" applyFont="1" applyFill="1" applyBorder="1" applyAlignment="1">
      <alignment horizontal="center" vertical="center"/>
    </xf>
    <xf numFmtId="190" fontId="18" fillId="0" borderId="5" xfId="52" applyNumberFormat="1" applyFont="1" applyBorder="1" applyAlignment="1">
      <alignment vertical="center" wrapText="1"/>
    </xf>
    <xf numFmtId="43" fontId="7" fillId="0" borderId="5" xfId="0" applyNumberFormat="1" applyFont="1" applyBorder="1" applyAlignment="1">
      <alignment horizontal="center" vertical="center"/>
    </xf>
    <xf numFmtId="0" fontId="18" fillId="0" borderId="27" xfId="0" applyFont="1" applyBorder="1">
      <alignment vertical="center"/>
    </xf>
    <xf numFmtId="0" fontId="10" fillId="9" borderId="27" xfId="0" applyFont="1" applyFill="1" applyBorder="1">
      <alignment vertical="center"/>
    </xf>
    <xf numFmtId="43" fontId="6" fillId="9" borderId="28" xfId="0" applyNumberFormat="1" applyFont="1" applyFill="1" applyBorder="1">
      <alignment vertical="center"/>
    </xf>
    <xf numFmtId="0" fontId="6" fillId="9" borderId="28" xfId="0" applyFont="1" applyFill="1" applyBorder="1">
      <alignment vertical="center"/>
    </xf>
    <xf numFmtId="43" fontId="13" fillId="9" borderId="28" xfId="1" applyFont="1" applyFill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43" fontId="18" fillId="0" borderId="0" xfId="0" applyNumberFormat="1" applyFont="1">
      <alignment vertical="center"/>
    </xf>
    <xf numFmtId="192" fontId="0" fillId="0" borderId="0" xfId="1" applyNumberFormat="1" applyFont="1">
      <alignment vertical="center"/>
    </xf>
    <xf numFmtId="43" fontId="21" fillId="0" borderId="0" xfId="0" applyNumberFormat="1" applyFont="1" applyAlignment="1">
      <alignment horizontal="right" vertical="center"/>
    </xf>
    <xf numFmtId="0" fontId="34" fillId="0" borderId="0" xfId="0" applyFont="1">
      <alignment vertical="center"/>
    </xf>
    <xf numFmtId="0" fontId="16" fillId="9" borderId="25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3" fillId="0" borderId="27" xfId="0" applyFont="1" applyBorder="1">
      <alignment vertical="center"/>
    </xf>
    <xf numFmtId="4" fontId="18" fillId="0" borderId="28" xfId="0" applyNumberFormat="1" applyFont="1" applyBorder="1">
      <alignment vertical="center"/>
    </xf>
    <xf numFmtId="43" fontId="13" fillId="8" borderId="28" xfId="1" applyFont="1" applyFill="1" applyBorder="1">
      <alignment vertical="center"/>
    </xf>
    <xf numFmtId="9" fontId="5" fillId="5" borderId="25" xfId="3" applyFont="1" applyFill="1" applyBorder="1" applyAlignment="1">
      <alignment horizontal="center"/>
    </xf>
    <xf numFmtId="4" fontId="18" fillId="0" borderId="0" xfId="0" applyNumberFormat="1" applyFont="1">
      <alignment vertical="center"/>
    </xf>
    <xf numFmtId="0" fontId="18" fillId="0" borderId="28" xfId="0" applyFont="1" applyBorder="1">
      <alignment vertical="center"/>
    </xf>
    <xf numFmtId="43" fontId="10" fillId="9" borderId="28" xfId="0" applyNumberFormat="1" applyFont="1" applyFill="1" applyBorder="1">
      <alignment vertical="center"/>
    </xf>
    <xf numFmtId="43" fontId="10" fillId="8" borderId="28" xfId="0" applyNumberFormat="1" applyFont="1" applyFill="1" applyBorder="1">
      <alignment vertical="center"/>
    </xf>
    <xf numFmtId="0" fontId="19" fillId="0" borderId="0" xfId="0" applyFont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185" fontId="14" fillId="10" borderId="0" xfId="0" applyNumberFormat="1" applyFont="1" applyFill="1" applyAlignment="1">
      <alignment horizontal="center" vertical="center"/>
    </xf>
    <xf numFmtId="49" fontId="14" fillId="10" borderId="0" xfId="0" applyNumberFormat="1" applyFont="1" applyFill="1" applyAlignment="1">
      <alignment horizontal="center" vertical="center"/>
    </xf>
    <xf numFmtId="49" fontId="14" fillId="5" borderId="5" xfId="0" applyNumberFormat="1" applyFont="1" applyFill="1" applyBorder="1" applyAlignment="1">
      <alignment horizontal="center" vertical="center" wrapText="1"/>
    </xf>
    <xf numFmtId="185" fontId="14" fillId="5" borderId="5" xfId="0" applyNumberFormat="1" applyFont="1" applyFill="1" applyBorder="1" applyAlignment="1">
      <alignment horizontal="center" vertical="center"/>
    </xf>
    <xf numFmtId="43" fontId="14" fillId="10" borderId="5" xfId="0" applyNumberFormat="1" applyFont="1" applyFill="1" applyBorder="1">
      <alignment vertical="center"/>
    </xf>
    <xf numFmtId="43" fontId="21" fillId="5" borderId="5" xfId="1" applyFont="1" applyFill="1" applyBorder="1" applyAlignment="1"/>
    <xf numFmtId="43" fontId="21" fillId="0" borderId="5" xfId="0" applyNumberFormat="1" applyFont="1" applyBorder="1">
      <alignment vertical="center"/>
    </xf>
    <xf numFmtId="0" fontId="14" fillId="10" borderId="5" xfId="0" applyFont="1" applyFill="1" applyBorder="1">
      <alignment vertical="center"/>
    </xf>
    <xf numFmtId="185" fontId="21" fillId="0" borderId="0" xfId="0" applyNumberFormat="1" applyFont="1">
      <alignment vertical="center"/>
    </xf>
    <xf numFmtId="0" fontId="14" fillId="0" borderId="0" xfId="0" applyFont="1" applyAlignment="1">
      <alignment horizontal="center" vertical="center"/>
    </xf>
    <xf numFmtId="0" fontId="35" fillId="0" borderId="0" xfId="0" applyFont="1" applyAlignment="1"/>
    <xf numFmtId="0" fontId="6" fillId="5" borderId="5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  <xf numFmtId="0" fontId="6" fillId="5" borderId="57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81" fontId="18" fillId="6" borderId="5" xfId="1" applyNumberFormat="1" applyFont="1" applyFill="1" applyBorder="1" applyAlignment="1">
      <alignment horizontal="center" vertical="center"/>
    </xf>
    <xf numFmtId="43" fontId="18" fillId="6" borderId="5" xfId="1" applyFont="1" applyFill="1" applyBorder="1" applyAlignment="1">
      <alignment horizontal="center" vertical="center"/>
    </xf>
    <xf numFmtId="0" fontId="36" fillId="0" borderId="35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5" fillId="0" borderId="35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5" borderId="5" xfId="0" applyFont="1" applyFill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left" vertical="center" wrapText="1"/>
    </xf>
    <xf numFmtId="193" fontId="8" fillId="0" borderId="5" xfId="0" applyNumberFormat="1" applyFont="1" applyBorder="1" applyAlignment="1"/>
    <xf numFmtId="194" fontId="8" fillId="0" borderId="5" xfId="0" applyNumberFormat="1" applyFont="1" applyBorder="1" applyAlignment="1"/>
    <xf numFmtId="0" fontId="8" fillId="0" borderId="5" xfId="0" applyFont="1" applyBorder="1">
      <alignment vertical="center"/>
    </xf>
    <xf numFmtId="0" fontId="8" fillId="8" borderId="5" xfId="0" applyFont="1" applyFill="1" applyBorder="1">
      <alignment vertical="center"/>
    </xf>
    <xf numFmtId="49" fontId="8" fillId="0" borderId="5" xfId="0" applyNumberFormat="1" applyFont="1" applyBorder="1" applyAlignment="1">
      <alignment horizontal="left" vertical="center" wrapText="1"/>
    </xf>
    <xf numFmtId="43" fontId="8" fillId="0" borderId="5" xfId="1" applyFont="1" applyFill="1" applyBorder="1" applyAlignment="1">
      <alignment horizontal="right"/>
    </xf>
    <xf numFmtId="43" fontId="8" fillId="8" borderId="5" xfId="1" applyFont="1" applyFill="1" applyBorder="1">
      <alignment vertical="center"/>
    </xf>
    <xf numFmtId="43" fontId="8" fillId="0" borderId="5" xfId="1" applyFont="1" applyFill="1" applyBorder="1">
      <alignment vertical="center"/>
    </xf>
    <xf numFmtId="9" fontId="8" fillId="5" borderId="5" xfId="3" applyFont="1" applyFill="1" applyBorder="1" applyAlignment="1">
      <alignment horizontal="center" vertical="center"/>
    </xf>
    <xf numFmtId="43" fontId="8" fillId="0" borderId="0" xfId="0" applyNumberFormat="1" applyFont="1">
      <alignment vertical="center"/>
    </xf>
    <xf numFmtId="49" fontId="15" fillId="5" borderId="5" xfId="0" applyNumberFormat="1" applyFont="1" applyFill="1" applyBorder="1" applyAlignment="1">
      <alignment horizontal="left" vertical="center" wrapText="1"/>
    </xf>
    <xf numFmtId="43" fontId="8" fillId="5" borderId="5" xfId="1" applyFont="1" applyFill="1" applyBorder="1" applyAlignment="1">
      <alignment horizontal="right"/>
    </xf>
    <xf numFmtId="43" fontId="8" fillId="8" borderId="5" xfId="1" applyFont="1" applyFill="1" applyBorder="1" applyAlignment="1">
      <alignment horizontal="right"/>
    </xf>
    <xf numFmtId="9" fontId="8" fillId="5" borderId="5" xfId="3" applyFont="1" applyFill="1" applyBorder="1" applyAlignment="1">
      <alignment horizontal="center"/>
    </xf>
    <xf numFmtId="43" fontId="8" fillId="0" borderId="5" xfId="1" applyFont="1" applyFill="1" applyBorder="1" applyAlignment="1"/>
    <xf numFmtId="43" fontId="3" fillId="0" borderId="5" xfId="0" applyNumberFormat="1" applyFont="1" applyBorder="1">
      <alignment vertical="center"/>
    </xf>
    <xf numFmtId="49" fontId="8" fillId="5" borderId="5" xfId="0" applyNumberFormat="1" applyFont="1" applyFill="1" applyBorder="1" applyAlignment="1">
      <alignment horizontal="left" vertical="center" wrapText="1"/>
    </xf>
    <xf numFmtId="43" fontId="8" fillId="5" borderId="5" xfId="1" applyFont="1" applyFill="1" applyBorder="1" applyAlignment="1"/>
    <xf numFmtId="43" fontId="8" fillId="5" borderId="5" xfId="1" applyFont="1" applyFill="1" applyBorder="1">
      <alignment vertical="center"/>
    </xf>
    <xf numFmtId="0" fontId="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21" fillId="5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wrapText="1"/>
    </xf>
    <xf numFmtId="43" fontId="8" fillId="8" borderId="5" xfId="0" applyNumberFormat="1" applyFont="1" applyFill="1" applyBorder="1" applyAlignment="1">
      <alignment wrapText="1"/>
    </xf>
    <xf numFmtId="43" fontId="8" fillId="0" borderId="5" xfId="0" applyNumberFormat="1" applyFont="1" applyBorder="1" applyAlignment="1">
      <alignment wrapText="1"/>
    </xf>
    <xf numFmtId="43" fontId="8" fillId="8" borderId="5" xfId="1" applyFont="1" applyFill="1" applyBorder="1" applyAlignment="1"/>
    <xf numFmtId="43" fontId="8" fillId="0" borderId="0" xfId="0" applyNumberFormat="1" applyFont="1" applyAlignment="1">
      <alignment horizontal="left"/>
    </xf>
    <xf numFmtId="0" fontId="8" fillId="0" borderId="2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9" fontId="8" fillId="0" borderId="5" xfId="3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wrapText="1"/>
    </xf>
    <xf numFmtId="0" fontId="8" fillId="16" borderId="25" xfId="0" applyFont="1" applyFill="1" applyBorder="1" applyAlignment="1"/>
    <xf numFmtId="0" fontId="8" fillId="16" borderId="25" xfId="0" applyFont="1" applyFill="1" applyBorder="1" applyAlignment="1">
      <alignment horizontal="center" wrapText="1"/>
    </xf>
    <xf numFmtId="0" fontId="8" fillId="0" borderId="25" xfId="0" applyFont="1" applyBorder="1" applyAlignment="1"/>
    <xf numFmtId="0" fontId="14" fillId="0" borderId="25" xfId="0" applyFont="1" applyBorder="1" applyAlignment="1">
      <alignment wrapText="1"/>
    </xf>
    <xf numFmtId="0" fontId="21" fillId="0" borderId="27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21" fillId="0" borderId="39" xfId="0" applyFont="1" applyBorder="1" applyAlignment="1">
      <alignment vertical="center" wrapText="1"/>
    </xf>
    <xf numFmtId="0" fontId="21" fillId="0" borderId="36" xfId="0" applyFont="1" applyBorder="1" applyAlignment="1">
      <alignment vertical="center" wrapText="1"/>
    </xf>
    <xf numFmtId="0" fontId="8" fillId="0" borderId="25" xfId="0" applyFont="1" applyBorder="1" applyAlignment="1">
      <alignment horizontal="left"/>
    </xf>
    <xf numFmtId="0" fontId="14" fillId="0" borderId="25" xfId="0" applyFont="1" applyBorder="1" applyAlignment="1">
      <alignment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ecimal_0dp" xfId="49"/>
    <cellStyle name="常规 2" xfId="50"/>
    <cellStyle name="常规 3 2" xfId="51"/>
    <cellStyle name="常规 5 7" xfId="52"/>
    <cellStyle name="常规 8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8"/>
  <sheetViews>
    <sheetView showGridLines="0" workbookViewId="0">
      <selection activeCell="I13" sqref="I13"/>
    </sheetView>
  </sheetViews>
  <sheetFormatPr defaultColWidth="8.91666666666667" defaultRowHeight="16.5"/>
  <cols>
    <col min="1" max="1" width="2" style="11" customWidth="1"/>
    <col min="2" max="2" width="17" style="11" customWidth="1"/>
    <col min="3" max="3" width="55.4166666666667" style="11" customWidth="1"/>
    <col min="4" max="4" width="4.08333333333333" style="11" customWidth="1"/>
    <col min="5" max="5" width="16.9166666666667" style="11" customWidth="1"/>
    <col min="6" max="6" width="16.6666666666667" style="11" customWidth="1"/>
    <col min="7" max="7" width="20.25" style="11" customWidth="1"/>
    <col min="8" max="9" width="10" style="11" customWidth="1"/>
    <col min="10" max="16384" width="8.91666666666667" style="11"/>
  </cols>
  <sheetData>
    <row r="1" ht="12.75" customHeight="1" spans="1:9">
      <c r="A1" s="96"/>
      <c r="B1" s="96"/>
      <c r="C1" s="435"/>
      <c r="D1" s="96"/>
      <c r="E1" s="96"/>
      <c r="F1" s="96"/>
      <c r="G1" s="96"/>
      <c r="H1" s="96"/>
      <c r="I1" s="96"/>
    </row>
    <row r="2" ht="23.5" customHeight="1" spans="1:9">
      <c r="A2" s="96"/>
      <c r="B2" s="436" t="s">
        <v>0</v>
      </c>
      <c r="C2" s="437" t="s">
        <v>1</v>
      </c>
      <c r="D2" s="96"/>
      <c r="E2" s="98" t="s">
        <v>2</v>
      </c>
      <c r="F2" s="98" t="s">
        <v>3</v>
      </c>
      <c r="G2" s="98" t="s">
        <v>4</v>
      </c>
      <c r="H2" s="96"/>
      <c r="I2" s="96"/>
    </row>
    <row r="3" ht="16" customHeight="1" spans="1:9">
      <c r="A3" s="96"/>
      <c r="B3" s="438" t="s">
        <v>5</v>
      </c>
      <c r="C3" s="439" t="s">
        <v>6</v>
      </c>
      <c r="D3" s="96"/>
      <c r="E3" s="100" t="s">
        <v>7</v>
      </c>
      <c r="F3" s="70" t="s">
        <v>8</v>
      </c>
      <c r="G3" s="70" t="s">
        <v>9</v>
      </c>
      <c r="H3" s="96"/>
      <c r="I3" s="96"/>
    </row>
    <row r="4" ht="16" customHeight="1" spans="1:9">
      <c r="A4" s="96"/>
      <c r="B4" s="438" t="s">
        <v>10</v>
      </c>
      <c r="C4" s="440"/>
      <c r="D4" s="96"/>
      <c r="E4" s="100" t="s">
        <v>11</v>
      </c>
      <c r="F4" s="70" t="s">
        <v>12</v>
      </c>
      <c r="G4" s="70" t="s">
        <v>13</v>
      </c>
      <c r="H4" s="96"/>
      <c r="I4" s="96"/>
    </row>
    <row r="5" ht="16" customHeight="1" spans="1:9">
      <c r="A5" s="96"/>
      <c r="B5" s="438" t="s">
        <v>14</v>
      </c>
      <c r="C5" s="441" t="s">
        <v>15</v>
      </c>
      <c r="D5" s="96"/>
      <c r="E5" s="100" t="s">
        <v>16</v>
      </c>
      <c r="F5" s="70" t="s">
        <v>6</v>
      </c>
      <c r="G5" s="70" t="s">
        <v>9</v>
      </c>
      <c r="H5" s="96"/>
      <c r="I5" s="96"/>
    </row>
    <row r="6" ht="16" customHeight="1" spans="1:9">
      <c r="A6" s="96"/>
      <c r="B6" s="438" t="s">
        <v>17</v>
      </c>
      <c r="C6" s="441" t="s">
        <v>18</v>
      </c>
      <c r="D6" s="96"/>
      <c r="E6" s="100" t="s">
        <v>19</v>
      </c>
      <c r="F6" s="70" t="s">
        <v>12</v>
      </c>
      <c r="G6" s="70" t="s">
        <v>9</v>
      </c>
      <c r="H6" s="96"/>
      <c r="I6" s="96"/>
    </row>
    <row r="7" ht="16" customHeight="1" spans="1:9">
      <c r="A7" s="96"/>
      <c r="B7" s="438" t="s">
        <v>20</v>
      </c>
      <c r="C7" s="440"/>
      <c r="D7" s="96"/>
      <c r="E7" s="100" t="s">
        <v>21</v>
      </c>
      <c r="F7" s="70" t="s">
        <v>8</v>
      </c>
      <c r="G7" s="70" t="s">
        <v>9</v>
      </c>
      <c r="H7" s="96"/>
      <c r="I7" s="96"/>
    </row>
    <row r="8" ht="16" customHeight="1" spans="1:9">
      <c r="A8" s="96"/>
      <c r="B8" s="438" t="s">
        <v>22</v>
      </c>
      <c r="C8" s="440"/>
      <c r="D8" s="96"/>
      <c r="E8" s="100" t="s">
        <v>23</v>
      </c>
      <c r="F8" s="70" t="s">
        <v>8</v>
      </c>
      <c r="G8" s="70" t="s">
        <v>9</v>
      </c>
      <c r="H8" s="96"/>
      <c r="I8" s="96"/>
    </row>
    <row r="9" ht="16" customHeight="1" spans="1:9">
      <c r="A9" s="96"/>
      <c r="B9" s="438" t="s">
        <v>24</v>
      </c>
      <c r="C9" s="440" t="s">
        <v>25</v>
      </c>
      <c r="D9" s="96"/>
      <c r="E9" s="96"/>
      <c r="F9" s="96"/>
      <c r="G9" s="96"/>
      <c r="H9" s="96"/>
      <c r="I9" s="96"/>
    </row>
    <row r="10" ht="16" customHeight="1" spans="1:9">
      <c r="A10" s="96"/>
      <c r="B10" s="438" t="s">
        <v>26</v>
      </c>
      <c r="C10" s="440" t="s">
        <v>27</v>
      </c>
      <c r="D10" s="96"/>
      <c r="E10" s="96"/>
      <c r="F10" s="96"/>
      <c r="G10" s="96"/>
      <c r="H10" s="96"/>
      <c r="I10" s="96"/>
    </row>
    <row r="11" ht="16" customHeight="1" spans="1:9">
      <c r="A11" s="96"/>
      <c r="B11" s="438" t="s">
        <v>28</v>
      </c>
      <c r="C11" s="441" t="s">
        <v>29</v>
      </c>
      <c r="D11" s="96"/>
      <c r="E11" s="442" t="s">
        <v>30</v>
      </c>
      <c r="F11" s="442"/>
      <c r="G11" s="442"/>
      <c r="H11" s="96"/>
      <c r="I11" s="96"/>
    </row>
    <row r="12" ht="16" customHeight="1" spans="1:9">
      <c r="A12" s="96"/>
      <c r="B12" s="438" t="s">
        <v>31</v>
      </c>
      <c r="C12" s="441"/>
      <c r="D12" s="96"/>
      <c r="E12" s="442"/>
      <c r="F12" s="442"/>
      <c r="G12" s="442"/>
      <c r="H12" s="96"/>
      <c r="I12" s="96"/>
    </row>
    <row r="13" ht="16" customHeight="1" spans="1:9">
      <c r="A13" s="96"/>
      <c r="B13" s="438" t="s">
        <v>32</v>
      </c>
      <c r="C13" s="443"/>
      <c r="D13" s="96"/>
      <c r="E13" s="442"/>
      <c r="F13" s="442"/>
      <c r="G13" s="442"/>
      <c r="H13" s="96"/>
      <c r="I13" s="96"/>
    </row>
    <row r="14" ht="16" customHeight="1" spans="1:9">
      <c r="A14" s="96"/>
      <c r="B14" s="438" t="s">
        <v>33</v>
      </c>
      <c r="C14" s="444"/>
      <c r="D14" s="96"/>
      <c r="E14" s="442"/>
      <c r="F14" s="442"/>
      <c r="G14" s="442"/>
      <c r="H14" s="96"/>
      <c r="I14" s="96"/>
    </row>
    <row r="15" ht="16" customHeight="1" spans="1:9">
      <c r="A15" s="96"/>
      <c r="B15" s="438" t="s">
        <v>34</v>
      </c>
      <c r="C15" s="439" t="s">
        <v>35</v>
      </c>
      <c r="D15" s="96"/>
      <c r="E15" s="442"/>
      <c r="F15" s="442"/>
      <c r="G15" s="442"/>
      <c r="H15" s="96"/>
      <c r="I15" s="96"/>
    </row>
    <row r="16" ht="16" customHeight="1" spans="1:9">
      <c r="A16" s="96"/>
      <c r="B16" s="438" t="s">
        <v>36</v>
      </c>
      <c r="C16" s="440"/>
      <c r="D16" s="96"/>
      <c r="E16" s="442"/>
      <c r="F16" s="442"/>
      <c r="G16" s="442"/>
      <c r="H16" s="96"/>
      <c r="I16" s="96"/>
    </row>
    <row r="17" ht="16" customHeight="1" spans="1:9">
      <c r="A17" s="96"/>
      <c r="B17" s="438" t="s">
        <v>37</v>
      </c>
      <c r="C17" s="441" t="s">
        <v>38</v>
      </c>
      <c r="D17" s="96"/>
      <c r="E17" s="442"/>
      <c r="F17" s="442"/>
      <c r="G17" s="442"/>
      <c r="H17" s="96"/>
      <c r="I17" s="96"/>
    </row>
    <row r="18" ht="16" customHeight="1" spans="1:9">
      <c r="A18" s="96"/>
      <c r="B18" s="438" t="s">
        <v>39</v>
      </c>
      <c r="C18" s="441" t="s">
        <v>25</v>
      </c>
      <c r="D18" s="96"/>
      <c r="E18" s="442"/>
      <c r="F18" s="442"/>
      <c r="G18" s="442"/>
      <c r="H18" s="96"/>
      <c r="I18" s="96"/>
    </row>
    <row r="19" ht="16" customHeight="1" spans="1:9">
      <c r="A19" s="96"/>
      <c r="B19" s="445" t="s">
        <v>40</v>
      </c>
      <c r="C19" s="446" t="s">
        <v>41</v>
      </c>
      <c r="D19" s="96"/>
      <c r="E19" s="442"/>
      <c r="F19" s="442"/>
      <c r="G19" s="442"/>
      <c r="H19" s="96"/>
      <c r="I19" s="96"/>
    </row>
    <row r="20" ht="12" customHeight="1" spans="1:9">
      <c r="A20" s="96"/>
      <c r="B20" s="96"/>
      <c r="C20" s="435"/>
      <c r="D20" s="96"/>
      <c r="E20" s="442"/>
      <c r="F20" s="442"/>
      <c r="G20" s="442"/>
      <c r="H20" s="96"/>
      <c r="I20" s="96"/>
    </row>
    <row r="21" spans="1:9">
      <c r="A21" s="96"/>
      <c r="B21" s="96"/>
      <c r="C21" s="435"/>
      <c r="D21" s="96"/>
      <c r="E21" s="96"/>
      <c r="F21" s="96"/>
      <c r="G21" s="96"/>
      <c r="H21" s="96"/>
      <c r="I21" s="96"/>
    </row>
    <row r="22" spans="1:9">
      <c r="A22" s="96"/>
      <c r="B22" s="96"/>
      <c r="C22" s="435"/>
      <c r="D22" s="96"/>
      <c r="E22" s="96"/>
      <c r="F22" s="96"/>
      <c r="G22" s="96"/>
      <c r="H22" s="96"/>
      <c r="I22" s="96"/>
    </row>
    <row r="23" spans="1:9">
      <c r="A23" s="96"/>
      <c r="B23" s="96"/>
      <c r="C23" s="435"/>
      <c r="D23" s="96"/>
      <c r="E23" s="96"/>
      <c r="F23" s="96"/>
      <c r="G23" s="96"/>
      <c r="H23" s="96"/>
      <c r="I23" s="96"/>
    </row>
    <row r="24" spans="1:9">
      <c r="A24" s="96"/>
      <c r="B24" s="96"/>
      <c r="C24" s="435"/>
      <c r="D24" s="96"/>
      <c r="E24" s="96"/>
      <c r="F24" s="96"/>
      <c r="G24" s="96"/>
      <c r="H24" s="96"/>
      <c r="I24" s="96"/>
    </row>
    <row r="25" spans="1:9">
      <c r="A25" s="96"/>
      <c r="B25" s="96"/>
      <c r="C25" s="435"/>
      <c r="D25" s="96"/>
      <c r="E25" s="96"/>
      <c r="F25" s="96"/>
      <c r="G25" s="96"/>
      <c r="H25" s="96"/>
      <c r="I25" s="96"/>
    </row>
    <row r="26" spans="1:9">
      <c r="A26" s="96"/>
      <c r="B26" s="96"/>
      <c r="C26" s="435"/>
      <c r="D26" s="96"/>
      <c r="E26" s="96"/>
      <c r="F26" s="96"/>
      <c r="G26" s="96"/>
      <c r="H26" s="96"/>
      <c r="I26" s="96"/>
    </row>
    <row r="27" spans="1:9">
      <c r="A27" s="96"/>
      <c r="B27" s="96"/>
      <c r="C27" s="435"/>
      <c r="D27" s="96"/>
      <c r="E27" s="96"/>
      <c r="F27" s="96"/>
      <c r="G27" s="96"/>
      <c r="H27" s="96"/>
      <c r="I27" s="96"/>
    </row>
    <row r="28" spans="1:9">
      <c r="A28" s="96"/>
      <c r="B28" s="96"/>
      <c r="C28" s="435"/>
      <c r="D28" s="96"/>
      <c r="E28" s="96"/>
      <c r="F28" s="96"/>
      <c r="G28" s="96"/>
      <c r="H28" s="96"/>
      <c r="I28" s="96"/>
    </row>
    <row r="29" spans="1:9">
      <c r="A29" s="96"/>
      <c r="B29" s="96"/>
      <c r="C29" s="435"/>
      <c r="D29" s="96"/>
      <c r="E29" s="96"/>
      <c r="F29" s="96"/>
      <c r="G29" s="96"/>
      <c r="H29" s="96"/>
      <c r="I29" s="96"/>
    </row>
    <row r="30" spans="1:9">
      <c r="A30" s="96"/>
      <c r="B30" s="96"/>
      <c r="C30" s="435"/>
      <c r="D30" s="96"/>
      <c r="E30" s="96"/>
      <c r="F30" s="96"/>
      <c r="G30" s="96"/>
      <c r="H30" s="96"/>
      <c r="I30" s="96"/>
    </row>
    <row r="31" spans="1:9">
      <c r="A31" s="96"/>
      <c r="B31" s="96"/>
      <c r="C31" s="435"/>
      <c r="D31" s="96"/>
      <c r="E31" s="96"/>
      <c r="F31" s="96"/>
      <c r="G31" s="96"/>
      <c r="H31" s="96"/>
      <c r="I31" s="96"/>
    </row>
    <row r="32" spans="1:9">
      <c r="A32" s="96"/>
      <c r="B32" s="96"/>
      <c r="C32" s="435"/>
      <c r="D32" s="96"/>
      <c r="E32" s="96"/>
      <c r="F32" s="96"/>
      <c r="G32" s="96"/>
      <c r="H32" s="96"/>
      <c r="I32" s="96"/>
    </row>
    <row r="33" spans="1:9">
      <c r="A33" s="96"/>
      <c r="B33" s="96"/>
      <c r="C33" s="435"/>
      <c r="D33" s="96"/>
      <c r="E33" s="96"/>
      <c r="F33" s="96"/>
      <c r="G33" s="96"/>
      <c r="H33" s="96"/>
      <c r="I33" s="96"/>
    </row>
    <row r="34" spans="1:9">
      <c r="A34" s="96"/>
      <c r="B34" s="96"/>
      <c r="C34" s="435"/>
      <c r="D34" s="96"/>
      <c r="E34" s="96"/>
      <c r="F34" s="96"/>
      <c r="G34" s="96"/>
      <c r="H34" s="96"/>
      <c r="I34" s="96"/>
    </row>
    <row r="35" spans="1:9">
      <c r="A35" s="96"/>
      <c r="B35" s="96"/>
      <c r="C35" s="435"/>
      <c r="D35" s="96"/>
      <c r="E35" s="96"/>
      <c r="F35" s="96"/>
      <c r="G35" s="96"/>
      <c r="H35" s="96"/>
      <c r="I35" s="96"/>
    </row>
    <row r="36" spans="1:9">
      <c r="A36" s="96"/>
      <c r="B36" s="96"/>
      <c r="C36" s="435"/>
      <c r="D36" s="96"/>
      <c r="E36" s="96"/>
      <c r="F36" s="96"/>
      <c r="G36" s="96"/>
      <c r="H36" s="96"/>
      <c r="I36" s="96"/>
    </row>
    <row r="37" spans="1:9">
      <c r="A37" s="96"/>
      <c r="B37" s="96"/>
      <c r="C37" s="435"/>
      <c r="D37" s="96"/>
      <c r="E37" s="96"/>
      <c r="F37" s="96"/>
      <c r="G37" s="96"/>
      <c r="H37" s="96"/>
      <c r="I37" s="96"/>
    </row>
    <row r="38" spans="1:9">
      <c r="A38" s="96"/>
      <c r="B38" s="96"/>
      <c r="C38" s="435"/>
      <c r="D38" s="96"/>
      <c r="E38" s="96"/>
      <c r="F38" s="96"/>
      <c r="G38" s="96"/>
      <c r="H38" s="96"/>
      <c r="I38" s="96"/>
    </row>
    <row r="39" spans="1:9">
      <c r="A39" s="96"/>
      <c r="B39" s="96"/>
      <c r="C39" s="435"/>
      <c r="D39" s="96"/>
      <c r="E39" s="96"/>
      <c r="F39" s="96"/>
      <c r="G39" s="96"/>
      <c r="H39" s="96"/>
      <c r="I39" s="96"/>
    </row>
    <row r="40" spans="1:9">
      <c r="A40" s="96"/>
      <c r="B40" s="96"/>
      <c r="C40" s="435"/>
      <c r="D40" s="96"/>
      <c r="E40" s="96"/>
      <c r="F40" s="96"/>
      <c r="G40" s="96"/>
      <c r="H40" s="96"/>
      <c r="I40" s="96"/>
    </row>
    <row r="41" spans="1:9">
      <c r="A41" s="96"/>
      <c r="B41" s="96"/>
      <c r="C41" s="435"/>
      <c r="D41" s="96"/>
      <c r="E41" s="96"/>
      <c r="F41" s="96"/>
      <c r="G41" s="96"/>
      <c r="H41" s="96"/>
      <c r="I41" s="96"/>
    </row>
    <row r="42" spans="1:9">
      <c r="A42" s="96"/>
      <c r="B42" s="96"/>
      <c r="C42" s="435"/>
      <c r="D42" s="96"/>
      <c r="E42" s="96"/>
      <c r="F42" s="96"/>
      <c r="G42" s="96"/>
      <c r="H42" s="96"/>
      <c r="I42" s="96"/>
    </row>
    <row r="43" spans="1:9">
      <c r="A43" s="96"/>
      <c r="B43" s="96"/>
      <c r="C43" s="435"/>
      <c r="D43" s="96"/>
      <c r="E43" s="96"/>
      <c r="F43" s="96"/>
      <c r="G43" s="96"/>
      <c r="H43" s="96"/>
      <c r="I43" s="96"/>
    </row>
    <row r="44" spans="1:9">
      <c r="A44" s="96"/>
      <c r="B44" s="96"/>
      <c r="C44" s="435"/>
      <c r="D44" s="96"/>
      <c r="E44" s="96"/>
      <c r="F44" s="96"/>
      <c r="G44" s="96"/>
      <c r="H44" s="96"/>
      <c r="I44" s="96"/>
    </row>
    <row r="45" spans="1:9">
      <c r="A45" s="96"/>
      <c r="B45" s="96"/>
      <c r="C45" s="435"/>
      <c r="D45" s="96"/>
      <c r="E45" s="96"/>
      <c r="F45" s="96"/>
      <c r="G45" s="96"/>
      <c r="H45" s="96"/>
      <c r="I45" s="96"/>
    </row>
    <row r="46" spans="1:9">
      <c r="A46" s="96"/>
      <c r="B46" s="96"/>
      <c r="C46" s="435"/>
      <c r="D46" s="96"/>
      <c r="E46" s="96"/>
      <c r="F46" s="96"/>
      <c r="G46" s="96"/>
      <c r="H46" s="96"/>
      <c r="I46" s="96"/>
    </row>
    <row r="47" spans="1:9">
      <c r="A47" s="96"/>
      <c r="B47" s="96"/>
      <c r="C47" s="435"/>
      <c r="D47" s="96"/>
      <c r="E47" s="96"/>
      <c r="F47" s="96"/>
      <c r="G47" s="96"/>
      <c r="H47" s="96"/>
      <c r="I47" s="96"/>
    </row>
    <row r="48" spans="1:9">
      <c r="A48" s="96"/>
      <c r="B48" s="96"/>
      <c r="C48" s="435"/>
      <c r="D48" s="96"/>
      <c r="E48" s="96"/>
      <c r="F48" s="96"/>
      <c r="G48" s="96"/>
      <c r="H48" s="96"/>
      <c r="I48" s="96"/>
    </row>
    <row r="49" spans="1:9">
      <c r="A49" s="96"/>
      <c r="B49" s="96"/>
      <c r="C49" s="435"/>
      <c r="D49" s="96"/>
      <c r="E49" s="96"/>
      <c r="F49" s="96"/>
      <c r="G49" s="96"/>
      <c r="H49" s="96"/>
      <c r="I49" s="96"/>
    </row>
    <row r="50" spans="1:9">
      <c r="A50" s="96"/>
      <c r="B50" s="96"/>
      <c r="C50" s="435"/>
      <c r="D50" s="96"/>
      <c r="E50" s="96"/>
      <c r="F50" s="96"/>
      <c r="G50" s="96"/>
      <c r="H50" s="96"/>
      <c r="I50" s="96"/>
    </row>
    <row r="51" spans="1:9">
      <c r="A51" s="96"/>
      <c r="B51" s="96"/>
      <c r="C51" s="435"/>
      <c r="D51" s="96"/>
      <c r="E51" s="96"/>
      <c r="F51" s="96"/>
      <c r="G51" s="96"/>
      <c r="H51" s="96"/>
      <c r="I51" s="96"/>
    </row>
    <row r="52" spans="1:9">
      <c r="A52" s="96"/>
      <c r="B52" s="96"/>
      <c r="C52" s="435"/>
      <c r="D52" s="96"/>
      <c r="E52" s="96"/>
      <c r="F52" s="96"/>
      <c r="G52" s="96"/>
      <c r="H52" s="96"/>
      <c r="I52" s="96"/>
    </row>
    <row r="53" spans="1:9">
      <c r="A53" s="96"/>
      <c r="B53" s="96"/>
      <c r="C53" s="435"/>
      <c r="D53" s="96"/>
      <c r="E53" s="96"/>
      <c r="F53" s="96"/>
      <c r="G53" s="96"/>
      <c r="H53" s="96"/>
      <c r="I53" s="96"/>
    </row>
    <row r="54" spans="1:9">
      <c r="A54" s="96"/>
      <c r="B54" s="96"/>
      <c r="C54" s="435"/>
      <c r="D54" s="96"/>
      <c r="E54" s="96"/>
      <c r="F54" s="96"/>
      <c r="G54" s="96"/>
      <c r="H54" s="96"/>
      <c r="I54" s="96"/>
    </row>
    <row r="55" spans="1:9">
      <c r="A55" s="96"/>
      <c r="B55" s="96"/>
      <c r="C55" s="435"/>
      <c r="D55" s="96"/>
      <c r="E55" s="96"/>
      <c r="F55" s="96"/>
      <c r="G55" s="96"/>
      <c r="H55" s="96"/>
      <c r="I55" s="96"/>
    </row>
    <row r="56" spans="1:9">
      <c r="A56" s="96"/>
      <c r="B56" s="96"/>
      <c r="C56" s="435"/>
      <c r="D56" s="96"/>
      <c r="E56" s="96"/>
      <c r="F56" s="96"/>
      <c r="G56" s="96"/>
      <c r="H56" s="96"/>
      <c r="I56" s="96"/>
    </row>
    <row r="57" spans="1:9">
      <c r="A57" s="96"/>
      <c r="B57" s="96"/>
      <c r="C57" s="435"/>
      <c r="D57" s="96"/>
      <c r="E57" s="96"/>
      <c r="F57" s="96"/>
      <c r="G57" s="96"/>
      <c r="H57" s="96"/>
      <c r="I57" s="96"/>
    </row>
    <row r="58" spans="1:9">
      <c r="A58" s="96"/>
      <c r="B58" s="96"/>
      <c r="C58" s="435"/>
      <c r="D58" s="96"/>
      <c r="E58" s="96"/>
      <c r="F58" s="96"/>
      <c r="G58" s="96"/>
      <c r="H58" s="96"/>
      <c r="I58" s="96"/>
    </row>
    <row r="59" spans="1:9">
      <c r="A59" s="96"/>
      <c r="B59" s="96"/>
      <c r="C59" s="435"/>
      <c r="D59" s="96"/>
      <c r="E59" s="96"/>
      <c r="F59" s="96"/>
      <c r="G59" s="96"/>
      <c r="H59" s="96"/>
      <c r="I59" s="96"/>
    </row>
    <row r="60" spans="1:9">
      <c r="A60" s="96"/>
      <c r="B60" s="96"/>
      <c r="C60" s="435"/>
      <c r="D60" s="96"/>
      <c r="E60" s="96"/>
      <c r="F60" s="96"/>
      <c r="G60" s="96"/>
      <c r="H60" s="96"/>
      <c r="I60" s="96"/>
    </row>
    <row r="61" spans="1:9">
      <c r="A61" s="96"/>
      <c r="B61" s="96"/>
      <c r="C61" s="435"/>
      <c r="D61" s="96"/>
      <c r="E61" s="96"/>
      <c r="F61" s="96"/>
      <c r="G61" s="96"/>
      <c r="H61" s="96"/>
      <c r="I61" s="96"/>
    </row>
    <row r="62" spans="1:9">
      <c r="A62" s="96"/>
      <c r="B62" s="96"/>
      <c r="C62" s="435"/>
      <c r="D62" s="96"/>
      <c r="E62" s="96"/>
      <c r="F62" s="96"/>
      <c r="G62" s="96"/>
      <c r="H62" s="96"/>
      <c r="I62" s="96"/>
    </row>
    <row r="63" spans="1:9">
      <c r="A63" s="96"/>
      <c r="B63" s="96"/>
      <c r="C63" s="435"/>
      <c r="D63" s="96"/>
      <c r="E63" s="96"/>
      <c r="F63" s="96"/>
      <c r="G63" s="96"/>
      <c r="H63" s="96"/>
      <c r="I63" s="96"/>
    </row>
    <row r="64" spans="1:9">
      <c r="A64" s="96"/>
      <c r="B64" s="96"/>
      <c r="C64" s="435"/>
      <c r="D64" s="96"/>
      <c r="E64" s="96"/>
      <c r="F64" s="96"/>
      <c r="G64" s="96"/>
      <c r="H64" s="96"/>
      <c r="I64" s="96"/>
    </row>
    <row r="65" spans="1:9">
      <c r="A65" s="96"/>
      <c r="B65" s="96"/>
      <c r="C65" s="435"/>
      <c r="D65" s="96"/>
      <c r="E65" s="96"/>
      <c r="F65" s="96"/>
      <c r="G65" s="96"/>
      <c r="H65" s="96"/>
      <c r="I65" s="96"/>
    </row>
    <row r="66" spans="1:9">
      <c r="A66" s="96"/>
      <c r="B66" s="96"/>
      <c r="C66" s="435"/>
      <c r="D66" s="96"/>
      <c r="E66" s="96"/>
      <c r="F66" s="96"/>
      <c r="G66" s="96"/>
      <c r="H66" s="96"/>
      <c r="I66" s="96"/>
    </row>
    <row r="67" spans="1:9">
      <c r="A67" s="96"/>
      <c r="B67" s="96"/>
      <c r="C67" s="435"/>
      <c r="D67" s="96"/>
      <c r="E67" s="96"/>
      <c r="F67" s="96"/>
      <c r="G67" s="96"/>
      <c r="H67" s="96"/>
      <c r="I67" s="96"/>
    </row>
    <row r="68" spans="1:9">
      <c r="A68" s="96"/>
      <c r="B68" s="96"/>
      <c r="C68" s="435"/>
      <c r="D68" s="96"/>
      <c r="E68" s="96"/>
      <c r="F68" s="96"/>
      <c r="G68" s="96"/>
      <c r="H68" s="96"/>
      <c r="I68" s="96"/>
    </row>
    <row r="69" spans="1:9">
      <c r="A69" s="96"/>
      <c r="B69" s="96"/>
      <c r="C69" s="435"/>
      <c r="D69" s="96"/>
      <c r="E69" s="96"/>
      <c r="F69" s="96"/>
      <c r="G69" s="96"/>
      <c r="H69" s="96"/>
      <c r="I69" s="96"/>
    </row>
    <row r="70" spans="1:9">
      <c r="A70" s="96"/>
      <c r="B70" s="96"/>
      <c r="C70" s="435"/>
      <c r="D70" s="96"/>
      <c r="E70" s="96"/>
      <c r="F70" s="96"/>
      <c r="G70" s="96"/>
      <c r="H70" s="96"/>
      <c r="I70" s="96"/>
    </row>
    <row r="71" spans="1:9">
      <c r="A71" s="96"/>
      <c r="B71" s="96"/>
      <c r="C71" s="435"/>
      <c r="D71" s="96"/>
      <c r="E71" s="96"/>
      <c r="F71" s="96"/>
      <c r="G71" s="96"/>
      <c r="H71" s="96"/>
      <c r="I71" s="96"/>
    </row>
    <row r="72" spans="1:9">
      <c r="A72" s="96"/>
      <c r="B72" s="96"/>
      <c r="C72" s="435"/>
      <c r="D72" s="96"/>
      <c r="E72" s="96"/>
      <c r="F72" s="96"/>
      <c r="G72" s="96"/>
      <c r="H72" s="96"/>
      <c r="I72" s="96"/>
    </row>
    <row r="73" spans="1:9">
      <c r="A73" s="96"/>
      <c r="B73" s="96"/>
      <c r="C73" s="435"/>
      <c r="D73" s="96"/>
      <c r="E73" s="96"/>
      <c r="F73" s="96"/>
      <c r="G73" s="96"/>
      <c r="H73" s="96"/>
      <c r="I73" s="96"/>
    </row>
    <row r="74" spans="1:9">
      <c r="A74" s="96"/>
      <c r="B74" s="96"/>
      <c r="C74" s="435"/>
      <c r="D74" s="96"/>
      <c r="E74" s="96"/>
      <c r="F74" s="96"/>
      <c r="G74" s="96"/>
      <c r="H74" s="96"/>
      <c r="I74" s="96"/>
    </row>
    <row r="75" spans="1:9">
      <c r="A75" s="96"/>
      <c r="B75" s="96"/>
      <c r="C75" s="435"/>
      <c r="D75" s="96"/>
      <c r="E75" s="96"/>
      <c r="F75" s="96"/>
      <c r="G75" s="96"/>
      <c r="H75" s="96"/>
      <c r="I75" s="96"/>
    </row>
    <row r="76" spans="1:9">
      <c r="A76" s="96"/>
      <c r="B76" s="96"/>
      <c r="C76" s="435"/>
      <c r="D76" s="96"/>
      <c r="E76" s="96"/>
      <c r="F76" s="96"/>
      <c r="G76" s="96"/>
      <c r="H76" s="96"/>
      <c r="I76" s="96"/>
    </row>
    <row r="77" spans="1:9">
      <c r="A77" s="96"/>
      <c r="B77" s="96"/>
      <c r="C77" s="435"/>
      <c r="D77" s="96"/>
      <c r="E77" s="96"/>
      <c r="F77" s="96"/>
      <c r="G77" s="96"/>
      <c r="H77" s="96"/>
      <c r="I77" s="96"/>
    </row>
    <row r="78" spans="1:9">
      <c r="A78" s="96"/>
      <c r="B78" s="96"/>
      <c r="C78" s="435"/>
      <c r="D78" s="96"/>
      <c r="E78" s="96"/>
      <c r="F78" s="96"/>
      <c r="G78" s="96"/>
      <c r="H78" s="96"/>
      <c r="I78" s="96"/>
    </row>
    <row r="79" spans="1:9">
      <c r="A79" s="96"/>
      <c r="B79" s="96"/>
      <c r="C79" s="435"/>
      <c r="D79" s="96"/>
      <c r="E79" s="96"/>
      <c r="F79" s="96"/>
      <c r="G79" s="96"/>
      <c r="H79" s="96"/>
      <c r="I79" s="96"/>
    </row>
    <row r="80" spans="1:9">
      <c r="A80" s="96"/>
      <c r="B80" s="96"/>
      <c r="C80" s="435"/>
      <c r="D80" s="96"/>
      <c r="E80" s="96"/>
      <c r="F80" s="96"/>
      <c r="G80" s="96"/>
      <c r="H80" s="96"/>
      <c r="I80" s="96"/>
    </row>
    <row r="81" spans="1:9">
      <c r="A81" s="96"/>
      <c r="B81" s="96"/>
      <c r="C81" s="435"/>
      <c r="D81" s="96"/>
      <c r="E81" s="96"/>
      <c r="F81" s="96"/>
      <c r="G81" s="96"/>
      <c r="H81" s="96"/>
      <c r="I81" s="96"/>
    </row>
    <row r="82" spans="1:9">
      <c r="A82" s="96"/>
      <c r="B82" s="96"/>
      <c r="C82" s="435"/>
      <c r="D82" s="96"/>
      <c r="E82" s="96"/>
      <c r="F82" s="96"/>
      <c r="G82" s="96"/>
      <c r="H82" s="96"/>
      <c r="I82" s="96"/>
    </row>
    <row r="83" spans="1:9">
      <c r="A83" s="96"/>
      <c r="B83" s="96"/>
      <c r="C83" s="435"/>
      <c r="D83" s="96"/>
      <c r="E83" s="96"/>
      <c r="F83" s="96"/>
      <c r="G83" s="96"/>
      <c r="H83" s="96"/>
      <c r="I83" s="96"/>
    </row>
    <row r="84" spans="1:9">
      <c r="A84" s="96"/>
      <c r="B84" s="96"/>
      <c r="C84" s="435"/>
      <c r="D84" s="96"/>
      <c r="E84" s="96"/>
      <c r="F84" s="96"/>
      <c r="G84" s="96"/>
      <c r="H84" s="96"/>
      <c r="I84" s="96"/>
    </row>
    <row r="85" spans="1:9">
      <c r="A85" s="96"/>
      <c r="B85" s="96"/>
      <c r="C85" s="435"/>
      <c r="D85" s="96"/>
      <c r="E85" s="96"/>
      <c r="F85" s="96"/>
      <c r="G85" s="96"/>
      <c r="H85" s="96"/>
      <c r="I85" s="96"/>
    </row>
    <row r="86" spans="1:9">
      <c r="A86" s="96"/>
      <c r="B86" s="96"/>
      <c r="C86" s="435"/>
      <c r="D86" s="96"/>
      <c r="E86" s="96"/>
      <c r="F86" s="96"/>
      <c r="G86" s="96"/>
      <c r="H86" s="96"/>
      <c r="I86" s="96"/>
    </row>
    <row r="87" spans="1:9">
      <c r="A87" s="96"/>
      <c r="B87" s="96"/>
      <c r="C87" s="435"/>
      <c r="D87" s="96"/>
      <c r="E87" s="96"/>
      <c r="F87" s="96"/>
      <c r="G87" s="96"/>
      <c r="H87" s="96"/>
      <c r="I87" s="96"/>
    </row>
    <row r="88" spans="1:9">
      <c r="A88" s="96"/>
      <c r="B88" s="96"/>
      <c r="C88" s="435"/>
      <c r="D88" s="96"/>
      <c r="E88" s="96"/>
      <c r="F88" s="96"/>
      <c r="G88" s="96"/>
      <c r="H88" s="96"/>
      <c r="I88" s="96"/>
    </row>
    <row r="89" spans="1:9">
      <c r="A89" s="96"/>
      <c r="B89" s="96"/>
      <c r="C89" s="435"/>
      <c r="D89" s="96"/>
      <c r="E89" s="96"/>
      <c r="F89" s="96"/>
      <c r="G89" s="96"/>
      <c r="H89" s="96"/>
      <c r="I89" s="96"/>
    </row>
    <row r="90" spans="1:9">
      <c r="A90" s="96"/>
      <c r="B90" s="96"/>
      <c r="C90" s="435"/>
      <c r="D90" s="96"/>
      <c r="E90" s="96"/>
      <c r="F90" s="96"/>
      <c r="G90" s="96"/>
      <c r="H90" s="96"/>
      <c r="I90" s="96"/>
    </row>
    <row r="91" spans="1:9">
      <c r="A91" s="96"/>
      <c r="B91" s="96"/>
      <c r="C91" s="435"/>
      <c r="D91" s="96"/>
      <c r="E91" s="96"/>
      <c r="F91" s="96"/>
      <c r="G91" s="96"/>
      <c r="H91" s="96"/>
      <c r="I91" s="96"/>
    </row>
    <row r="92" spans="1:9">
      <c r="A92" s="96"/>
      <c r="B92" s="96"/>
      <c r="C92" s="435"/>
      <c r="D92" s="96"/>
      <c r="E92" s="96"/>
      <c r="F92" s="96"/>
      <c r="G92" s="96"/>
      <c r="H92" s="96"/>
      <c r="I92" s="96"/>
    </row>
    <row r="93" spans="1:9">
      <c r="A93" s="96"/>
      <c r="B93" s="96"/>
      <c r="C93" s="435"/>
      <c r="D93" s="96"/>
      <c r="E93" s="96"/>
      <c r="F93" s="96"/>
      <c r="G93" s="96"/>
      <c r="H93" s="96"/>
      <c r="I93" s="96"/>
    </row>
    <row r="94" spans="1:9">
      <c r="A94" s="96"/>
      <c r="B94" s="96"/>
      <c r="C94" s="435"/>
      <c r="D94" s="96"/>
      <c r="E94" s="96"/>
      <c r="F94" s="96"/>
      <c r="G94" s="96"/>
      <c r="H94" s="96"/>
      <c r="I94" s="96"/>
    </row>
    <row r="95" spans="1:9">
      <c r="A95" s="96"/>
      <c r="B95" s="96"/>
      <c r="C95" s="435"/>
      <c r="D95" s="96"/>
      <c r="E95" s="96"/>
      <c r="F95" s="96"/>
      <c r="G95" s="96"/>
      <c r="H95" s="96"/>
      <c r="I95" s="96"/>
    </row>
    <row r="96" spans="1:9">
      <c r="A96" s="96"/>
      <c r="B96" s="96"/>
      <c r="C96" s="435"/>
      <c r="D96" s="96"/>
      <c r="E96" s="96"/>
      <c r="F96" s="96"/>
      <c r="G96" s="96"/>
      <c r="H96" s="96"/>
      <c r="I96" s="96"/>
    </row>
    <row r="97" spans="1:9">
      <c r="A97" s="96"/>
      <c r="B97" s="96"/>
      <c r="C97" s="435"/>
      <c r="D97" s="96"/>
      <c r="E97" s="96"/>
      <c r="F97" s="96"/>
      <c r="G97" s="96"/>
      <c r="H97" s="96"/>
      <c r="I97" s="96"/>
    </row>
    <row r="98" spans="1:9">
      <c r="A98" s="96"/>
      <c r="B98" s="96"/>
      <c r="C98" s="435"/>
      <c r="D98" s="96"/>
      <c r="E98" s="96"/>
      <c r="F98" s="96"/>
      <c r="G98" s="96"/>
      <c r="H98" s="96"/>
      <c r="I98" s="96"/>
    </row>
    <row r="99" spans="1:9">
      <c r="A99" s="96"/>
      <c r="B99" s="96"/>
      <c r="C99" s="435"/>
      <c r="D99" s="96"/>
      <c r="E99" s="96"/>
      <c r="F99" s="96"/>
      <c r="G99" s="96"/>
      <c r="H99" s="96"/>
      <c r="I99" s="96"/>
    </row>
    <row r="100" spans="1:9">
      <c r="A100" s="96"/>
      <c r="B100" s="96"/>
      <c r="C100" s="435"/>
      <c r="D100" s="96"/>
      <c r="E100" s="96"/>
      <c r="F100" s="96"/>
      <c r="G100" s="96"/>
      <c r="H100" s="96"/>
      <c r="I100" s="96"/>
    </row>
    <row r="101" spans="1:9">
      <c r="A101" s="96"/>
      <c r="B101" s="96"/>
      <c r="C101" s="435"/>
      <c r="D101" s="96"/>
      <c r="E101" s="96"/>
      <c r="F101" s="96"/>
      <c r="G101" s="96"/>
      <c r="H101" s="96"/>
      <c r="I101" s="96"/>
    </row>
    <row r="102" spans="1:9">
      <c r="A102" s="96"/>
      <c r="B102" s="96"/>
      <c r="C102" s="435"/>
      <c r="D102" s="96"/>
      <c r="E102" s="96"/>
      <c r="F102" s="96"/>
      <c r="G102" s="96"/>
      <c r="H102" s="96"/>
      <c r="I102" s="96"/>
    </row>
    <row r="103" spans="1:9">
      <c r="A103" s="96"/>
      <c r="B103" s="96"/>
      <c r="C103" s="435"/>
      <c r="D103" s="96"/>
      <c r="E103" s="96"/>
      <c r="F103" s="96"/>
      <c r="G103" s="96"/>
      <c r="H103" s="96"/>
      <c r="I103" s="96"/>
    </row>
    <row r="104" spans="1:9">
      <c r="A104" s="96"/>
      <c r="B104" s="96"/>
      <c r="C104" s="435"/>
      <c r="D104" s="96"/>
      <c r="E104" s="96"/>
      <c r="F104" s="96"/>
      <c r="G104" s="96"/>
      <c r="H104" s="96"/>
      <c r="I104" s="96"/>
    </row>
    <row r="105" spans="1:9">
      <c r="A105" s="96"/>
      <c r="B105" s="96"/>
      <c r="C105" s="435"/>
      <c r="D105" s="96"/>
      <c r="E105" s="96"/>
      <c r="F105" s="96"/>
      <c r="G105" s="96"/>
      <c r="H105" s="96"/>
      <c r="I105" s="96"/>
    </row>
    <row r="106" spans="1:9">
      <c r="A106" s="96"/>
      <c r="B106" s="96"/>
      <c r="C106" s="435"/>
      <c r="D106" s="96"/>
      <c r="E106" s="96"/>
      <c r="F106" s="96"/>
      <c r="G106" s="96"/>
      <c r="H106" s="96"/>
      <c r="I106" s="96"/>
    </row>
    <row r="107" spans="1:9">
      <c r="A107" s="96"/>
      <c r="B107" s="96"/>
      <c r="C107" s="435"/>
      <c r="D107" s="96"/>
      <c r="E107" s="96"/>
      <c r="F107" s="96"/>
      <c r="G107" s="96"/>
      <c r="H107" s="96"/>
      <c r="I107" s="96"/>
    </row>
    <row r="108" spans="1:9">
      <c r="A108" s="96"/>
      <c r="B108" s="96"/>
      <c r="C108" s="435"/>
      <c r="D108" s="96"/>
      <c r="E108" s="96"/>
      <c r="F108" s="96"/>
      <c r="G108" s="96"/>
      <c r="H108" s="96"/>
      <c r="I108" s="96"/>
    </row>
    <row r="109" spans="1:9">
      <c r="A109" s="96"/>
      <c r="B109" s="96"/>
      <c r="C109" s="435"/>
      <c r="D109" s="96"/>
      <c r="E109" s="96"/>
      <c r="F109" s="96"/>
      <c r="G109" s="96"/>
      <c r="H109" s="96"/>
      <c r="I109" s="96"/>
    </row>
    <row r="110" spans="1:9">
      <c r="A110" s="96"/>
      <c r="B110" s="96"/>
      <c r="C110" s="435"/>
      <c r="D110" s="96"/>
      <c r="E110" s="96"/>
      <c r="F110" s="96"/>
      <c r="G110" s="96"/>
      <c r="H110" s="96"/>
      <c r="I110" s="96"/>
    </row>
    <row r="111" spans="1:9">
      <c r="A111" s="96"/>
      <c r="B111" s="96"/>
      <c r="C111" s="435"/>
      <c r="D111" s="96"/>
      <c r="E111" s="96"/>
      <c r="F111" s="96"/>
      <c r="G111" s="96"/>
      <c r="H111" s="96"/>
      <c r="I111" s="96"/>
    </row>
    <row r="112" spans="1:9">
      <c r="A112" s="96"/>
      <c r="B112" s="96"/>
      <c r="C112" s="435"/>
      <c r="D112" s="96"/>
      <c r="E112" s="96"/>
      <c r="F112" s="96"/>
      <c r="G112" s="96"/>
      <c r="H112" s="96"/>
      <c r="I112" s="96"/>
    </row>
    <row r="113" spans="1:9">
      <c r="A113" s="96"/>
      <c r="B113" s="96"/>
      <c r="C113" s="435"/>
      <c r="D113" s="96"/>
      <c r="E113" s="96"/>
      <c r="F113" s="96"/>
      <c r="G113" s="96"/>
      <c r="H113" s="96"/>
      <c r="I113" s="96"/>
    </row>
    <row r="114" spans="1:9">
      <c r="A114" s="96"/>
      <c r="B114" s="96"/>
      <c r="C114" s="435"/>
      <c r="D114" s="96"/>
      <c r="E114" s="96"/>
      <c r="F114" s="96"/>
      <c r="G114" s="96"/>
      <c r="H114" s="96"/>
      <c r="I114" s="96"/>
    </row>
    <row r="115" spans="1:9">
      <c r="A115" s="96"/>
      <c r="B115" s="96"/>
      <c r="C115" s="435"/>
      <c r="D115" s="96"/>
      <c r="E115" s="96"/>
      <c r="F115" s="96"/>
      <c r="G115" s="96"/>
      <c r="H115" s="96"/>
      <c r="I115" s="96"/>
    </row>
    <row r="116" spans="1:9">
      <c r="A116" s="96"/>
      <c r="B116" s="96"/>
      <c r="C116" s="435"/>
      <c r="D116" s="96"/>
      <c r="E116" s="96"/>
      <c r="F116" s="96"/>
      <c r="G116" s="96"/>
      <c r="H116" s="96"/>
      <c r="I116" s="96"/>
    </row>
    <row r="117" spans="1:9">
      <c r="A117" s="96"/>
      <c r="B117" s="96"/>
      <c r="C117" s="435"/>
      <c r="D117" s="96"/>
      <c r="E117" s="96"/>
      <c r="F117" s="96"/>
      <c r="G117" s="96"/>
      <c r="H117" s="96"/>
      <c r="I117" s="96"/>
    </row>
    <row r="118" spans="1:9">
      <c r="A118" s="96"/>
      <c r="B118" s="96"/>
      <c r="C118" s="435"/>
      <c r="D118" s="96"/>
      <c r="E118" s="96"/>
      <c r="F118" s="96"/>
      <c r="G118" s="96"/>
      <c r="H118" s="96"/>
      <c r="I118" s="96"/>
    </row>
    <row r="119" spans="1:9">
      <c r="A119" s="96"/>
      <c r="B119" s="96"/>
      <c r="C119" s="435"/>
      <c r="D119" s="96"/>
      <c r="E119" s="96"/>
      <c r="F119" s="96"/>
      <c r="G119" s="96"/>
      <c r="H119" s="96"/>
      <c r="I119" s="96"/>
    </row>
    <row r="120" spans="1:9">
      <c r="A120" s="96"/>
      <c r="B120" s="96"/>
      <c r="C120" s="435"/>
      <c r="D120" s="96"/>
      <c r="E120" s="96"/>
      <c r="F120" s="96"/>
      <c r="G120" s="96"/>
      <c r="H120" s="96"/>
      <c r="I120" s="96"/>
    </row>
    <row r="121" spans="1:9">
      <c r="A121" s="96"/>
      <c r="B121" s="96"/>
      <c r="C121" s="435"/>
      <c r="D121" s="96"/>
      <c r="E121" s="96"/>
      <c r="F121" s="96"/>
      <c r="G121" s="96"/>
      <c r="H121" s="96"/>
      <c r="I121" s="96"/>
    </row>
    <row r="122" spans="1:9">
      <c r="A122" s="96"/>
      <c r="B122" s="96"/>
      <c r="C122" s="435"/>
      <c r="D122" s="96"/>
      <c r="E122" s="96"/>
      <c r="F122" s="96"/>
      <c r="G122" s="96"/>
      <c r="H122" s="96"/>
      <c r="I122" s="96"/>
    </row>
    <row r="123" spans="1:9">
      <c r="A123" s="96"/>
      <c r="B123" s="96"/>
      <c r="C123" s="435"/>
      <c r="D123" s="96"/>
      <c r="E123" s="96"/>
      <c r="F123" s="96"/>
      <c r="G123" s="96"/>
      <c r="H123" s="96"/>
      <c r="I123" s="96"/>
    </row>
    <row r="124" spans="1:9">
      <c r="A124" s="96"/>
      <c r="B124" s="96"/>
      <c r="C124" s="435"/>
      <c r="D124" s="96"/>
      <c r="E124" s="96"/>
      <c r="F124" s="96"/>
      <c r="G124" s="96"/>
      <c r="H124" s="96"/>
      <c r="I124" s="96"/>
    </row>
    <row r="125" spans="1:9">
      <c r="A125" s="96"/>
      <c r="B125" s="96"/>
      <c r="C125" s="435"/>
      <c r="D125" s="96"/>
      <c r="E125" s="96"/>
      <c r="F125" s="96"/>
      <c r="G125" s="96"/>
      <c r="H125" s="96"/>
      <c r="I125" s="96"/>
    </row>
    <row r="126" spans="1:9">
      <c r="A126" s="96"/>
      <c r="B126" s="96"/>
      <c r="C126" s="435"/>
      <c r="D126" s="96"/>
      <c r="E126" s="96"/>
      <c r="F126" s="96"/>
      <c r="G126" s="96"/>
      <c r="H126" s="96"/>
      <c r="I126" s="96"/>
    </row>
    <row r="127" spans="1:9">
      <c r="A127" s="96"/>
      <c r="B127" s="96"/>
      <c r="C127" s="435"/>
      <c r="D127" s="96"/>
      <c r="E127" s="96"/>
      <c r="F127" s="96"/>
      <c r="G127" s="96"/>
      <c r="H127" s="96"/>
      <c r="I127" s="96"/>
    </row>
    <row r="128" spans="1:9">
      <c r="A128" s="96"/>
      <c r="B128" s="96"/>
      <c r="C128" s="435"/>
      <c r="D128" s="96"/>
      <c r="E128" s="96"/>
      <c r="F128" s="96"/>
      <c r="G128" s="96"/>
      <c r="H128" s="96"/>
      <c r="I128" s="96"/>
    </row>
    <row r="129" spans="1:9">
      <c r="A129" s="96"/>
      <c r="B129" s="96"/>
      <c r="C129" s="435"/>
      <c r="D129" s="96"/>
      <c r="E129" s="96"/>
      <c r="F129" s="96"/>
      <c r="G129" s="96"/>
      <c r="H129" s="96"/>
      <c r="I129" s="96"/>
    </row>
    <row r="130" spans="1:9">
      <c r="A130" s="96"/>
      <c r="B130" s="96"/>
      <c r="C130" s="435"/>
      <c r="D130" s="96"/>
      <c r="E130" s="96"/>
      <c r="F130" s="96"/>
      <c r="G130" s="96"/>
      <c r="H130" s="96"/>
      <c r="I130" s="96"/>
    </row>
    <row r="131" spans="1:9">
      <c r="A131" s="96"/>
      <c r="B131" s="96"/>
      <c r="C131" s="435"/>
      <c r="D131" s="96"/>
      <c r="E131" s="96"/>
      <c r="F131" s="96"/>
      <c r="G131" s="96"/>
      <c r="H131" s="96"/>
      <c r="I131" s="96"/>
    </row>
    <row r="132" spans="1:9">
      <c r="A132" s="96"/>
      <c r="B132" s="96"/>
      <c r="C132" s="435"/>
      <c r="D132" s="96"/>
      <c r="E132" s="96"/>
      <c r="F132" s="96"/>
      <c r="G132" s="96"/>
      <c r="H132" s="96"/>
      <c r="I132" s="96"/>
    </row>
    <row r="133" spans="1:9">
      <c r="A133" s="96"/>
      <c r="B133" s="96"/>
      <c r="C133" s="435"/>
      <c r="D133" s="96"/>
      <c r="E133" s="96"/>
      <c r="F133" s="96"/>
      <c r="G133" s="96"/>
      <c r="H133" s="96"/>
      <c r="I133" s="96"/>
    </row>
    <row r="134" spans="1:9">
      <c r="A134" s="96"/>
      <c r="B134" s="96"/>
      <c r="C134" s="435"/>
      <c r="D134" s="96"/>
      <c r="E134" s="96"/>
      <c r="F134" s="96"/>
      <c r="G134" s="96"/>
      <c r="H134" s="96"/>
      <c r="I134" s="96"/>
    </row>
    <row r="135" spans="1:9">
      <c r="A135" s="96"/>
      <c r="B135" s="96"/>
      <c r="C135" s="435"/>
      <c r="D135" s="96"/>
      <c r="E135" s="96"/>
      <c r="F135" s="96"/>
      <c r="G135" s="96"/>
      <c r="H135" s="96"/>
      <c r="I135" s="96"/>
    </row>
    <row r="136" spans="1:9">
      <c r="A136" s="96"/>
      <c r="B136" s="96"/>
      <c r="C136" s="435"/>
      <c r="D136" s="96"/>
      <c r="E136" s="96"/>
      <c r="F136" s="96"/>
      <c r="G136" s="96"/>
      <c r="H136" s="96"/>
      <c r="I136" s="96"/>
    </row>
    <row r="137" spans="1:9">
      <c r="A137" s="96"/>
      <c r="B137" s="96"/>
      <c r="C137" s="435"/>
      <c r="D137" s="96"/>
      <c r="E137" s="96"/>
      <c r="F137" s="96"/>
      <c r="G137" s="96"/>
      <c r="H137" s="96"/>
      <c r="I137" s="96"/>
    </row>
    <row r="138" spans="1:9">
      <c r="A138" s="96"/>
      <c r="B138" s="96"/>
      <c r="C138" s="435"/>
      <c r="D138" s="96"/>
      <c r="E138" s="96"/>
      <c r="F138" s="96"/>
      <c r="G138" s="96"/>
      <c r="H138" s="96"/>
      <c r="I138" s="96"/>
    </row>
    <row r="139" spans="1:9">
      <c r="A139" s="96"/>
      <c r="B139" s="96"/>
      <c r="C139" s="435"/>
      <c r="D139" s="96"/>
      <c r="E139" s="96"/>
      <c r="F139" s="96"/>
      <c r="G139" s="96"/>
      <c r="H139" s="96"/>
      <c r="I139" s="96"/>
    </row>
    <row r="140" spans="1:9">
      <c r="A140" s="96"/>
      <c r="B140" s="96"/>
      <c r="C140" s="435"/>
      <c r="D140" s="96"/>
      <c r="E140" s="96"/>
      <c r="F140" s="96"/>
      <c r="G140" s="96"/>
      <c r="H140" s="96"/>
      <c r="I140" s="96"/>
    </row>
    <row r="141" spans="1:9">
      <c r="A141" s="96"/>
      <c r="B141" s="96"/>
      <c r="C141" s="435"/>
      <c r="D141" s="96"/>
      <c r="E141" s="96"/>
      <c r="F141" s="96"/>
      <c r="G141" s="96"/>
      <c r="H141" s="96"/>
      <c r="I141" s="96"/>
    </row>
    <row r="142" spans="1:9">
      <c r="A142" s="96"/>
      <c r="B142" s="96"/>
      <c r="C142" s="435"/>
      <c r="D142" s="96"/>
      <c r="E142" s="96"/>
      <c r="F142" s="96"/>
      <c r="G142" s="96"/>
      <c r="H142" s="96"/>
      <c r="I142" s="96"/>
    </row>
    <row r="143" spans="1:9">
      <c r="A143" s="96"/>
      <c r="B143" s="96"/>
      <c r="C143" s="435"/>
      <c r="D143" s="96"/>
      <c r="E143" s="96"/>
      <c r="F143" s="96"/>
      <c r="G143" s="96"/>
      <c r="H143" s="96"/>
      <c r="I143" s="96"/>
    </row>
    <row r="144" spans="1:9">
      <c r="A144" s="96"/>
      <c r="B144" s="96"/>
      <c r="C144" s="435"/>
      <c r="D144" s="96"/>
      <c r="E144" s="96"/>
      <c r="F144" s="96"/>
      <c r="G144" s="96"/>
      <c r="H144" s="96"/>
      <c r="I144" s="96"/>
    </row>
    <row r="145" spans="1:9">
      <c r="A145" s="96"/>
      <c r="B145" s="96"/>
      <c r="C145" s="435"/>
      <c r="D145" s="96"/>
      <c r="E145" s="96"/>
      <c r="F145" s="96"/>
      <c r="G145" s="96"/>
      <c r="H145" s="96"/>
      <c r="I145" s="96"/>
    </row>
    <row r="146" spans="1:9">
      <c r="A146" s="96"/>
      <c r="B146" s="96"/>
      <c r="C146" s="435"/>
      <c r="D146" s="96"/>
      <c r="E146" s="96"/>
      <c r="F146" s="96"/>
      <c r="G146" s="96"/>
      <c r="H146" s="96"/>
      <c r="I146" s="96"/>
    </row>
    <row r="147" spans="1:9">
      <c r="A147" s="96"/>
      <c r="B147" s="96"/>
      <c r="C147" s="435"/>
      <c r="D147" s="96"/>
      <c r="E147" s="96"/>
      <c r="F147" s="96"/>
      <c r="G147" s="96"/>
      <c r="H147" s="96"/>
      <c r="I147" s="96"/>
    </row>
    <row r="148" spans="1:9">
      <c r="A148" s="96"/>
      <c r="B148" s="96"/>
      <c r="C148" s="435"/>
      <c r="D148" s="96"/>
      <c r="E148" s="96"/>
      <c r="F148" s="96"/>
      <c r="G148" s="96"/>
      <c r="H148" s="96"/>
      <c r="I148" s="96"/>
    </row>
    <row r="149" spans="1:9">
      <c r="A149" s="96"/>
      <c r="B149" s="96"/>
      <c r="C149" s="435"/>
      <c r="D149" s="96"/>
      <c r="E149" s="96"/>
      <c r="F149" s="96"/>
      <c r="G149" s="96"/>
      <c r="H149" s="96"/>
      <c r="I149" s="96"/>
    </row>
    <row r="150" spans="1:9">
      <c r="A150" s="96"/>
      <c r="B150" s="96"/>
      <c r="C150" s="435"/>
      <c r="D150" s="96"/>
      <c r="E150" s="96"/>
      <c r="F150" s="96"/>
      <c r="G150" s="96"/>
      <c r="H150" s="96"/>
      <c r="I150" s="96"/>
    </row>
    <row r="151" spans="1:9">
      <c r="A151" s="96"/>
      <c r="B151" s="96"/>
      <c r="C151" s="435"/>
      <c r="D151" s="96"/>
      <c r="E151" s="96"/>
      <c r="F151" s="96"/>
      <c r="G151" s="96"/>
      <c r="H151" s="96"/>
      <c r="I151" s="96"/>
    </row>
    <row r="152" spans="1:9">
      <c r="A152" s="96"/>
      <c r="B152" s="96"/>
      <c r="C152" s="435"/>
      <c r="D152" s="96"/>
      <c r="E152" s="96"/>
      <c r="F152" s="96"/>
      <c r="G152" s="96"/>
      <c r="H152" s="96"/>
      <c r="I152" s="96"/>
    </row>
    <row r="153" spans="1:9">
      <c r="A153" s="96"/>
      <c r="B153" s="96"/>
      <c r="C153" s="435"/>
      <c r="D153" s="96"/>
      <c r="E153" s="96"/>
      <c r="F153" s="96"/>
      <c r="G153" s="96"/>
      <c r="H153" s="96"/>
      <c r="I153" s="96"/>
    </row>
    <row r="154" spans="1:9">
      <c r="A154" s="96"/>
      <c r="B154" s="96"/>
      <c r="C154" s="435"/>
      <c r="D154" s="96"/>
      <c r="E154" s="96"/>
      <c r="F154" s="96"/>
      <c r="G154" s="96"/>
      <c r="H154" s="96"/>
      <c r="I154" s="96"/>
    </row>
    <row r="155" spans="1:9">
      <c r="A155" s="96"/>
      <c r="B155" s="96"/>
      <c r="C155" s="435"/>
      <c r="D155" s="96"/>
      <c r="E155" s="96"/>
      <c r="F155" s="96"/>
      <c r="G155" s="96"/>
      <c r="H155" s="96"/>
      <c r="I155" s="96"/>
    </row>
    <row r="156" spans="1:9">
      <c r="A156" s="96"/>
      <c r="B156" s="96"/>
      <c r="C156" s="435"/>
      <c r="D156" s="96"/>
      <c r="E156" s="96"/>
      <c r="F156" s="96"/>
      <c r="G156" s="96"/>
      <c r="H156" s="96"/>
      <c r="I156" s="96"/>
    </row>
    <row r="157" spans="1:9">
      <c r="A157" s="96"/>
      <c r="B157" s="96"/>
      <c r="C157" s="435"/>
      <c r="D157" s="96"/>
      <c r="E157" s="96"/>
      <c r="F157" s="96"/>
      <c r="G157" s="96"/>
      <c r="H157" s="96"/>
      <c r="I157" s="96"/>
    </row>
    <row r="158" spans="1:9">
      <c r="A158" s="96"/>
      <c r="B158" s="96"/>
      <c r="C158" s="435"/>
      <c r="D158" s="96"/>
      <c r="E158" s="96"/>
      <c r="F158" s="96"/>
      <c r="G158" s="96"/>
      <c r="H158" s="96"/>
      <c r="I158" s="96"/>
    </row>
    <row r="159" spans="1:9">
      <c r="A159" s="96"/>
      <c r="B159" s="96"/>
      <c r="C159" s="435"/>
      <c r="D159" s="96"/>
      <c r="E159" s="96"/>
      <c r="F159" s="96"/>
      <c r="G159" s="96"/>
      <c r="H159" s="96"/>
      <c r="I159" s="96"/>
    </row>
    <row r="160" spans="1:9">
      <c r="A160" s="96"/>
      <c r="B160" s="96"/>
      <c r="C160" s="435"/>
      <c r="D160" s="96"/>
      <c r="E160" s="96"/>
      <c r="F160" s="96"/>
      <c r="G160" s="96"/>
      <c r="H160" s="96"/>
      <c r="I160" s="96"/>
    </row>
    <row r="161" spans="1:9">
      <c r="A161" s="96"/>
      <c r="B161" s="96"/>
      <c r="C161" s="435"/>
      <c r="D161" s="96"/>
      <c r="E161" s="96"/>
      <c r="F161" s="96"/>
      <c r="G161" s="96"/>
      <c r="H161" s="96"/>
      <c r="I161" s="96"/>
    </row>
    <row r="162" spans="1:9">
      <c r="A162" s="96"/>
      <c r="B162" s="96"/>
      <c r="C162" s="435"/>
      <c r="D162" s="96"/>
      <c r="E162" s="96"/>
      <c r="F162" s="96"/>
      <c r="G162" s="96"/>
      <c r="H162" s="96"/>
      <c r="I162" s="96"/>
    </row>
    <row r="163" spans="1:9">
      <c r="A163" s="96"/>
      <c r="B163" s="96"/>
      <c r="C163" s="435"/>
      <c r="D163" s="96"/>
      <c r="E163" s="96"/>
      <c r="F163" s="96"/>
      <c r="G163" s="96"/>
      <c r="H163" s="96"/>
      <c r="I163" s="96"/>
    </row>
    <row r="164" spans="1:9">
      <c r="A164" s="96"/>
      <c r="B164" s="96"/>
      <c r="C164" s="435"/>
      <c r="D164" s="96"/>
      <c r="E164" s="96"/>
      <c r="F164" s="96"/>
      <c r="G164" s="96"/>
      <c r="H164" s="96"/>
      <c r="I164" s="96"/>
    </row>
    <row r="165" spans="1:9">
      <c r="A165" s="96"/>
      <c r="B165" s="96"/>
      <c r="C165" s="435"/>
      <c r="D165" s="96"/>
      <c r="E165" s="96"/>
      <c r="F165" s="96"/>
      <c r="G165" s="96"/>
      <c r="H165" s="96"/>
      <c r="I165" s="96"/>
    </row>
    <row r="166" spans="1:9">
      <c r="A166" s="96"/>
      <c r="B166" s="96"/>
      <c r="C166" s="435"/>
      <c r="D166" s="96"/>
      <c r="E166" s="96"/>
      <c r="F166" s="96"/>
      <c r="G166" s="96"/>
      <c r="H166" s="96"/>
      <c r="I166" s="96"/>
    </row>
    <row r="167" spans="1:9">
      <c r="A167" s="96"/>
      <c r="B167" s="96"/>
      <c r="C167" s="435"/>
      <c r="D167" s="96"/>
      <c r="E167" s="96"/>
      <c r="F167" s="96"/>
      <c r="G167" s="96"/>
      <c r="H167" s="96"/>
      <c r="I167" s="96"/>
    </row>
    <row r="168" spans="1:9">
      <c r="A168" s="96"/>
      <c r="B168" s="96"/>
      <c r="C168" s="435"/>
      <c r="D168" s="96"/>
      <c r="E168" s="96"/>
      <c r="F168" s="96"/>
      <c r="G168" s="96"/>
      <c r="H168" s="96"/>
      <c r="I168" s="96"/>
    </row>
    <row r="169" spans="1:9">
      <c r="A169" s="96"/>
      <c r="B169" s="96"/>
      <c r="C169" s="435"/>
      <c r="D169" s="96"/>
      <c r="E169" s="96"/>
      <c r="F169" s="96"/>
      <c r="G169" s="96"/>
      <c r="H169" s="96"/>
      <c r="I169" s="96"/>
    </row>
    <row r="170" spans="1:9">
      <c r="A170" s="96"/>
      <c r="B170" s="96"/>
      <c r="C170" s="435"/>
      <c r="D170" s="96"/>
      <c r="E170" s="96"/>
      <c r="F170" s="96"/>
      <c r="G170" s="96"/>
      <c r="H170" s="96"/>
      <c r="I170" s="96"/>
    </row>
    <row r="171" spans="1:9">
      <c r="A171" s="96"/>
      <c r="B171" s="96"/>
      <c r="C171" s="435"/>
      <c r="D171" s="96"/>
      <c r="E171" s="96"/>
      <c r="F171" s="96"/>
      <c r="G171" s="96"/>
      <c r="H171" s="96"/>
      <c r="I171" s="96"/>
    </row>
    <row r="172" spans="1:9">
      <c r="A172" s="96"/>
      <c r="B172" s="96"/>
      <c r="C172" s="435"/>
      <c r="D172" s="96"/>
      <c r="E172" s="96"/>
      <c r="F172" s="96"/>
      <c r="G172" s="96"/>
      <c r="H172" s="96"/>
      <c r="I172" s="96"/>
    </row>
    <row r="173" spans="1:9">
      <c r="A173" s="96"/>
      <c r="B173" s="96"/>
      <c r="C173" s="435"/>
      <c r="D173" s="96"/>
      <c r="E173" s="96"/>
      <c r="F173" s="96"/>
      <c r="G173" s="96"/>
      <c r="H173" s="96"/>
      <c r="I173" s="96"/>
    </row>
    <row r="174" spans="1:9">
      <c r="A174" s="96"/>
      <c r="B174" s="96"/>
      <c r="C174" s="435"/>
      <c r="D174" s="96"/>
      <c r="E174" s="96"/>
      <c r="F174" s="96"/>
      <c r="G174" s="96"/>
      <c r="H174" s="96"/>
      <c r="I174" s="96"/>
    </row>
    <row r="175" spans="1:9">
      <c r="A175" s="96"/>
      <c r="B175" s="96"/>
      <c r="C175" s="435"/>
      <c r="D175" s="96"/>
      <c r="E175" s="96"/>
      <c r="F175" s="96"/>
      <c r="G175" s="96"/>
      <c r="H175" s="96"/>
      <c r="I175" s="96"/>
    </row>
    <row r="176" spans="1:9">
      <c r="A176" s="96"/>
      <c r="B176" s="96"/>
      <c r="C176" s="435"/>
      <c r="D176" s="96"/>
      <c r="E176" s="96"/>
      <c r="F176" s="96"/>
      <c r="G176" s="96"/>
      <c r="H176" s="96"/>
      <c r="I176" s="96"/>
    </row>
    <row r="177" spans="1:9">
      <c r="A177" s="96"/>
      <c r="B177" s="96"/>
      <c r="C177" s="435"/>
      <c r="D177" s="96"/>
      <c r="E177" s="96"/>
      <c r="F177" s="96"/>
      <c r="G177" s="96"/>
      <c r="H177" s="96"/>
      <c r="I177" s="96"/>
    </row>
    <row r="178" spans="1:9">
      <c r="A178" s="96"/>
      <c r="B178" s="96"/>
      <c r="C178" s="435"/>
      <c r="D178" s="96"/>
      <c r="E178" s="96"/>
      <c r="F178" s="96"/>
      <c r="G178" s="96"/>
      <c r="H178" s="96"/>
      <c r="I178" s="96"/>
    </row>
    <row r="179" spans="1:9">
      <c r="A179" s="96"/>
      <c r="B179" s="96"/>
      <c r="C179" s="435"/>
      <c r="D179" s="96"/>
      <c r="E179" s="96"/>
      <c r="F179" s="96"/>
      <c r="G179" s="96"/>
      <c r="H179" s="96"/>
      <c r="I179" s="96"/>
    </row>
    <row r="180" spans="1:9">
      <c r="A180" s="96"/>
      <c r="B180" s="96"/>
      <c r="C180" s="435"/>
      <c r="D180" s="96"/>
      <c r="E180" s="96"/>
      <c r="F180" s="96"/>
      <c r="G180" s="96"/>
      <c r="H180" s="96"/>
      <c r="I180" s="96"/>
    </row>
    <row r="181" spans="1:9">
      <c r="A181" s="96"/>
      <c r="B181" s="96"/>
      <c r="C181" s="435"/>
      <c r="D181" s="96"/>
      <c r="E181" s="96"/>
      <c r="F181" s="96"/>
      <c r="G181" s="96"/>
      <c r="H181" s="96"/>
      <c r="I181" s="96"/>
    </row>
    <row r="182" spans="1:9">
      <c r="A182" s="96"/>
      <c r="B182" s="96"/>
      <c r="C182" s="435"/>
      <c r="D182" s="96"/>
      <c r="E182" s="96"/>
      <c r="F182" s="96"/>
      <c r="G182" s="96"/>
      <c r="H182" s="96"/>
      <c r="I182" s="96"/>
    </row>
    <row r="183" spans="1:9">
      <c r="A183" s="96"/>
      <c r="B183" s="96"/>
      <c r="C183" s="435"/>
      <c r="D183" s="96"/>
      <c r="E183" s="96"/>
      <c r="F183" s="96"/>
      <c r="G183" s="96"/>
      <c r="H183" s="96"/>
      <c r="I183" s="96"/>
    </row>
    <row r="184" spans="1:9">
      <c r="A184" s="96"/>
      <c r="B184" s="96"/>
      <c r="C184" s="435"/>
      <c r="D184" s="96"/>
      <c r="E184" s="96"/>
      <c r="F184" s="96"/>
      <c r="G184" s="96"/>
      <c r="H184" s="96"/>
      <c r="I184" s="96"/>
    </row>
    <row r="185" spans="1:9">
      <c r="A185" s="96"/>
      <c r="B185" s="96"/>
      <c r="C185" s="435"/>
      <c r="D185" s="96"/>
      <c r="E185" s="96"/>
      <c r="F185" s="96"/>
      <c r="G185" s="96"/>
      <c r="H185" s="96"/>
      <c r="I185" s="96"/>
    </row>
    <row r="186" spans="1:9">
      <c r="A186" s="96"/>
      <c r="B186" s="96"/>
      <c r="C186" s="435"/>
      <c r="D186" s="96"/>
      <c r="E186" s="96"/>
      <c r="F186" s="96"/>
      <c r="G186" s="96"/>
      <c r="H186" s="96"/>
      <c r="I186" s="96"/>
    </row>
    <row r="187" spans="1:9">
      <c r="A187" s="96"/>
      <c r="B187" s="96"/>
      <c r="C187" s="435"/>
      <c r="D187" s="96"/>
      <c r="E187" s="96"/>
      <c r="F187" s="96"/>
      <c r="G187" s="96"/>
      <c r="H187" s="96"/>
      <c r="I187" s="96"/>
    </row>
    <row r="188" spans="1:9">
      <c r="A188" s="96"/>
      <c r="B188" s="96"/>
      <c r="C188" s="435"/>
      <c r="D188" s="96"/>
      <c r="E188" s="96"/>
      <c r="F188" s="96"/>
      <c r="G188" s="96"/>
      <c r="H188" s="96"/>
      <c r="I188" s="96"/>
    </row>
    <row r="189" spans="1:9">
      <c r="A189" s="96"/>
      <c r="B189" s="96"/>
      <c r="C189" s="435"/>
      <c r="D189" s="96"/>
      <c r="E189" s="96"/>
      <c r="F189" s="96"/>
      <c r="G189" s="96"/>
      <c r="H189" s="96"/>
      <c r="I189" s="96"/>
    </row>
    <row r="190" spans="1:9">
      <c r="A190" s="96"/>
      <c r="B190" s="96"/>
      <c r="C190" s="435"/>
      <c r="D190" s="96"/>
      <c r="E190" s="96"/>
      <c r="F190" s="96"/>
      <c r="G190" s="96"/>
      <c r="H190" s="96"/>
      <c r="I190" s="96"/>
    </row>
    <row r="191" spans="1:9">
      <c r="A191" s="96"/>
      <c r="B191" s="96"/>
      <c r="C191" s="435"/>
      <c r="D191" s="96"/>
      <c r="E191" s="96"/>
      <c r="F191" s="96"/>
      <c r="G191" s="96"/>
      <c r="H191" s="96"/>
      <c r="I191" s="96"/>
    </row>
    <row r="192" spans="1:9">
      <c r="A192" s="96"/>
      <c r="B192" s="96"/>
      <c r="C192" s="435"/>
      <c r="D192" s="96"/>
      <c r="E192" s="96"/>
      <c r="F192" s="96"/>
      <c r="G192" s="96"/>
      <c r="H192" s="96"/>
      <c r="I192" s="96"/>
    </row>
    <row r="193" spans="1:9">
      <c r="A193" s="96"/>
      <c r="B193" s="96"/>
      <c r="C193" s="435"/>
      <c r="D193" s="96"/>
      <c r="E193" s="96"/>
      <c r="F193" s="96"/>
      <c r="G193" s="96"/>
      <c r="H193" s="96"/>
      <c r="I193" s="96"/>
    </row>
    <row r="194" spans="1:9">
      <c r="A194" s="96"/>
      <c r="B194" s="96"/>
      <c r="C194" s="435"/>
      <c r="D194" s="96"/>
      <c r="E194" s="96"/>
      <c r="F194" s="96"/>
      <c r="G194" s="96"/>
      <c r="H194" s="96"/>
      <c r="I194" s="96"/>
    </row>
    <row r="195" spans="1:9">
      <c r="A195" s="96"/>
      <c r="B195" s="96"/>
      <c r="C195" s="435"/>
      <c r="D195" s="96"/>
      <c r="E195" s="96"/>
      <c r="F195" s="96"/>
      <c r="G195" s="96"/>
      <c r="H195" s="96"/>
      <c r="I195" s="96"/>
    </row>
    <row r="196" spans="1:9">
      <c r="A196" s="96"/>
      <c r="B196" s="96"/>
      <c r="C196" s="435"/>
      <c r="D196" s="96"/>
      <c r="E196" s="96"/>
      <c r="F196" s="96"/>
      <c r="G196" s="96"/>
      <c r="H196" s="96"/>
      <c r="I196" s="96"/>
    </row>
    <row r="197" spans="1:9">
      <c r="A197" s="96"/>
      <c r="B197" s="96"/>
      <c r="C197" s="435"/>
      <c r="D197" s="96"/>
      <c r="E197" s="96"/>
      <c r="F197" s="96"/>
      <c r="G197" s="96"/>
      <c r="H197" s="96"/>
      <c r="I197" s="96"/>
    </row>
    <row r="198" spans="1:9">
      <c r="A198" s="96"/>
      <c r="B198" s="96"/>
      <c r="C198" s="435"/>
      <c r="D198" s="96"/>
      <c r="H198" s="96"/>
      <c r="I198" s="96"/>
    </row>
  </sheetData>
  <mergeCells count="1">
    <mergeCell ref="E11:G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2"/>
  <sheetViews>
    <sheetView showGridLines="0" workbookViewId="0">
      <selection activeCell="B3" sqref="B3"/>
    </sheetView>
  </sheetViews>
  <sheetFormatPr defaultColWidth="8.91666666666667" defaultRowHeight="16.5"/>
  <cols>
    <col min="1" max="1" width="26.75" style="11" customWidth="1"/>
    <col min="2" max="2" width="17.625" style="11" customWidth="1"/>
    <col min="3" max="7" width="12.5833333333333" style="11" customWidth="1"/>
    <col min="8" max="8" width="10.0833333333333" style="11" customWidth="1"/>
    <col min="9" max="9" width="6.66666666666667" style="11" customWidth="1"/>
    <col min="10" max="10" width="14.3333333333333" style="11" customWidth="1"/>
    <col min="11" max="11" width="26.1666666666667" style="11" customWidth="1"/>
    <col min="12" max="16384" width="8.91666666666667" style="11"/>
  </cols>
  <sheetData>
    <row r="1" ht="16" customHeight="1" spans="1:9">
      <c r="A1" s="420" t="s">
        <v>42</v>
      </c>
      <c r="B1" s="420"/>
      <c r="C1" s="421"/>
      <c r="D1" s="421"/>
      <c r="E1" s="421"/>
      <c r="F1" s="421"/>
      <c r="G1" s="421"/>
      <c r="H1" s="421"/>
      <c r="I1" s="422"/>
    </row>
    <row r="2" ht="16" customHeight="1" spans="1:9">
      <c r="A2" s="422"/>
      <c r="B2" s="422"/>
      <c r="C2" s="422"/>
      <c r="D2" s="64"/>
      <c r="E2" s="64"/>
      <c r="F2" s="64"/>
      <c r="G2" s="64"/>
      <c r="H2" s="95" t="s">
        <v>43</v>
      </c>
      <c r="I2" s="422"/>
    </row>
    <row r="3" ht="39" customHeight="1" spans="1:9">
      <c r="A3" s="423" t="s">
        <v>44</v>
      </c>
      <c r="B3" s="357" t="s">
        <v>45</v>
      </c>
      <c r="C3" s="98" t="s">
        <v>46</v>
      </c>
      <c r="D3" s="98" t="s">
        <v>47</v>
      </c>
      <c r="E3" s="98" t="s">
        <v>48</v>
      </c>
      <c r="F3" s="98" t="s">
        <v>49</v>
      </c>
      <c r="G3" s="166" t="s">
        <v>50</v>
      </c>
      <c r="H3" s="98" t="s">
        <v>51</v>
      </c>
      <c r="I3" s="422"/>
    </row>
    <row r="4" ht="16" customHeight="1" spans="1:9">
      <c r="A4" s="424" t="s">
        <v>52</v>
      </c>
      <c r="B4" s="425">
        <v>185.147227</v>
      </c>
      <c r="C4" s="426">
        <f>C5+C6</f>
        <v>0</v>
      </c>
      <c r="D4" s="426">
        <f>D5+D6</f>
        <v>0</v>
      </c>
      <c r="E4" s="426">
        <f>E5+E6</f>
        <v>0</v>
      </c>
      <c r="F4" s="426">
        <f>F5+F6</f>
        <v>0</v>
      </c>
      <c r="G4" s="427">
        <f t="shared" ref="G4:G11" si="0">SUM(C4:F4)</f>
        <v>0</v>
      </c>
      <c r="H4" s="413">
        <f t="shared" ref="H4:H10" si="1">IFERROR(G4/B4-1,"")</f>
        <v>-1</v>
      </c>
      <c r="I4" s="428"/>
    </row>
    <row r="5" ht="16" customHeight="1" spans="1:9">
      <c r="A5" s="424" t="s">
        <v>53</v>
      </c>
      <c r="B5" s="425">
        <v>0</v>
      </c>
      <c r="C5" s="414"/>
      <c r="D5" s="414"/>
      <c r="E5" s="414"/>
      <c r="F5" s="414"/>
      <c r="G5" s="427">
        <f t="shared" si="0"/>
        <v>0</v>
      </c>
      <c r="H5" s="413" t="str">
        <f t="shared" si="1"/>
        <v/>
      </c>
      <c r="I5" s="422"/>
    </row>
    <row r="6" ht="16" customHeight="1" spans="1:9">
      <c r="A6" s="424" t="s">
        <v>54</v>
      </c>
      <c r="B6" s="425">
        <v>185.147227</v>
      </c>
      <c r="C6" s="414">
        <f>收入及成本!B10</f>
        <v>0</v>
      </c>
      <c r="D6" s="414">
        <f>收入及成本!C10</f>
        <v>0</v>
      </c>
      <c r="E6" s="414">
        <f>收入及成本!D10</f>
        <v>0</v>
      </c>
      <c r="F6" s="414">
        <f>收入及成本!E10</f>
        <v>0</v>
      </c>
      <c r="G6" s="427">
        <f t="shared" si="0"/>
        <v>0</v>
      </c>
      <c r="H6" s="413">
        <f t="shared" si="1"/>
        <v>-1</v>
      </c>
      <c r="I6" s="422"/>
    </row>
    <row r="7" ht="16" customHeight="1" spans="1:9">
      <c r="A7" s="424" t="s">
        <v>55</v>
      </c>
      <c r="B7" s="425">
        <v>82.407357</v>
      </c>
      <c r="C7" s="414">
        <f>C8+C9</f>
        <v>0</v>
      </c>
      <c r="D7" s="414">
        <f>D8+D9</f>
        <v>0</v>
      </c>
      <c r="E7" s="414">
        <f>E8+E9</f>
        <v>0</v>
      </c>
      <c r="F7" s="414">
        <f>F8+F9</f>
        <v>0</v>
      </c>
      <c r="G7" s="427">
        <f t="shared" si="0"/>
        <v>0</v>
      </c>
      <c r="H7" s="413">
        <f t="shared" si="1"/>
        <v>-1</v>
      </c>
      <c r="I7" s="428"/>
    </row>
    <row r="8" ht="16" customHeight="1" spans="1:9">
      <c r="A8" s="424" t="s">
        <v>53</v>
      </c>
      <c r="B8" s="425">
        <v>2.352436</v>
      </c>
      <c r="C8" s="414"/>
      <c r="D8" s="414"/>
      <c r="E8" s="414"/>
      <c r="F8" s="414"/>
      <c r="G8" s="427">
        <f t="shared" si="0"/>
        <v>0</v>
      </c>
      <c r="H8" s="413">
        <f t="shared" si="1"/>
        <v>-1</v>
      </c>
      <c r="I8" s="422"/>
    </row>
    <row r="9" ht="16" customHeight="1" spans="1:9">
      <c r="A9" s="424" t="s">
        <v>54</v>
      </c>
      <c r="B9" s="425">
        <v>80.054921</v>
      </c>
      <c r="C9" s="414">
        <f>收入及成本!I10</f>
        <v>0</v>
      </c>
      <c r="D9" s="414">
        <f>收入及成本!J10</f>
        <v>0</v>
      </c>
      <c r="E9" s="414">
        <f>收入及成本!K10</f>
        <v>0</v>
      </c>
      <c r="F9" s="414">
        <f>收入及成本!L10</f>
        <v>0</v>
      </c>
      <c r="G9" s="427">
        <f t="shared" si="0"/>
        <v>0</v>
      </c>
      <c r="H9" s="413">
        <f t="shared" si="1"/>
        <v>-1</v>
      </c>
      <c r="I9" s="422"/>
    </row>
    <row r="10" ht="16" customHeight="1" spans="1:9">
      <c r="A10" s="424" t="s">
        <v>56</v>
      </c>
      <c r="B10" s="427">
        <f>B4-B7</f>
        <v>102.73987</v>
      </c>
      <c r="C10" s="414">
        <f>C4-C7</f>
        <v>0</v>
      </c>
      <c r="D10" s="414">
        <f>D4-D7</f>
        <v>0</v>
      </c>
      <c r="E10" s="414">
        <f>E4-E7</f>
        <v>0</v>
      </c>
      <c r="F10" s="414">
        <f>F4-F7</f>
        <v>0</v>
      </c>
      <c r="G10" s="427">
        <f t="shared" si="0"/>
        <v>0</v>
      </c>
      <c r="H10" s="413">
        <f t="shared" si="1"/>
        <v>-1</v>
      </c>
      <c r="I10" s="422"/>
    </row>
    <row r="11" ht="16" customHeight="1" spans="1:9">
      <c r="A11" s="424" t="s">
        <v>57</v>
      </c>
      <c r="B11" s="427">
        <v>0.157953999999999</v>
      </c>
      <c r="C11" s="414"/>
      <c r="D11" s="414"/>
      <c r="E11" s="414"/>
      <c r="F11" s="414"/>
      <c r="G11" s="427">
        <f t="shared" si="0"/>
        <v>0</v>
      </c>
      <c r="H11" s="413"/>
      <c r="I11" s="422"/>
    </row>
    <row r="12" ht="16" customHeight="1" spans="1:9">
      <c r="A12" s="424" t="s">
        <v>58</v>
      </c>
      <c r="B12" s="425">
        <v>681.56902</v>
      </c>
      <c r="C12" s="414">
        <f>'附件1.2费用预算（销售）'!C6</f>
        <v>100.87</v>
      </c>
      <c r="D12" s="414">
        <f>'附件1.2费用预算（销售）'!D6</f>
        <v>100.87</v>
      </c>
      <c r="E12" s="414">
        <f>'附件1.2费用预算（销售）'!E6</f>
        <v>100.87</v>
      </c>
      <c r="F12" s="414">
        <f>'附件1.2费用预算（销售）'!F6</f>
        <v>100.87</v>
      </c>
      <c r="G12" s="427">
        <f t="shared" ref="G12:G27" si="2">SUM(C12:F12)</f>
        <v>403.48</v>
      </c>
      <c r="H12" s="413">
        <f t="shared" ref="H12:H27" si="3">IFERROR(G12/B12-1,"")</f>
        <v>-0.408012999182387</v>
      </c>
      <c r="I12" s="428"/>
    </row>
    <row r="13" ht="16" customHeight="1" spans="1:9">
      <c r="A13" s="424" t="s">
        <v>59</v>
      </c>
      <c r="B13" s="425">
        <v>0</v>
      </c>
      <c r="C13" s="414"/>
      <c r="D13" s="414"/>
      <c r="E13" s="414"/>
      <c r="F13" s="414"/>
      <c r="G13" s="427">
        <f t="shared" si="2"/>
        <v>0</v>
      </c>
      <c r="H13" s="413" t="str">
        <f t="shared" si="3"/>
        <v/>
      </c>
      <c r="I13" s="422"/>
    </row>
    <row r="14" ht="16" customHeight="1" spans="1:9">
      <c r="A14" s="424" t="s">
        <v>60</v>
      </c>
      <c r="B14" s="425">
        <v>6.125726</v>
      </c>
      <c r="C14" s="414">
        <f>'附件1.2费用预算（销售）'!C20</f>
        <v>0.6</v>
      </c>
      <c r="D14" s="414">
        <f>'附件1.2费用预算（销售）'!D20</f>
        <v>0.6</v>
      </c>
      <c r="E14" s="414">
        <f>'附件1.2费用预算（销售）'!E20</f>
        <v>0.6</v>
      </c>
      <c r="F14" s="414">
        <f>'附件1.2费用预算（销售）'!F20</f>
        <v>0.6</v>
      </c>
      <c r="G14" s="427">
        <f t="shared" si="2"/>
        <v>2.4</v>
      </c>
      <c r="H14" s="413"/>
      <c r="I14" s="422"/>
    </row>
    <row r="15" ht="16" customHeight="1" spans="1:9">
      <c r="A15" s="424" t="s">
        <v>61</v>
      </c>
      <c r="B15" s="425">
        <v>202.735257</v>
      </c>
      <c r="C15" s="414">
        <f>'附件1.1费用预算（管理）'!C6</f>
        <v>0</v>
      </c>
      <c r="D15" s="414">
        <f>'附件1.1费用预算（管理）'!D6</f>
        <v>0</v>
      </c>
      <c r="E15" s="414">
        <f>'附件1.1费用预算（管理）'!E6</f>
        <v>0</v>
      </c>
      <c r="F15" s="414">
        <f>'附件1.1费用预算（管理）'!F6</f>
        <v>0</v>
      </c>
      <c r="G15" s="427">
        <f t="shared" si="2"/>
        <v>0</v>
      </c>
      <c r="H15" s="413">
        <f t="shared" si="3"/>
        <v>-1</v>
      </c>
      <c r="I15" s="422"/>
    </row>
    <row r="16" ht="16" customHeight="1" spans="1:9">
      <c r="A16" s="424" t="s">
        <v>62</v>
      </c>
      <c r="B16" s="425">
        <v>457.983543</v>
      </c>
      <c r="C16" s="414">
        <f>研发预算!D4</f>
        <v>0</v>
      </c>
      <c r="D16" s="414">
        <f>研发预算!E4</f>
        <v>0</v>
      </c>
      <c r="E16" s="414">
        <f>研发预算!F4</f>
        <v>0</v>
      </c>
      <c r="F16" s="414">
        <f>研发预算!G4</f>
        <v>0</v>
      </c>
      <c r="G16" s="427">
        <f t="shared" si="2"/>
        <v>0</v>
      </c>
      <c r="H16" s="413">
        <f t="shared" si="3"/>
        <v>-1</v>
      </c>
      <c r="I16" s="422"/>
    </row>
    <row r="17" ht="16" customHeight="1" spans="1:9">
      <c r="A17" s="424" t="s">
        <v>63</v>
      </c>
      <c r="B17" s="425">
        <v>57.358329</v>
      </c>
      <c r="C17" s="414">
        <f>'附件4（财务费用明细）'!D8</f>
        <v>0</v>
      </c>
      <c r="D17" s="414">
        <f>'附件4（财务费用明细）'!E8</f>
        <v>0</v>
      </c>
      <c r="E17" s="414">
        <f>'附件4（财务费用明细）'!F8</f>
        <v>0</v>
      </c>
      <c r="F17" s="414">
        <f>'附件4（财务费用明细）'!G8</f>
        <v>0</v>
      </c>
      <c r="G17" s="427">
        <f t="shared" si="2"/>
        <v>0</v>
      </c>
      <c r="H17" s="413">
        <f t="shared" si="3"/>
        <v>-1</v>
      </c>
      <c r="I17" s="422"/>
    </row>
    <row r="18" ht="16" customHeight="1" spans="1:9">
      <c r="A18" s="424" t="s">
        <v>64</v>
      </c>
      <c r="B18" s="425">
        <v>53.411664</v>
      </c>
      <c r="C18" s="414">
        <f>'附件4（财务费用明细）'!D4</f>
        <v>0</v>
      </c>
      <c r="D18" s="414">
        <f>'附件4（财务费用明细）'!E4</f>
        <v>0</v>
      </c>
      <c r="E18" s="414">
        <f>'附件4（财务费用明细）'!F4</f>
        <v>0</v>
      </c>
      <c r="F18" s="414">
        <f>'附件4（财务费用明细）'!G4</f>
        <v>0</v>
      </c>
      <c r="G18" s="427">
        <f t="shared" si="2"/>
        <v>0</v>
      </c>
      <c r="H18" s="413">
        <f t="shared" si="3"/>
        <v>-1</v>
      </c>
      <c r="I18" s="422"/>
    </row>
    <row r="19" ht="16" customHeight="1" spans="1:9">
      <c r="A19" s="424" t="s">
        <v>65</v>
      </c>
      <c r="B19" s="425">
        <v>0.302732</v>
      </c>
      <c r="C19" s="414">
        <f>'附件4（财务费用明细）'!D5</f>
        <v>0</v>
      </c>
      <c r="D19" s="414">
        <f>'附件4（财务费用明细）'!E5</f>
        <v>0</v>
      </c>
      <c r="E19" s="414">
        <f>'附件4（财务费用明细）'!F5</f>
        <v>0</v>
      </c>
      <c r="F19" s="414">
        <f>'附件4（财务费用明细）'!G5</f>
        <v>0</v>
      </c>
      <c r="G19" s="427">
        <f t="shared" si="2"/>
        <v>0</v>
      </c>
      <c r="H19" s="413">
        <f t="shared" si="3"/>
        <v>-1</v>
      </c>
      <c r="I19" s="422"/>
    </row>
    <row r="20" ht="16" customHeight="1" spans="1:9">
      <c r="A20" s="424" t="s">
        <v>66</v>
      </c>
      <c r="B20" s="425">
        <v>-0.487181</v>
      </c>
      <c r="C20" s="414">
        <f>'附件4（财务费用明细）'!D6</f>
        <v>0</v>
      </c>
      <c r="D20" s="414">
        <f>'附件4（财务费用明细）'!E6</f>
        <v>0</v>
      </c>
      <c r="E20" s="414">
        <f>'附件4（财务费用明细）'!F6</f>
        <v>0</v>
      </c>
      <c r="F20" s="414">
        <f>'附件4（财务费用明细）'!G6</f>
        <v>0</v>
      </c>
      <c r="G20" s="427">
        <f t="shared" si="2"/>
        <v>0</v>
      </c>
      <c r="H20" s="413">
        <f t="shared" si="3"/>
        <v>-1</v>
      </c>
      <c r="I20" s="422"/>
    </row>
    <row r="21" ht="16" customHeight="1" spans="1:9">
      <c r="A21" s="424" t="s">
        <v>67</v>
      </c>
      <c r="B21" s="425">
        <v>0.384748999999999</v>
      </c>
      <c r="C21" s="414">
        <f>'附件4（财务费用明细）'!D7</f>
        <v>0</v>
      </c>
      <c r="D21" s="414">
        <f>'附件4（财务费用明细）'!E7</f>
        <v>0</v>
      </c>
      <c r="E21" s="414">
        <f>'附件4（财务费用明细）'!F7</f>
        <v>0</v>
      </c>
      <c r="F21" s="414">
        <f>'附件4（财务费用明细）'!G7</f>
        <v>0</v>
      </c>
      <c r="G21" s="427">
        <f t="shared" si="2"/>
        <v>0</v>
      </c>
      <c r="H21" s="413">
        <f t="shared" si="3"/>
        <v>-1</v>
      </c>
      <c r="I21" s="422"/>
    </row>
    <row r="22" ht="16" customHeight="1" spans="1:9">
      <c r="A22" s="429" t="s">
        <v>68</v>
      </c>
      <c r="B22" s="425">
        <v>3.746365</v>
      </c>
      <c r="C22" s="414"/>
      <c r="D22" s="414"/>
      <c r="E22" s="414"/>
      <c r="F22" s="414"/>
      <c r="G22" s="427"/>
      <c r="H22" s="413"/>
      <c r="I22" s="422"/>
    </row>
    <row r="23" ht="16" customHeight="1" spans="1:9">
      <c r="A23" s="424" t="s">
        <v>69</v>
      </c>
      <c r="B23" s="425">
        <v>6.780108</v>
      </c>
      <c r="C23" s="414">
        <f>其他收入及支出!B8</f>
        <v>0</v>
      </c>
      <c r="D23" s="414">
        <f>其他收入及支出!C8</f>
        <v>0</v>
      </c>
      <c r="E23" s="414">
        <f>其他收入及支出!D8</f>
        <v>0</v>
      </c>
      <c r="F23" s="414">
        <f>其他收入及支出!E8</f>
        <v>0</v>
      </c>
      <c r="G23" s="427">
        <f t="shared" ref="G23:G28" si="4">SUM(C23:F23)</f>
        <v>0</v>
      </c>
      <c r="H23" s="413">
        <f t="shared" ref="H23:H28" si="5">IFERROR(G23/B23-1,"")</f>
        <v>-1</v>
      </c>
      <c r="I23" s="422"/>
    </row>
    <row r="24" ht="16" customHeight="1" spans="1:9">
      <c r="A24" s="424" t="s">
        <v>70</v>
      </c>
      <c r="B24" s="425">
        <v>4.663351</v>
      </c>
      <c r="C24" s="414">
        <f>其他收入及支出!B4</f>
        <v>0</v>
      </c>
      <c r="D24" s="414">
        <f>其他收入及支出!C4</f>
        <v>0</v>
      </c>
      <c r="E24" s="414">
        <f>其他收入及支出!D4</f>
        <v>0</v>
      </c>
      <c r="F24" s="414">
        <f>其他收入及支出!E4</f>
        <v>0</v>
      </c>
      <c r="G24" s="427">
        <f t="shared" si="4"/>
        <v>0</v>
      </c>
      <c r="H24" s="413">
        <f t="shared" si="5"/>
        <v>-1</v>
      </c>
      <c r="I24" s="422"/>
    </row>
    <row r="25" ht="16" customHeight="1" spans="1:9">
      <c r="A25" s="424" t="s">
        <v>71</v>
      </c>
      <c r="B25" s="425">
        <v>0</v>
      </c>
      <c r="C25" s="414">
        <f>其他收入及支出!B5</f>
        <v>0</v>
      </c>
      <c r="D25" s="414">
        <f>其他收入及支出!C5</f>
        <v>0</v>
      </c>
      <c r="E25" s="414">
        <f>其他收入及支出!D5</f>
        <v>0</v>
      </c>
      <c r="F25" s="414">
        <f>其他收入及支出!E5</f>
        <v>0</v>
      </c>
      <c r="G25" s="427">
        <f t="shared" si="4"/>
        <v>0</v>
      </c>
      <c r="H25" s="413" t="str">
        <f t="shared" si="5"/>
        <v/>
      </c>
      <c r="I25" s="422"/>
    </row>
    <row r="26" ht="16" customHeight="1" spans="1:9">
      <c r="A26" s="430" t="s">
        <v>72</v>
      </c>
      <c r="B26" s="427">
        <f>B10-B11-B12-B15-B16-B17+B23-B24-B25</f>
        <v>-1294.947476</v>
      </c>
      <c r="C26" s="414">
        <f>C10-C11-C12-C15-C16-C17+C23-C24-C25</f>
        <v>-100.87</v>
      </c>
      <c r="D26" s="414">
        <f>D10-D11-D12-D15-D16-D17+D23-D24-D25</f>
        <v>-100.87</v>
      </c>
      <c r="E26" s="414">
        <f>E10-E11-E12-E15-E16-E17+E23-E24-E25</f>
        <v>-100.87</v>
      </c>
      <c r="F26" s="414">
        <f>F10-F11-F12-F15-F16-F17+F23-F24-F25</f>
        <v>-100.87</v>
      </c>
      <c r="G26" s="427">
        <f t="shared" si="4"/>
        <v>-403.48</v>
      </c>
      <c r="H26" s="413">
        <f t="shared" si="5"/>
        <v>-0.688419795028042</v>
      </c>
      <c r="I26" s="428"/>
    </row>
    <row r="27" ht="16" customHeight="1" spans="1:9">
      <c r="A27" s="424" t="s">
        <v>73</v>
      </c>
      <c r="B27" s="425"/>
      <c r="C27" s="414"/>
      <c r="D27" s="414"/>
      <c r="E27" s="414"/>
      <c r="F27" s="414"/>
      <c r="G27" s="427">
        <f t="shared" si="4"/>
        <v>0</v>
      </c>
      <c r="H27" s="413" t="str">
        <f t="shared" si="5"/>
        <v/>
      </c>
      <c r="I27" s="422"/>
    </row>
    <row r="28" ht="16" customHeight="1" spans="1:9">
      <c r="A28" s="430" t="s">
        <v>74</v>
      </c>
      <c r="B28" s="427">
        <f>B26-B27</f>
        <v>-1294.947476</v>
      </c>
      <c r="C28" s="414">
        <f>C26-C27</f>
        <v>-100.87</v>
      </c>
      <c r="D28" s="414">
        <f>D26-D27</f>
        <v>-100.87</v>
      </c>
      <c r="E28" s="414">
        <f>E26-E27</f>
        <v>-100.87</v>
      </c>
      <c r="F28" s="414">
        <f>F26-F27</f>
        <v>-100.87</v>
      </c>
      <c r="G28" s="427">
        <f t="shared" si="4"/>
        <v>-403.48</v>
      </c>
      <c r="H28" s="413">
        <f t="shared" si="5"/>
        <v>-0.688419795028042</v>
      </c>
      <c r="I28" s="422"/>
    </row>
    <row r="29" ht="16" customHeight="1" spans="1:9">
      <c r="A29" s="431"/>
      <c r="B29" s="419"/>
      <c r="C29" s="422"/>
      <c r="D29" s="422"/>
      <c r="E29" s="422"/>
      <c r="F29" s="422"/>
      <c r="G29" s="79"/>
      <c r="H29" s="422"/>
      <c r="I29" s="422"/>
    </row>
    <row r="30" ht="16" customHeight="1" spans="1:9">
      <c r="A30" s="431" t="s">
        <v>75</v>
      </c>
      <c r="B30" s="419"/>
      <c r="C30" s="422"/>
      <c r="D30" s="422"/>
      <c r="E30" s="422"/>
      <c r="F30" s="422"/>
      <c r="G30" s="79"/>
      <c r="H30" s="422"/>
      <c r="I30" s="422"/>
    </row>
    <row r="31" ht="16" customHeight="1" spans="1:9">
      <c r="A31" s="432" t="s">
        <v>76</v>
      </c>
      <c r="B31" s="433">
        <f t="shared" ref="B31:G31" si="6">B10/B4</f>
        <v>0.554909040036554</v>
      </c>
      <c r="C31" s="433" t="e">
        <f t="shared" si="6"/>
        <v>#DIV/0!</v>
      </c>
      <c r="D31" s="433" t="e">
        <f t="shared" si="6"/>
        <v>#DIV/0!</v>
      </c>
      <c r="E31" s="433" t="e">
        <f t="shared" si="6"/>
        <v>#DIV/0!</v>
      </c>
      <c r="F31" s="433" t="e">
        <f t="shared" si="6"/>
        <v>#DIV/0!</v>
      </c>
      <c r="G31" s="433" t="e">
        <f t="shared" si="6"/>
        <v>#DIV/0!</v>
      </c>
      <c r="H31" s="434"/>
      <c r="I31" s="422"/>
    </row>
    <row r="32" ht="16" customHeight="1" spans="1:9">
      <c r="A32" s="432" t="s">
        <v>77</v>
      </c>
      <c r="B32" s="433">
        <f t="shared" ref="B32:G32" si="7">B28/B4</f>
        <v>-6.99414999069902</v>
      </c>
      <c r="C32" s="433" t="e">
        <f t="shared" si="7"/>
        <v>#DIV/0!</v>
      </c>
      <c r="D32" s="433" t="e">
        <f t="shared" si="7"/>
        <v>#DIV/0!</v>
      </c>
      <c r="E32" s="433" t="e">
        <f t="shared" si="7"/>
        <v>#DIV/0!</v>
      </c>
      <c r="F32" s="433" t="e">
        <f t="shared" si="7"/>
        <v>#DIV/0!</v>
      </c>
      <c r="G32" s="433" t="e">
        <f t="shared" si="7"/>
        <v>#DIV/0!</v>
      </c>
      <c r="H32" s="434"/>
      <c r="I32" s="422"/>
    </row>
    <row r="33" ht="16" customHeight="1" spans="1:9">
      <c r="A33" s="432" t="s">
        <v>78</v>
      </c>
      <c r="B33" s="433">
        <f t="shared" ref="B33:G33" si="8">B12/B4</f>
        <v>3.68122726461358</v>
      </c>
      <c r="C33" s="433" t="e">
        <f t="shared" si="8"/>
        <v>#DIV/0!</v>
      </c>
      <c r="D33" s="433" t="e">
        <f t="shared" si="8"/>
        <v>#DIV/0!</v>
      </c>
      <c r="E33" s="433" t="e">
        <f t="shared" si="8"/>
        <v>#DIV/0!</v>
      </c>
      <c r="F33" s="433" t="e">
        <f t="shared" si="8"/>
        <v>#DIV/0!</v>
      </c>
      <c r="G33" s="433" t="e">
        <f t="shared" si="8"/>
        <v>#DIV/0!</v>
      </c>
      <c r="H33" s="434"/>
      <c r="I33" s="422"/>
    </row>
    <row r="34" ht="16" customHeight="1" spans="1:9">
      <c r="A34" s="432" t="s">
        <v>79</v>
      </c>
      <c r="B34" s="433">
        <f t="shared" ref="B34:G34" si="9">B15/B4</f>
        <v>1.09499483349</v>
      </c>
      <c r="C34" s="433" t="e">
        <f t="shared" si="9"/>
        <v>#DIV/0!</v>
      </c>
      <c r="D34" s="433" t="e">
        <f t="shared" si="9"/>
        <v>#DIV/0!</v>
      </c>
      <c r="E34" s="433" t="e">
        <f t="shared" si="9"/>
        <v>#DIV/0!</v>
      </c>
      <c r="F34" s="433" t="e">
        <f t="shared" si="9"/>
        <v>#DIV/0!</v>
      </c>
      <c r="G34" s="433" t="e">
        <f t="shared" si="9"/>
        <v>#DIV/0!</v>
      </c>
      <c r="H34" s="434"/>
      <c r="I34" s="422"/>
    </row>
    <row r="35" ht="16" customHeight="1" spans="1:9">
      <c r="A35" s="432" t="s">
        <v>80</v>
      </c>
      <c r="B35" s="433">
        <f t="shared" ref="B35:G35" si="10">B16/B4</f>
        <v>2.47361816010347</v>
      </c>
      <c r="C35" s="433" t="e">
        <f t="shared" si="10"/>
        <v>#DIV/0!</v>
      </c>
      <c r="D35" s="433" t="e">
        <f t="shared" si="10"/>
        <v>#DIV/0!</v>
      </c>
      <c r="E35" s="433" t="e">
        <f t="shared" si="10"/>
        <v>#DIV/0!</v>
      </c>
      <c r="F35" s="433" t="e">
        <f t="shared" si="10"/>
        <v>#DIV/0!</v>
      </c>
      <c r="G35" s="433" t="e">
        <f t="shared" si="10"/>
        <v>#DIV/0!</v>
      </c>
      <c r="H35" s="434"/>
      <c r="I35" s="422"/>
    </row>
    <row r="36" ht="16" customHeight="1" spans="1:9">
      <c r="A36" s="432" t="s">
        <v>81</v>
      </c>
      <c r="B36" s="433">
        <f t="shared" ref="B36:G36" si="11">B27/B4</f>
        <v>0</v>
      </c>
      <c r="C36" s="433" t="e">
        <f t="shared" si="11"/>
        <v>#DIV/0!</v>
      </c>
      <c r="D36" s="433" t="e">
        <f t="shared" si="11"/>
        <v>#DIV/0!</v>
      </c>
      <c r="E36" s="433" t="e">
        <f t="shared" si="11"/>
        <v>#DIV/0!</v>
      </c>
      <c r="F36" s="433" t="e">
        <f t="shared" si="11"/>
        <v>#DIV/0!</v>
      </c>
      <c r="G36" s="433" t="e">
        <f t="shared" si="11"/>
        <v>#DIV/0!</v>
      </c>
      <c r="H36" s="434"/>
      <c r="I36" s="422"/>
    </row>
    <row r="37" ht="16" customHeight="1" spans="1:9">
      <c r="A37" s="419"/>
      <c r="B37" s="419"/>
      <c r="C37" s="422"/>
      <c r="D37" s="422"/>
      <c r="E37" s="422"/>
      <c r="F37" s="422"/>
      <c r="G37" s="79"/>
      <c r="H37" s="422"/>
      <c r="I37" s="422"/>
    </row>
    <row r="38" ht="16" customHeight="1" spans="1:9">
      <c r="A38" s="419"/>
      <c r="B38" s="419"/>
      <c r="C38" s="422"/>
      <c r="D38" s="422"/>
      <c r="E38" s="422"/>
      <c r="F38" s="422"/>
      <c r="G38" s="79"/>
      <c r="H38" s="422"/>
      <c r="I38" s="422"/>
    </row>
    <row r="39" ht="16" customHeight="1" spans="1:9">
      <c r="A39" s="419"/>
      <c r="B39" s="419"/>
      <c r="C39" s="422"/>
      <c r="D39" s="422"/>
      <c r="E39" s="422"/>
      <c r="F39" s="422"/>
      <c r="G39" s="79"/>
      <c r="H39" s="422"/>
      <c r="I39" s="422"/>
    </row>
    <row r="40" ht="16" customHeight="1" spans="1:9">
      <c r="A40" s="419"/>
      <c r="B40" s="419"/>
      <c r="C40" s="422"/>
      <c r="D40" s="422"/>
      <c r="E40" s="422"/>
      <c r="F40" s="422"/>
      <c r="G40" s="79"/>
      <c r="H40" s="422"/>
      <c r="I40" s="422"/>
    </row>
    <row r="41" ht="16" customHeight="1" spans="1:9">
      <c r="A41" s="419"/>
      <c r="B41" s="419"/>
      <c r="C41" s="422"/>
      <c r="D41" s="422"/>
      <c r="E41" s="422"/>
      <c r="F41" s="422"/>
      <c r="G41" s="79"/>
      <c r="H41" s="422"/>
      <c r="I41" s="422"/>
    </row>
    <row r="42" ht="16" customHeight="1" spans="1:9">
      <c r="A42" s="419"/>
      <c r="B42" s="419"/>
      <c r="C42" s="422"/>
      <c r="D42" s="422"/>
      <c r="E42" s="422"/>
      <c r="F42" s="422"/>
      <c r="G42" s="79"/>
      <c r="H42" s="422"/>
      <c r="I42" s="422"/>
    </row>
    <row r="43" ht="16" customHeight="1" spans="1:9">
      <c r="A43" s="419"/>
      <c r="B43" s="419"/>
      <c r="C43" s="422"/>
      <c r="D43" s="422"/>
      <c r="E43" s="422"/>
      <c r="F43" s="422"/>
      <c r="G43" s="79"/>
      <c r="H43" s="422"/>
      <c r="I43" s="422"/>
    </row>
    <row r="44" ht="16" customHeight="1" spans="1:9">
      <c r="A44" s="419"/>
      <c r="B44" s="419"/>
      <c r="C44" s="422"/>
      <c r="D44" s="422"/>
      <c r="E44" s="422"/>
      <c r="F44" s="422"/>
      <c r="G44" s="79"/>
      <c r="H44" s="422"/>
      <c r="I44" s="422"/>
    </row>
    <row r="45" ht="16" customHeight="1" spans="1:9">
      <c r="A45" s="419"/>
      <c r="B45" s="419"/>
      <c r="C45" s="422"/>
      <c r="D45" s="422"/>
      <c r="E45" s="422"/>
      <c r="F45" s="422"/>
      <c r="G45" s="79"/>
      <c r="H45" s="422"/>
      <c r="I45" s="422"/>
    </row>
    <row r="46" ht="16" customHeight="1" spans="1:9">
      <c r="A46" s="419"/>
      <c r="B46" s="419"/>
      <c r="C46" s="422"/>
      <c r="D46" s="422"/>
      <c r="E46" s="422"/>
      <c r="F46" s="422"/>
      <c r="G46" s="79"/>
      <c r="H46" s="422"/>
      <c r="I46" s="422"/>
    </row>
    <row r="47" ht="16" customHeight="1" spans="1:9">
      <c r="A47" s="419"/>
      <c r="B47" s="419"/>
      <c r="C47" s="422"/>
      <c r="D47" s="422"/>
      <c r="E47" s="422"/>
      <c r="F47" s="422"/>
      <c r="G47" s="79"/>
      <c r="H47" s="422"/>
      <c r="I47" s="422"/>
    </row>
    <row r="48" ht="16" customHeight="1" spans="1:9">
      <c r="A48" s="419"/>
      <c r="B48" s="419"/>
      <c r="C48" s="422"/>
      <c r="D48" s="422"/>
      <c r="E48" s="422"/>
      <c r="F48" s="422"/>
      <c r="G48" s="79"/>
      <c r="H48" s="422"/>
      <c r="I48" s="422"/>
    </row>
    <row r="49" ht="16" customHeight="1" spans="1:9">
      <c r="A49" s="419"/>
      <c r="B49" s="419"/>
      <c r="C49" s="422"/>
      <c r="D49" s="422"/>
      <c r="E49" s="422"/>
      <c r="F49" s="422"/>
      <c r="G49" s="79"/>
      <c r="H49" s="422"/>
      <c r="I49" s="422"/>
    </row>
    <row r="50" spans="1:9">
      <c r="A50" s="419"/>
      <c r="B50" s="419"/>
      <c r="C50" s="422"/>
      <c r="D50" s="422"/>
      <c r="E50" s="422"/>
      <c r="F50" s="422"/>
      <c r="G50" s="79"/>
      <c r="H50" s="422"/>
      <c r="I50" s="422"/>
    </row>
    <row r="51" spans="1:9">
      <c r="A51" s="419"/>
      <c r="B51" s="419"/>
      <c r="C51" s="422"/>
      <c r="D51" s="422"/>
      <c r="E51" s="422"/>
      <c r="F51" s="422"/>
      <c r="G51" s="79"/>
      <c r="H51" s="422"/>
      <c r="I51" s="422"/>
    </row>
    <row r="52" spans="1:9">
      <c r="A52" s="419"/>
      <c r="B52" s="419"/>
      <c r="C52" s="422"/>
      <c r="D52" s="422"/>
      <c r="E52" s="422"/>
      <c r="F52" s="422"/>
      <c r="G52" s="79"/>
      <c r="H52" s="422"/>
      <c r="I52" s="422"/>
    </row>
    <row r="53" spans="1:9">
      <c r="A53" s="419"/>
      <c r="B53" s="419"/>
      <c r="C53" s="422"/>
      <c r="D53" s="422"/>
      <c r="E53" s="422"/>
      <c r="F53" s="422"/>
      <c r="G53" s="79"/>
      <c r="H53" s="422"/>
      <c r="I53" s="422"/>
    </row>
    <row r="54" spans="1:9">
      <c r="A54" s="419"/>
      <c r="B54" s="419"/>
      <c r="C54" s="422"/>
      <c r="D54" s="422"/>
      <c r="E54" s="422"/>
      <c r="F54" s="422"/>
      <c r="G54" s="79"/>
      <c r="H54" s="422"/>
      <c r="I54" s="422"/>
    </row>
    <row r="55" spans="1:9">
      <c r="A55" s="419"/>
      <c r="B55" s="419"/>
      <c r="C55" s="422"/>
      <c r="D55" s="422"/>
      <c r="E55" s="422"/>
      <c r="F55" s="422"/>
      <c r="G55" s="79"/>
      <c r="H55" s="422"/>
      <c r="I55" s="422"/>
    </row>
    <row r="56" spans="1:9">
      <c r="A56" s="419"/>
      <c r="B56" s="419"/>
      <c r="C56" s="422"/>
      <c r="D56" s="422"/>
      <c r="E56" s="422"/>
      <c r="F56" s="422"/>
      <c r="G56" s="79"/>
      <c r="H56" s="422"/>
      <c r="I56" s="422"/>
    </row>
    <row r="57" spans="1:9">
      <c r="A57" s="419"/>
      <c r="B57" s="419"/>
      <c r="C57" s="422"/>
      <c r="D57" s="422"/>
      <c r="E57" s="422"/>
      <c r="F57" s="422"/>
      <c r="G57" s="79"/>
      <c r="H57" s="422"/>
      <c r="I57" s="422"/>
    </row>
    <row r="58" spans="1:9">
      <c r="A58" s="419"/>
      <c r="B58" s="419"/>
      <c r="C58" s="422"/>
      <c r="D58" s="422"/>
      <c r="E58" s="422"/>
      <c r="F58" s="422"/>
      <c r="G58" s="79"/>
      <c r="H58" s="422"/>
      <c r="I58" s="422"/>
    </row>
    <row r="59" spans="1:9">
      <c r="A59" s="419"/>
      <c r="B59" s="419"/>
      <c r="C59" s="422"/>
      <c r="D59" s="422"/>
      <c r="E59" s="422"/>
      <c r="F59" s="422"/>
      <c r="G59" s="79"/>
      <c r="H59" s="422"/>
      <c r="I59" s="422"/>
    </row>
    <row r="60" spans="1:9">
      <c r="A60" s="419"/>
      <c r="B60" s="419"/>
      <c r="C60" s="422"/>
      <c r="D60" s="422"/>
      <c r="E60" s="422"/>
      <c r="F60" s="422"/>
      <c r="G60" s="79"/>
      <c r="H60" s="422"/>
      <c r="I60" s="422"/>
    </row>
    <row r="61" spans="1:9">
      <c r="A61" s="419"/>
      <c r="B61" s="419"/>
      <c r="C61" s="422"/>
      <c r="D61" s="422"/>
      <c r="E61" s="422"/>
      <c r="F61" s="422"/>
      <c r="G61" s="79"/>
      <c r="H61" s="422"/>
      <c r="I61" s="422"/>
    </row>
    <row r="62" spans="1:9">
      <c r="A62" s="419"/>
      <c r="B62" s="419"/>
      <c r="C62" s="422"/>
      <c r="D62" s="422"/>
      <c r="E62" s="422"/>
      <c r="F62" s="422"/>
      <c r="G62" s="79"/>
      <c r="H62" s="422"/>
      <c r="I62" s="422"/>
    </row>
    <row r="63" spans="1:9">
      <c r="A63" s="419"/>
      <c r="B63" s="419"/>
      <c r="C63" s="422"/>
      <c r="D63" s="422"/>
      <c r="E63" s="422"/>
      <c r="F63" s="422"/>
      <c r="G63" s="79"/>
      <c r="H63" s="422"/>
      <c r="I63" s="422"/>
    </row>
    <row r="64" spans="1:9">
      <c r="A64" s="419"/>
      <c r="B64" s="419"/>
      <c r="C64" s="422"/>
      <c r="D64" s="422"/>
      <c r="E64" s="422"/>
      <c r="F64" s="422"/>
      <c r="G64" s="79"/>
      <c r="H64" s="422"/>
      <c r="I64" s="422"/>
    </row>
    <row r="65" spans="1:9">
      <c r="A65" s="419"/>
      <c r="B65" s="419"/>
      <c r="C65" s="422"/>
      <c r="D65" s="422"/>
      <c r="E65" s="422"/>
      <c r="F65" s="422"/>
      <c r="G65" s="79"/>
      <c r="H65" s="422"/>
      <c r="I65" s="422"/>
    </row>
    <row r="66" spans="1:9">
      <c r="A66" s="419"/>
      <c r="B66" s="419"/>
      <c r="C66" s="422"/>
      <c r="D66" s="422"/>
      <c r="E66" s="422"/>
      <c r="F66" s="422"/>
      <c r="G66" s="79"/>
      <c r="H66" s="422"/>
      <c r="I66" s="422"/>
    </row>
    <row r="67" spans="1:9">
      <c r="A67" s="419"/>
      <c r="B67" s="419"/>
      <c r="C67" s="422"/>
      <c r="D67" s="422"/>
      <c r="E67" s="422"/>
      <c r="F67" s="422"/>
      <c r="G67" s="79"/>
      <c r="H67" s="422"/>
      <c r="I67" s="422"/>
    </row>
    <row r="68" spans="1:9">
      <c r="A68" s="419"/>
      <c r="B68" s="419"/>
      <c r="C68" s="422"/>
      <c r="D68" s="422"/>
      <c r="E68" s="422"/>
      <c r="F68" s="422"/>
      <c r="G68" s="79"/>
      <c r="H68" s="422"/>
      <c r="I68" s="422"/>
    </row>
    <row r="69" spans="1:9">
      <c r="A69" s="419"/>
      <c r="B69" s="419"/>
      <c r="C69" s="422"/>
      <c r="D69" s="422"/>
      <c r="E69" s="422"/>
      <c r="F69" s="422"/>
      <c r="G69" s="79"/>
      <c r="H69" s="422"/>
      <c r="I69" s="422"/>
    </row>
    <row r="70" spans="1:9">
      <c r="A70" s="419"/>
      <c r="B70" s="419"/>
      <c r="C70" s="422"/>
      <c r="D70" s="422"/>
      <c r="E70" s="422"/>
      <c r="F70" s="422"/>
      <c r="G70" s="79"/>
      <c r="H70" s="422"/>
      <c r="I70" s="422"/>
    </row>
    <row r="71" spans="1:9">
      <c r="A71" s="419"/>
      <c r="B71" s="419"/>
      <c r="C71" s="422"/>
      <c r="D71" s="422"/>
      <c r="E71" s="422"/>
      <c r="F71" s="422"/>
      <c r="G71" s="79"/>
      <c r="H71" s="422"/>
      <c r="I71" s="422"/>
    </row>
    <row r="72" spans="1:9">
      <c r="A72" s="419"/>
      <c r="B72" s="419"/>
      <c r="C72" s="422"/>
      <c r="D72" s="422"/>
      <c r="E72" s="422"/>
      <c r="F72" s="422"/>
      <c r="G72" s="79"/>
      <c r="H72" s="422"/>
      <c r="I72" s="422"/>
    </row>
    <row r="73" spans="1:9">
      <c r="A73" s="419"/>
      <c r="B73" s="419"/>
      <c r="C73" s="422"/>
      <c r="D73" s="422"/>
      <c r="E73" s="422"/>
      <c r="F73" s="422"/>
      <c r="G73" s="79"/>
      <c r="H73" s="422"/>
      <c r="I73" s="422"/>
    </row>
    <row r="74" spans="1:9">
      <c r="A74" s="419"/>
      <c r="B74" s="419"/>
      <c r="C74" s="422"/>
      <c r="D74" s="422"/>
      <c r="E74" s="422"/>
      <c r="F74" s="422"/>
      <c r="G74" s="79"/>
      <c r="H74" s="422"/>
      <c r="I74" s="422"/>
    </row>
    <row r="75" spans="1:9">
      <c r="A75" s="419"/>
      <c r="B75" s="419"/>
      <c r="C75" s="422"/>
      <c r="D75" s="422"/>
      <c r="E75" s="422"/>
      <c r="F75" s="422"/>
      <c r="G75" s="79"/>
      <c r="H75" s="422"/>
      <c r="I75" s="422"/>
    </row>
    <row r="76" spans="1:9">
      <c r="A76" s="419"/>
      <c r="B76" s="419"/>
      <c r="C76" s="422"/>
      <c r="D76" s="422"/>
      <c r="E76" s="422"/>
      <c r="F76" s="422"/>
      <c r="G76" s="79"/>
      <c r="H76" s="422"/>
      <c r="I76" s="422"/>
    </row>
    <row r="77" spans="1:9">
      <c r="A77" s="419"/>
      <c r="B77" s="419"/>
      <c r="C77" s="422"/>
      <c r="D77" s="422"/>
      <c r="E77" s="422"/>
      <c r="F77" s="422"/>
      <c r="G77" s="79"/>
      <c r="H77" s="422"/>
      <c r="I77" s="422"/>
    </row>
    <row r="78" spans="1:9">
      <c r="A78" s="419"/>
      <c r="B78" s="419"/>
      <c r="C78" s="422"/>
      <c r="D78" s="422"/>
      <c r="E78" s="422"/>
      <c r="F78" s="422"/>
      <c r="G78" s="79"/>
      <c r="H78" s="422"/>
      <c r="I78" s="422"/>
    </row>
    <row r="79" spans="1:9">
      <c r="A79" s="419"/>
      <c r="B79" s="419"/>
      <c r="C79" s="422"/>
      <c r="D79" s="422"/>
      <c r="E79" s="422"/>
      <c r="F79" s="422"/>
      <c r="G79" s="79"/>
      <c r="H79" s="422"/>
      <c r="I79" s="422"/>
    </row>
    <row r="80" spans="1:9">
      <c r="A80" s="419"/>
      <c r="B80" s="419"/>
      <c r="C80" s="422"/>
      <c r="D80" s="422"/>
      <c r="E80" s="422"/>
      <c r="F80" s="422"/>
      <c r="G80" s="79"/>
      <c r="H80" s="422"/>
      <c r="I80" s="422"/>
    </row>
    <row r="81" spans="1:9">
      <c r="A81" s="419"/>
      <c r="B81" s="419"/>
      <c r="C81" s="422"/>
      <c r="D81" s="422"/>
      <c r="E81" s="422"/>
      <c r="F81" s="422"/>
      <c r="G81" s="79"/>
      <c r="H81" s="422"/>
      <c r="I81" s="422"/>
    </row>
    <row r="82" spans="1:9">
      <c r="A82" s="419"/>
      <c r="B82" s="419"/>
      <c r="C82" s="422"/>
      <c r="D82" s="422"/>
      <c r="E82" s="422"/>
      <c r="F82" s="422"/>
      <c r="G82" s="79"/>
      <c r="H82" s="422"/>
      <c r="I82" s="422"/>
    </row>
    <row r="83" spans="1:9">
      <c r="A83" s="419"/>
      <c r="B83" s="419"/>
      <c r="C83" s="422"/>
      <c r="D83" s="422"/>
      <c r="E83" s="422"/>
      <c r="F83" s="422"/>
      <c r="G83" s="79"/>
      <c r="H83" s="422"/>
      <c r="I83" s="422"/>
    </row>
    <row r="84" spans="1:9">
      <c r="A84" s="419"/>
      <c r="B84" s="419"/>
      <c r="C84" s="422"/>
      <c r="D84" s="422"/>
      <c r="E84" s="422"/>
      <c r="F84" s="422"/>
      <c r="G84" s="79"/>
      <c r="H84" s="422"/>
      <c r="I84" s="422"/>
    </row>
    <row r="85" spans="1:9">
      <c r="A85" s="419"/>
      <c r="B85" s="419"/>
      <c r="C85" s="422"/>
      <c r="D85" s="422"/>
      <c r="E85" s="422"/>
      <c r="F85" s="422"/>
      <c r="G85" s="79"/>
      <c r="H85" s="422"/>
      <c r="I85" s="422"/>
    </row>
    <row r="86" spans="1:9">
      <c r="A86" s="419"/>
      <c r="B86" s="419"/>
      <c r="C86" s="422"/>
      <c r="D86" s="422"/>
      <c r="E86" s="422"/>
      <c r="F86" s="422"/>
      <c r="G86" s="79"/>
      <c r="H86" s="422"/>
      <c r="I86" s="422"/>
    </row>
    <row r="87" spans="1:9">
      <c r="A87" s="419"/>
      <c r="B87" s="419"/>
      <c r="C87" s="422"/>
      <c r="D87" s="422"/>
      <c r="E87" s="422"/>
      <c r="F87" s="422"/>
      <c r="G87" s="79"/>
      <c r="H87" s="422"/>
      <c r="I87" s="422"/>
    </row>
    <row r="88" spans="1:9">
      <c r="A88" s="419"/>
      <c r="B88" s="419"/>
      <c r="C88" s="422"/>
      <c r="D88" s="422"/>
      <c r="E88" s="422"/>
      <c r="F88" s="422"/>
      <c r="G88" s="79"/>
      <c r="H88" s="422"/>
      <c r="I88" s="422"/>
    </row>
    <row r="89" spans="1:9">
      <c r="A89" s="419"/>
      <c r="B89" s="419"/>
      <c r="C89" s="422"/>
      <c r="D89" s="422"/>
      <c r="E89" s="422"/>
      <c r="F89" s="422"/>
      <c r="G89" s="79"/>
      <c r="H89" s="422"/>
      <c r="I89" s="422"/>
    </row>
    <row r="90" spans="1:9">
      <c r="A90" s="419"/>
      <c r="B90" s="419"/>
      <c r="C90" s="422"/>
      <c r="D90" s="422"/>
      <c r="E90" s="422"/>
      <c r="F90" s="422"/>
      <c r="G90" s="79"/>
      <c r="H90" s="422"/>
      <c r="I90" s="422"/>
    </row>
    <row r="91" spans="1:9">
      <c r="A91" s="419"/>
      <c r="B91" s="419"/>
      <c r="C91" s="422"/>
      <c r="D91" s="422"/>
      <c r="E91" s="422"/>
      <c r="F91" s="422"/>
      <c r="G91" s="79"/>
      <c r="H91" s="422"/>
      <c r="I91" s="422"/>
    </row>
    <row r="92" spans="1:9">
      <c r="A92" s="419"/>
      <c r="B92" s="419"/>
      <c r="C92" s="422"/>
      <c r="D92" s="422"/>
      <c r="E92" s="422"/>
      <c r="F92" s="422"/>
      <c r="G92" s="79"/>
      <c r="H92" s="422"/>
      <c r="I92" s="422"/>
    </row>
    <row r="93" spans="1:9">
      <c r="A93" s="419"/>
      <c r="B93" s="419"/>
      <c r="C93" s="422"/>
      <c r="D93" s="422"/>
      <c r="E93" s="422"/>
      <c r="F93" s="422"/>
      <c r="G93" s="79"/>
      <c r="H93" s="422"/>
      <c r="I93" s="422"/>
    </row>
    <row r="94" spans="1:9">
      <c r="A94" s="419"/>
      <c r="B94" s="419"/>
      <c r="C94" s="422"/>
      <c r="D94" s="422"/>
      <c r="E94" s="422"/>
      <c r="F94" s="422"/>
      <c r="G94" s="79"/>
      <c r="H94" s="422"/>
      <c r="I94" s="422"/>
    </row>
    <row r="95" spans="1:9">
      <c r="A95" s="419"/>
      <c r="B95" s="419"/>
      <c r="C95" s="422"/>
      <c r="D95" s="422"/>
      <c r="E95" s="422"/>
      <c r="F95" s="422"/>
      <c r="G95" s="79"/>
      <c r="H95" s="422"/>
      <c r="I95" s="422"/>
    </row>
    <row r="96" spans="1:9">
      <c r="A96" s="419"/>
      <c r="B96" s="419"/>
      <c r="C96" s="422"/>
      <c r="D96" s="422"/>
      <c r="E96" s="422"/>
      <c r="F96" s="422"/>
      <c r="G96" s="79"/>
      <c r="H96" s="422"/>
      <c r="I96" s="422"/>
    </row>
    <row r="97" spans="1:9">
      <c r="A97" s="419"/>
      <c r="B97" s="419"/>
      <c r="C97" s="422"/>
      <c r="D97" s="422"/>
      <c r="E97" s="422"/>
      <c r="F97" s="422"/>
      <c r="G97" s="79"/>
      <c r="H97" s="422"/>
      <c r="I97" s="422"/>
    </row>
    <row r="98" spans="1:9">
      <c r="A98" s="419"/>
      <c r="B98" s="419"/>
      <c r="C98" s="422"/>
      <c r="D98" s="422"/>
      <c r="E98" s="422"/>
      <c r="F98" s="422"/>
      <c r="G98" s="79"/>
      <c r="H98" s="422"/>
      <c r="I98" s="422"/>
    </row>
    <row r="99" spans="1:9">
      <c r="A99" s="419"/>
      <c r="B99" s="419"/>
      <c r="C99" s="422"/>
      <c r="D99" s="422"/>
      <c r="E99" s="422"/>
      <c r="F99" s="422"/>
      <c r="G99" s="79"/>
      <c r="H99" s="422"/>
      <c r="I99" s="422"/>
    </row>
    <row r="100" spans="1:9">
      <c r="A100" s="419"/>
      <c r="B100" s="419"/>
      <c r="C100" s="422"/>
      <c r="D100" s="422"/>
      <c r="E100" s="422"/>
      <c r="F100" s="422"/>
      <c r="G100" s="79"/>
      <c r="H100" s="422"/>
      <c r="I100" s="422"/>
    </row>
    <row r="101" spans="1:9">
      <c r="A101" s="419"/>
      <c r="B101" s="419"/>
      <c r="C101" s="422"/>
      <c r="D101" s="422"/>
      <c r="E101" s="422"/>
      <c r="F101" s="422"/>
      <c r="G101" s="79"/>
      <c r="H101" s="422"/>
      <c r="I101" s="422"/>
    </row>
    <row r="102" spans="1:9">
      <c r="A102" s="419"/>
      <c r="B102" s="419"/>
      <c r="C102" s="422"/>
      <c r="D102" s="422"/>
      <c r="E102" s="422"/>
      <c r="F102" s="422"/>
      <c r="G102" s="79"/>
      <c r="H102" s="422"/>
      <c r="I102" s="422"/>
    </row>
    <row r="103" spans="1:9">
      <c r="A103" s="419"/>
      <c r="B103" s="419"/>
      <c r="C103" s="422"/>
      <c r="D103" s="422"/>
      <c r="E103" s="422"/>
      <c r="F103" s="422"/>
      <c r="G103" s="79"/>
      <c r="H103" s="422"/>
      <c r="I103" s="422"/>
    </row>
    <row r="104" spans="1:9">
      <c r="A104" s="419"/>
      <c r="B104" s="419"/>
      <c r="C104" s="422"/>
      <c r="D104" s="422"/>
      <c r="E104" s="422"/>
      <c r="F104" s="422"/>
      <c r="G104" s="79"/>
      <c r="H104" s="422"/>
      <c r="I104" s="422"/>
    </row>
    <row r="105" spans="1:9">
      <c r="A105" s="419"/>
      <c r="B105" s="419"/>
      <c r="C105" s="422"/>
      <c r="D105" s="422"/>
      <c r="E105" s="422"/>
      <c r="F105" s="422"/>
      <c r="G105" s="79"/>
      <c r="H105" s="422"/>
      <c r="I105" s="422"/>
    </row>
    <row r="106" spans="1:9">
      <c r="A106" s="419"/>
      <c r="B106" s="419"/>
      <c r="C106" s="422"/>
      <c r="D106" s="422"/>
      <c r="E106" s="422"/>
      <c r="F106" s="422"/>
      <c r="G106" s="79"/>
      <c r="H106" s="422"/>
      <c r="I106" s="422"/>
    </row>
    <row r="107" spans="1:9">
      <c r="A107" s="419"/>
      <c r="B107" s="419"/>
      <c r="C107" s="422"/>
      <c r="D107" s="422"/>
      <c r="E107" s="422"/>
      <c r="F107" s="422"/>
      <c r="G107" s="79"/>
      <c r="H107" s="422"/>
      <c r="I107" s="422"/>
    </row>
    <row r="108" spans="1:9">
      <c r="A108" s="419"/>
      <c r="B108" s="419"/>
      <c r="C108" s="422"/>
      <c r="D108" s="422"/>
      <c r="E108" s="422"/>
      <c r="F108" s="422"/>
      <c r="G108" s="79"/>
      <c r="H108" s="422"/>
      <c r="I108" s="422"/>
    </row>
    <row r="109" spans="1:9">
      <c r="A109" s="419"/>
      <c r="B109" s="419"/>
      <c r="C109" s="422"/>
      <c r="D109" s="422"/>
      <c r="E109" s="422"/>
      <c r="F109" s="422"/>
      <c r="G109" s="79"/>
      <c r="H109" s="422"/>
      <c r="I109" s="422"/>
    </row>
    <row r="110" spans="1:9">
      <c r="A110" s="419"/>
      <c r="B110" s="419"/>
      <c r="C110" s="422"/>
      <c r="D110" s="422"/>
      <c r="E110" s="422"/>
      <c r="F110" s="422"/>
      <c r="G110" s="79"/>
      <c r="H110" s="422"/>
      <c r="I110" s="422"/>
    </row>
    <row r="111" spans="1:9">
      <c r="A111" s="419"/>
      <c r="B111" s="419"/>
      <c r="C111" s="422"/>
      <c r="D111" s="422"/>
      <c r="E111" s="422"/>
      <c r="F111" s="422"/>
      <c r="G111" s="79"/>
      <c r="H111" s="422"/>
      <c r="I111" s="422"/>
    </row>
    <row r="112" spans="1:9">
      <c r="A112" s="419"/>
      <c r="B112" s="419"/>
      <c r="C112" s="422"/>
      <c r="D112" s="422"/>
      <c r="E112" s="422"/>
      <c r="F112" s="422"/>
      <c r="G112" s="79"/>
      <c r="H112" s="422"/>
      <c r="I112" s="422"/>
    </row>
    <row r="113" spans="1:9">
      <c r="A113" s="419"/>
      <c r="B113" s="419"/>
      <c r="C113" s="422"/>
      <c r="D113" s="422"/>
      <c r="E113" s="422"/>
      <c r="F113" s="422"/>
      <c r="G113" s="79"/>
      <c r="H113" s="422"/>
      <c r="I113" s="422"/>
    </row>
    <row r="114" spans="1:9">
      <c r="A114" s="419"/>
      <c r="B114" s="419"/>
      <c r="C114" s="422"/>
      <c r="D114" s="422"/>
      <c r="E114" s="422"/>
      <c r="F114" s="422"/>
      <c r="G114" s="79"/>
      <c r="H114" s="422"/>
      <c r="I114" s="422"/>
    </row>
    <row r="115" spans="1:9">
      <c r="A115" s="419"/>
      <c r="B115" s="419"/>
      <c r="C115" s="422"/>
      <c r="D115" s="422"/>
      <c r="E115" s="422"/>
      <c r="F115" s="422"/>
      <c r="G115" s="79"/>
      <c r="H115" s="422"/>
      <c r="I115" s="422"/>
    </row>
    <row r="116" spans="1:9">
      <c r="A116" s="419"/>
      <c r="B116" s="419"/>
      <c r="C116" s="422"/>
      <c r="D116" s="422"/>
      <c r="E116" s="422"/>
      <c r="F116" s="422"/>
      <c r="G116" s="79"/>
      <c r="H116" s="422"/>
      <c r="I116" s="422"/>
    </row>
    <row r="117" spans="1:9">
      <c r="A117" s="419"/>
      <c r="B117" s="419"/>
      <c r="C117" s="422"/>
      <c r="D117" s="422"/>
      <c r="E117" s="422"/>
      <c r="F117" s="422"/>
      <c r="G117" s="79"/>
      <c r="H117" s="422"/>
      <c r="I117" s="422"/>
    </row>
    <row r="118" spans="1:9">
      <c r="A118" s="419"/>
      <c r="B118" s="419"/>
      <c r="C118" s="422"/>
      <c r="D118" s="422"/>
      <c r="E118" s="422"/>
      <c r="F118" s="422"/>
      <c r="G118" s="79"/>
      <c r="H118" s="422"/>
      <c r="I118" s="422"/>
    </row>
    <row r="119" spans="1:9">
      <c r="A119" s="419"/>
      <c r="B119" s="419"/>
      <c r="C119" s="422"/>
      <c r="D119" s="422"/>
      <c r="E119" s="422"/>
      <c r="F119" s="422"/>
      <c r="G119" s="79"/>
      <c r="H119" s="422"/>
      <c r="I119" s="422"/>
    </row>
    <row r="120" spans="1:9">
      <c r="A120" s="419"/>
      <c r="B120" s="419"/>
      <c r="C120" s="422"/>
      <c r="D120" s="422"/>
      <c r="E120" s="422"/>
      <c r="F120" s="422"/>
      <c r="G120" s="79"/>
      <c r="H120" s="422"/>
      <c r="I120" s="422"/>
    </row>
    <row r="121" spans="1:9">
      <c r="A121" s="419"/>
      <c r="B121" s="419"/>
      <c r="C121" s="422"/>
      <c r="D121" s="422"/>
      <c r="E121" s="422"/>
      <c r="F121" s="422"/>
      <c r="G121" s="79"/>
      <c r="H121" s="422"/>
      <c r="I121" s="422"/>
    </row>
    <row r="122" spans="1:9">
      <c r="A122" s="419"/>
      <c r="B122" s="419"/>
      <c r="C122" s="422"/>
      <c r="D122" s="422"/>
      <c r="E122" s="422"/>
      <c r="F122" s="422"/>
      <c r="G122" s="79"/>
      <c r="H122" s="422"/>
      <c r="I122" s="422"/>
    </row>
    <row r="123" spans="1:9">
      <c r="A123" s="419"/>
      <c r="B123" s="419"/>
      <c r="C123" s="422"/>
      <c r="D123" s="422"/>
      <c r="E123" s="422"/>
      <c r="F123" s="422"/>
      <c r="G123" s="79"/>
      <c r="H123" s="422"/>
      <c r="I123" s="422"/>
    </row>
    <row r="124" spans="1:9">
      <c r="A124" s="419"/>
      <c r="B124" s="419"/>
      <c r="C124" s="422"/>
      <c r="D124" s="422"/>
      <c r="E124" s="422"/>
      <c r="F124" s="422"/>
      <c r="G124" s="79"/>
      <c r="H124" s="422"/>
      <c r="I124" s="422"/>
    </row>
    <row r="125" spans="1:9">
      <c r="A125" s="419"/>
      <c r="B125" s="419"/>
      <c r="C125" s="422"/>
      <c r="D125" s="422"/>
      <c r="E125" s="422"/>
      <c r="F125" s="422"/>
      <c r="G125" s="79"/>
      <c r="H125" s="422"/>
      <c r="I125" s="422"/>
    </row>
    <row r="126" spans="1:9">
      <c r="A126" s="419"/>
      <c r="B126" s="419"/>
      <c r="C126" s="422"/>
      <c r="D126" s="422"/>
      <c r="E126" s="422"/>
      <c r="F126" s="422"/>
      <c r="G126" s="79"/>
      <c r="H126" s="422"/>
      <c r="I126" s="422"/>
    </row>
    <row r="127" spans="1:9">
      <c r="A127" s="419"/>
      <c r="B127" s="419"/>
      <c r="C127" s="422"/>
      <c r="D127" s="422"/>
      <c r="E127" s="422"/>
      <c r="F127" s="422"/>
      <c r="G127" s="79"/>
      <c r="H127" s="422"/>
      <c r="I127" s="422"/>
    </row>
    <row r="128" spans="1:9">
      <c r="A128" s="419"/>
      <c r="B128" s="419"/>
      <c r="C128" s="422"/>
      <c r="D128" s="422"/>
      <c r="E128" s="422"/>
      <c r="F128" s="422"/>
      <c r="G128" s="79"/>
      <c r="H128" s="422"/>
      <c r="I128" s="422"/>
    </row>
    <row r="129" spans="1:9">
      <c r="A129" s="419"/>
      <c r="B129" s="419"/>
      <c r="C129" s="422"/>
      <c r="D129" s="422"/>
      <c r="E129" s="422"/>
      <c r="F129" s="422"/>
      <c r="G129" s="79"/>
      <c r="H129" s="422"/>
      <c r="I129" s="422"/>
    </row>
    <row r="130" spans="1:9">
      <c r="A130" s="419"/>
      <c r="B130" s="419"/>
      <c r="C130" s="422"/>
      <c r="D130" s="422"/>
      <c r="E130" s="422"/>
      <c r="F130" s="422"/>
      <c r="G130" s="79"/>
      <c r="H130" s="422"/>
      <c r="I130" s="422"/>
    </row>
    <row r="131" spans="1:9">
      <c r="A131" s="419"/>
      <c r="B131" s="419"/>
      <c r="C131" s="422"/>
      <c r="D131" s="422"/>
      <c r="E131" s="422"/>
      <c r="F131" s="422"/>
      <c r="G131" s="79"/>
      <c r="H131" s="422"/>
      <c r="I131" s="422"/>
    </row>
    <row r="132" spans="1:9">
      <c r="A132" s="419"/>
      <c r="B132" s="419"/>
      <c r="C132" s="422"/>
      <c r="D132" s="422"/>
      <c r="E132" s="422"/>
      <c r="F132" s="422"/>
      <c r="G132" s="79"/>
      <c r="H132" s="422"/>
      <c r="I132" s="422"/>
    </row>
    <row r="133" spans="1:9">
      <c r="A133" s="419"/>
      <c r="B133" s="419"/>
      <c r="C133" s="422"/>
      <c r="D133" s="422"/>
      <c r="E133" s="422"/>
      <c r="F133" s="422"/>
      <c r="G133" s="79"/>
      <c r="H133" s="422"/>
      <c r="I133" s="422"/>
    </row>
    <row r="134" spans="1:9">
      <c r="A134" s="419"/>
      <c r="B134" s="419"/>
      <c r="C134" s="422"/>
      <c r="D134" s="422"/>
      <c r="E134" s="422"/>
      <c r="F134" s="422"/>
      <c r="G134" s="79"/>
      <c r="H134" s="422"/>
      <c r="I134" s="422"/>
    </row>
    <row r="135" spans="1:9">
      <c r="A135" s="419"/>
      <c r="B135" s="419"/>
      <c r="C135" s="422"/>
      <c r="D135" s="422"/>
      <c r="E135" s="422"/>
      <c r="F135" s="422"/>
      <c r="G135" s="79"/>
      <c r="H135" s="422"/>
      <c r="I135" s="422"/>
    </row>
    <row r="136" spans="1:9">
      <c r="A136" s="419"/>
      <c r="B136" s="419"/>
      <c r="C136" s="422"/>
      <c r="D136" s="422"/>
      <c r="E136" s="422"/>
      <c r="F136" s="422"/>
      <c r="G136" s="79"/>
      <c r="H136" s="422"/>
      <c r="I136" s="422"/>
    </row>
    <row r="137" spans="1:9">
      <c r="A137" s="419"/>
      <c r="B137" s="419"/>
      <c r="C137" s="422"/>
      <c r="D137" s="422"/>
      <c r="E137" s="422"/>
      <c r="F137" s="422"/>
      <c r="G137" s="79"/>
      <c r="H137" s="422"/>
      <c r="I137" s="422"/>
    </row>
    <row r="138" spans="1:9">
      <c r="A138" s="419"/>
      <c r="B138" s="419"/>
      <c r="C138" s="422"/>
      <c r="D138" s="422"/>
      <c r="E138" s="422"/>
      <c r="F138" s="422"/>
      <c r="G138" s="79"/>
      <c r="H138" s="422"/>
      <c r="I138" s="422"/>
    </row>
    <row r="139" spans="1:9">
      <c r="A139" s="419"/>
      <c r="B139" s="419"/>
      <c r="C139" s="422"/>
      <c r="D139" s="422"/>
      <c r="E139" s="422"/>
      <c r="F139" s="422"/>
      <c r="G139" s="79"/>
      <c r="H139" s="422"/>
      <c r="I139" s="422"/>
    </row>
    <row r="140" spans="1:9">
      <c r="A140" s="419"/>
      <c r="B140" s="419"/>
      <c r="C140" s="422"/>
      <c r="D140" s="422"/>
      <c r="E140" s="422"/>
      <c r="F140" s="422"/>
      <c r="G140" s="79"/>
      <c r="H140" s="422"/>
      <c r="I140" s="422"/>
    </row>
    <row r="141" spans="1:9">
      <c r="A141" s="419"/>
      <c r="B141" s="419"/>
      <c r="C141" s="422"/>
      <c r="D141" s="422"/>
      <c r="E141" s="422"/>
      <c r="F141" s="422"/>
      <c r="G141" s="79"/>
      <c r="H141" s="422"/>
      <c r="I141" s="422"/>
    </row>
    <row r="142" spans="1:9">
      <c r="A142" s="419"/>
      <c r="B142" s="419"/>
      <c r="C142" s="422"/>
      <c r="D142" s="422"/>
      <c r="E142" s="422"/>
      <c r="F142" s="422"/>
      <c r="G142" s="79"/>
      <c r="H142" s="422"/>
      <c r="I142" s="422"/>
    </row>
    <row r="143" spans="1:9">
      <c r="A143" s="419"/>
      <c r="B143" s="419"/>
      <c r="C143" s="422"/>
      <c r="D143" s="422"/>
      <c r="E143" s="422"/>
      <c r="F143" s="422"/>
      <c r="G143" s="79"/>
      <c r="H143" s="422"/>
      <c r="I143" s="422"/>
    </row>
    <row r="144" spans="1:9">
      <c r="A144" s="419"/>
      <c r="B144" s="419"/>
      <c r="C144" s="422"/>
      <c r="D144" s="422"/>
      <c r="E144" s="422"/>
      <c r="F144" s="422"/>
      <c r="G144" s="79"/>
      <c r="H144" s="422"/>
      <c r="I144" s="422"/>
    </row>
    <row r="145" spans="1:9">
      <c r="A145" s="419"/>
      <c r="B145" s="419"/>
      <c r="C145" s="422"/>
      <c r="D145" s="422"/>
      <c r="E145" s="422"/>
      <c r="F145" s="422"/>
      <c r="G145" s="79"/>
      <c r="H145" s="422"/>
      <c r="I145" s="422"/>
    </row>
    <row r="146" spans="1:9">
      <c r="A146" s="419"/>
      <c r="B146" s="419"/>
      <c r="C146" s="422"/>
      <c r="D146" s="422"/>
      <c r="E146" s="422"/>
      <c r="F146" s="422"/>
      <c r="G146" s="79"/>
      <c r="H146" s="422"/>
      <c r="I146" s="422"/>
    </row>
    <row r="147" spans="1:9">
      <c r="A147" s="419"/>
      <c r="B147" s="419"/>
      <c r="C147" s="422"/>
      <c r="D147" s="422"/>
      <c r="E147" s="422"/>
      <c r="F147" s="422"/>
      <c r="G147" s="79"/>
      <c r="H147" s="422"/>
      <c r="I147" s="422"/>
    </row>
    <row r="148" spans="1:9">
      <c r="A148" s="419"/>
      <c r="B148" s="419"/>
      <c r="C148" s="422"/>
      <c r="D148" s="422"/>
      <c r="E148" s="422"/>
      <c r="F148" s="422"/>
      <c r="G148" s="79"/>
      <c r="H148" s="422"/>
      <c r="I148" s="422"/>
    </row>
    <row r="149" spans="1:9">
      <c r="A149" s="419"/>
      <c r="B149" s="419"/>
      <c r="C149" s="422"/>
      <c r="D149" s="422"/>
      <c r="E149" s="422"/>
      <c r="F149" s="422"/>
      <c r="G149" s="79"/>
      <c r="H149" s="422"/>
      <c r="I149" s="422"/>
    </row>
    <row r="150" spans="1:9">
      <c r="A150" s="419"/>
      <c r="B150" s="419"/>
      <c r="C150" s="422"/>
      <c r="D150" s="422"/>
      <c r="E150" s="422"/>
      <c r="F150" s="422"/>
      <c r="G150" s="79"/>
      <c r="H150" s="422"/>
      <c r="I150" s="422"/>
    </row>
    <row r="151" spans="1:9">
      <c r="A151" s="419"/>
      <c r="B151" s="419"/>
      <c r="C151" s="422"/>
      <c r="D151" s="422"/>
      <c r="E151" s="422"/>
      <c r="F151" s="422"/>
      <c r="G151" s="79"/>
      <c r="H151" s="422"/>
      <c r="I151" s="422"/>
    </row>
    <row r="152" spans="1:9">
      <c r="A152" s="419"/>
      <c r="B152" s="419"/>
      <c r="C152" s="422"/>
      <c r="D152" s="422"/>
      <c r="E152" s="422"/>
      <c r="F152" s="422"/>
      <c r="G152" s="79"/>
      <c r="H152" s="422"/>
      <c r="I152" s="422"/>
    </row>
    <row r="153" spans="1:9">
      <c r="A153" s="419"/>
      <c r="B153" s="419"/>
      <c r="C153" s="422"/>
      <c r="D153" s="422"/>
      <c r="E153" s="422"/>
      <c r="F153" s="422"/>
      <c r="G153" s="79"/>
      <c r="H153" s="422"/>
      <c r="I153" s="422"/>
    </row>
    <row r="154" spans="1:9">
      <c r="A154" s="419"/>
      <c r="B154" s="419"/>
      <c r="C154" s="422"/>
      <c r="D154" s="422"/>
      <c r="E154" s="422"/>
      <c r="F154" s="422"/>
      <c r="G154" s="79"/>
      <c r="H154" s="422"/>
      <c r="I154" s="422"/>
    </row>
    <row r="155" spans="1:9">
      <c r="A155" s="419"/>
      <c r="B155" s="419"/>
      <c r="C155" s="422"/>
      <c r="D155" s="422"/>
      <c r="E155" s="422"/>
      <c r="F155" s="422"/>
      <c r="G155" s="79"/>
      <c r="H155" s="422"/>
      <c r="I155" s="422"/>
    </row>
    <row r="156" spans="1:9">
      <c r="A156" s="419"/>
      <c r="B156" s="419"/>
      <c r="C156" s="422"/>
      <c r="D156" s="422"/>
      <c r="E156" s="422"/>
      <c r="F156" s="422"/>
      <c r="G156" s="79"/>
      <c r="H156" s="422"/>
      <c r="I156" s="422"/>
    </row>
    <row r="157" spans="1:9">
      <c r="A157" s="419"/>
      <c r="B157" s="419"/>
      <c r="C157" s="422"/>
      <c r="D157" s="422"/>
      <c r="E157" s="422"/>
      <c r="F157" s="422"/>
      <c r="G157" s="79"/>
      <c r="H157" s="422"/>
      <c r="I157" s="422"/>
    </row>
    <row r="158" spans="1:9">
      <c r="A158" s="419"/>
      <c r="B158" s="419"/>
      <c r="C158" s="422"/>
      <c r="D158" s="422"/>
      <c r="E158" s="422"/>
      <c r="F158" s="422"/>
      <c r="G158" s="79"/>
      <c r="H158" s="422"/>
      <c r="I158" s="422"/>
    </row>
    <row r="159" spans="1:9">
      <c r="A159" s="419"/>
      <c r="B159" s="419"/>
      <c r="C159" s="422"/>
      <c r="D159" s="422"/>
      <c r="E159" s="422"/>
      <c r="F159" s="422"/>
      <c r="G159" s="79"/>
      <c r="H159" s="422"/>
      <c r="I159" s="422"/>
    </row>
    <row r="160" spans="1:9">
      <c r="A160" s="419"/>
      <c r="B160" s="419"/>
      <c r="C160" s="422"/>
      <c r="D160" s="422"/>
      <c r="E160" s="422"/>
      <c r="F160" s="422"/>
      <c r="G160" s="79"/>
      <c r="H160" s="422"/>
      <c r="I160" s="422"/>
    </row>
    <row r="161" spans="1:9">
      <c r="A161" s="419"/>
      <c r="B161" s="419"/>
      <c r="C161" s="422"/>
      <c r="D161" s="422"/>
      <c r="E161" s="422"/>
      <c r="F161" s="422"/>
      <c r="G161" s="79"/>
      <c r="H161" s="422"/>
      <c r="I161" s="422"/>
    </row>
    <row r="162" spans="1:9">
      <c r="A162" s="419"/>
      <c r="B162" s="419"/>
      <c r="C162" s="422"/>
      <c r="D162" s="422"/>
      <c r="E162" s="422"/>
      <c r="F162" s="422"/>
      <c r="G162" s="79"/>
      <c r="H162" s="422"/>
      <c r="I162" s="422"/>
    </row>
    <row r="163" spans="1:9">
      <c r="A163" s="419"/>
      <c r="B163" s="419"/>
      <c r="C163" s="422"/>
      <c r="D163" s="422"/>
      <c r="E163" s="422"/>
      <c r="F163" s="422"/>
      <c r="G163" s="79"/>
      <c r="H163" s="422"/>
      <c r="I163" s="422"/>
    </row>
    <row r="164" spans="1:9">
      <c r="A164" s="419"/>
      <c r="B164" s="419"/>
      <c r="C164" s="422"/>
      <c r="D164" s="422"/>
      <c r="E164" s="422"/>
      <c r="F164" s="422"/>
      <c r="G164" s="79"/>
      <c r="H164" s="422"/>
      <c r="I164" s="422"/>
    </row>
    <row r="165" spans="1:9">
      <c r="A165" s="419"/>
      <c r="B165" s="419"/>
      <c r="C165" s="422"/>
      <c r="D165" s="422"/>
      <c r="E165" s="422"/>
      <c r="F165" s="422"/>
      <c r="G165" s="79"/>
      <c r="H165" s="422"/>
      <c r="I165" s="422"/>
    </row>
    <row r="166" spans="1:9">
      <c r="A166" s="419"/>
      <c r="B166" s="419"/>
      <c r="C166" s="422"/>
      <c r="D166" s="422"/>
      <c r="E166" s="422"/>
      <c r="F166" s="422"/>
      <c r="G166" s="79"/>
      <c r="H166" s="422"/>
      <c r="I166" s="422"/>
    </row>
    <row r="167" spans="1:9">
      <c r="A167" s="419"/>
      <c r="B167" s="419"/>
      <c r="C167" s="422"/>
      <c r="D167" s="422"/>
      <c r="E167" s="422"/>
      <c r="F167" s="422"/>
      <c r="G167" s="79"/>
      <c r="H167" s="422"/>
      <c r="I167" s="422"/>
    </row>
    <row r="168" spans="1:9">
      <c r="A168" s="419"/>
      <c r="B168" s="419"/>
      <c r="C168" s="422"/>
      <c r="D168" s="422"/>
      <c r="E168" s="422"/>
      <c r="F168" s="422"/>
      <c r="G168" s="79"/>
      <c r="H168" s="422"/>
      <c r="I168" s="422"/>
    </row>
    <row r="169" spans="1:9">
      <c r="A169" s="419"/>
      <c r="B169" s="419"/>
      <c r="C169" s="422"/>
      <c r="D169" s="422"/>
      <c r="E169" s="422"/>
      <c r="F169" s="422"/>
      <c r="G169" s="79"/>
      <c r="H169" s="422"/>
      <c r="I169" s="422"/>
    </row>
    <row r="170" spans="1:9">
      <c r="A170" s="419"/>
      <c r="B170" s="419"/>
      <c r="C170" s="422"/>
      <c r="D170" s="422"/>
      <c r="E170" s="422"/>
      <c r="F170" s="422"/>
      <c r="G170" s="79"/>
      <c r="H170" s="422"/>
      <c r="I170" s="422"/>
    </row>
    <row r="171" spans="1:9">
      <c r="A171" s="419"/>
      <c r="B171" s="419"/>
      <c r="C171" s="422"/>
      <c r="D171" s="422"/>
      <c r="E171" s="422"/>
      <c r="F171" s="422"/>
      <c r="G171" s="79"/>
      <c r="H171" s="422"/>
      <c r="I171" s="422"/>
    </row>
    <row r="172" spans="1:9">
      <c r="A172" s="419"/>
      <c r="B172" s="419"/>
      <c r="C172" s="422"/>
      <c r="D172" s="422"/>
      <c r="E172" s="422"/>
      <c r="F172" s="422"/>
      <c r="G172" s="79"/>
      <c r="H172" s="422"/>
      <c r="I172" s="422"/>
    </row>
    <row r="173" spans="1:9">
      <c r="A173" s="419"/>
      <c r="B173" s="419"/>
      <c r="C173" s="422"/>
      <c r="D173" s="422"/>
      <c r="E173" s="422"/>
      <c r="F173" s="422"/>
      <c r="G173" s="79"/>
      <c r="H173" s="422"/>
      <c r="I173" s="422"/>
    </row>
    <row r="174" spans="1:9">
      <c r="A174" s="419"/>
      <c r="B174" s="419"/>
      <c r="C174" s="422"/>
      <c r="D174" s="422"/>
      <c r="E174" s="422"/>
      <c r="F174" s="422"/>
      <c r="G174" s="79"/>
      <c r="H174" s="422"/>
      <c r="I174" s="422"/>
    </row>
    <row r="175" spans="1:9">
      <c r="A175" s="419"/>
      <c r="B175" s="419"/>
      <c r="C175" s="422"/>
      <c r="D175" s="422"/>
      <c r="E175" s="422"/>
      <c r="F175" s="422"/>
      <c r="G175" s="79"/>
      <c r="H175" s="422"/>
      <c r="I175" s="422"/>
    </row>
    <row r="176" spans="1:9">
      <c r="A176" s="419"/>
      <c r="B176" s="419"/>
      <c r="C176" s="422"/>
      <c r="D176" s="422"/>
      <c r="E176" s="422"/>
      <c r="F176" s="422"/>
      <c r="G176" s="79"/>
      <c r="H176" s="422"/>
      <c r="I176" s="422"/>
    </row>
    <row r="177" spans="1:9">
      <c r="A177" s="419"/>
      <c r="B177" s="419"/>
      <c r="C177" s="422"/>
      <c r="D177" s="422"/>
      <c r="E177" s="422"/>
      <c r="F177" s="422"/>
      <c r="G177" s="79"/>
      <c r="H177" s="422"/>
      <c r="I177" s="422"/>
    </row>
    <row r="178" spans="1:9">
      <c r="A178" s="419"/>
      <c r="B178" s="419"/>
      <c r="C178" s="422"/>
      <c r="D178" s="422"/>
      <c r="E178" s="422"/>
      <c r="F178" s="422"/>
      <c r="G178" s="79"/>
      <c r="H178" s="422"/>
      <c r="I178" s="422"/>
    </row>
    <row r="179" spans="1:9">
      <c r="A179" s="419"/>
      <c r="B179" s="419"/>
      <c r="C179" s="422"/>
      <c r="D179" s="422"/>
      <c r="E179" s="422"/>
      <c r="F179" s="422"/>
      <c r="G179" s="79"/>
      <c r="H179" s="422"/>
      <c r="I179" s="422"/>
    </row>
    <row r="180" spans="1:9">
      <c r="A180" s="419"/>
      <c r="B180" s="419"/>
      <c r="C180" s="422"/>
      <c r="D180" s="422"/>
      <c r="E180" s="422"/>
      <c r="F180" s="422"/>
      <c r="G180" s="79"/>
      <c r="H180" s="422"/>
      <c r="I180" s="422"/>
    </row>
    <row r="181" spans="1:9">
      <c r="A181" s="419"/>
      <c r="B181" s="419"/>
      <c r="C181" s="422"/>
      <c r="D181" s="422"/>
      <c r="E181" s="422"/>
      <c r="F181" s="422"/>
      <c r="G181" s="79"/>
      <c r="H181" s="422"/>
      <c r="I181" s="422"/>
    </row>
    <row r="182" spans="1:9">
      <c r="A182" s="419"/>
      <c r="B182" s="419"/>
      <c r="C182" s="422"/>
      <c r="D182" s="422"/>
      <c r="E182" s="422"/>
      <c r="F182" s="422"/>
      <c r="G182" s="79"/>
      <c r="H182" s="422"/>
      <c r="I182" s="422"/>
    </row>
    <row r="183" spans="1:9">
      <c r="A183" s="419"/>
      <c r="B183" s="419"/>
      <c r="C183" s="422"/>
      <c r="D183" s="422"/>
      <c r="E183" s="422"/>
      <c r="F183" s="422"/>
      <c r="G183" s="79"/>
      <c r="H183" s="422"/>
      <c r="I183" s="422"/>
    </row>
    <row r="184" spans="1:9">
      <c r="A184" s="419"/>
      <c r="B184" s="419"/>
      <c r="C184" s="422"/>
      <c r="D184" s="422"/>
      <c r="E184" s="422"/>
      <c r="F184" s="422"/>
      <c r="G184" s="79"/>
      <c r="H184" s="422"/>
      <c r="I184" s="422"/>
    </row>
    <row r="185" spans="1:9">
      <c r="A185" s="419"/>
      <c r="B185" s="419"/>
      <c r="C185" s="422"/>
      <c r="D185" s="422"/>
      <c r="E185" s="422"/>
      <c r="F185" s="422"/>
      <c r="G185" s="79"/>
      <c r="H185" s="422"/>
      <c r="I185" s="422"/>
    </row>
    <row r="186" spans="1:9">
      <c r="A186" s="419"/>
      <c r="B186" s="419"/>
      <c r="C186" s="422"/>
      <c r="D186" s="422"/>
      <c r="E186" s="422"/>
      <c r="F186" s="422"/>
      <c r="G186" s="79"/>
      <c r="H186" s="422"/>
      <c r="I186" s="422"/>
    </row>
    <row r="187" spans="1:9">
      <c r="A187" s="419"/>
      <c r="B187" s="419"/>
      <c r="C187" s="422"/>
      <c r="D187" s="422"/>
      <c r="E187" s="422"/>
      <c r="F187" s="422"/>
      <c r="G187" s="79"/>
      <c r="H187" s="422"/>
      <c r="I187" s="422"/>
    </row>
    <row r="188" spans="1:9">
      <c r="A188" s="419"/>
      <c r="B188" s="419"/>
      <c r="C188" s="422"/>
      <c r="D188" s="422"/>
      <c r="E188" s="422"/>
      <c r="F188" s="422"/>
      <c r="G188" s="79"/>
      <c r="H188" s="422"/>
      <c r="I188" s="422"/>
    </row>
    <row r="189" spans="1:9">
      <c r="A189" s="419"/>
      <c r="B189" s="419"/>
      <c r="C189" s="422"/>
      <c r="D189" s="422"/>
      <c r="E189" s="422"/>
      <c r="F189" s="422"/>
      <c r="G189" s="79"/>
      <c r="H189" s="422"/>
      <c r="I189" s="422"/>
    </row>
    <row r="190" spans="1:9">
      <c r="A190" s="419"/>
      <c r="B190" s="419"/>
      <c r="C190" s="422"/>
      <c r="D190" s="422"/>
      <c r="E190" s="422"/>
      <c r="F190" s="422"/>
      <c r="G190" s="79"/>
      <c r="H190" s="422"/>
      <c r="I190" s="422"/>
    </row>
    <row r="191" spans="1:9">
      <c r="A191" s="419"/>
      <c r="B191" s="419"/>
      <c r="C191" s="422"/>
      <c r="D191" s="422"/>
      <c r="E191" s="422"/>
      <c r="F191" s="422"/>
      <c r="G191" s="79"/>
      <c r="H191" s="422"/>
      <c r="I191" s="422"/>
    </row>
    <row r="192" spans="1:9">
      <c r="A192" s="419"/>
      <c r="B192" s="419"/>
      <c r="C192" s="422"/>
      <c r="D192" s="422"/>
      <c r="E192" s="422"/>
      <c r="F192" s="422"/>
      <c r="G192" s="79"/>
      <c r="H192" s="422"/>
      <c r="I192" s="422"/>
    </row>
    <row r="193" spans="1:9">
      <c r="A193" s="419"/>
      <c r="B193" s="419"/>
      <c r="C193" s="422"/>
      <c r="D193" s="422"/>
      <c r="E193" s="422"/>
      <c r="F193" s="422"/>
      <c r="G193" s="79"/>
      <c r="H193" s="422"/>
      <c r="I193" s="422"/>
    </row>
    <row r="194" spans="1:9">
      <c r="A194" s="419"/>
      <c r="B194" s="419"/>
      <c r="C194" s="422"/>
      <c r="D194" s="422"/>
      <c r="E194" s="422"/>
      <c r="F194" s="422"/>
      <c r="G194" s="79"/>
      <c r="H194" s="422"/>
      <c r="I194" s="422"/>
    </row>
    <row r="195" spans="1:9">
      <c r="A195" s="419"/>
      <c r="B195" s="419"/>
      <c r="C195" s="422"/>
      <c r="D195" s="422"/>
      <c r="E195" s="422"/>
      <c r="F195" s="422"/>
      <c r="G195" s="79"/>
      <c r="H195" s="422"/>
      <c r="I195" s="422"/>
    </row>
    <row r="196" spans="1:9">
      <c r="A196" s="419"/>
      <c r="B196" s="419"/>
      <c r="C196" s="422"/>
      <c r="D196" s="422"/>
      <c r="E196" s="422"/>
      <c r="F196" s="422"/>
      <c r="G196" s="79"/>
      <c r="H196" s="422"/>
      <c r="I196" s="422"/>
    </row>
    <row r="197" spans="1:9">
      <c r="A197" s="419"/>
      <c r="B197" s="419"/>
      <c r="C197" s="422"/>
      <c r="D197" s="422"/>
      <c r="E197" s="422"/>
      <c r="F197" s="422"/>
      <c r="G197" s="79"/>
      <c r="H197" s="422"/>
      <c r="I197" s="422"/>
    </row>
    <row r="198" spans="1:9">
      <c r="A198" s="419"/>
      <c r="B198" s="419"/>
      <c r="C198" s="422"/>
      <c r="D198" s="422"/>
      <c r="E198" s="422"/>
      <c r="F198" s="422"/>
      <c r="G198" s="79"/>
      <c r="H198" s="422"/>
      <c r="I198" s="422"/>
    </row>
    <row r="199" spans="1:9">
      <c r="A199" s="419"/>
      <c r="B199" s="419"/>
      <c r="C199" s="422"/>
      <c r="D199" s="422"/>
      <c r="E199" s="422"/>
      <c r="F199" s="422"/>
      <c r="G199" s="79"/>
      <c r="H199" s="422"/>
      <c r="I199" s="422"/>
    </row>
    <row r="200" spans="1:9">
      <c r="A200" s="419"/>
      <c r="B200" s="419"/>
      <c r="C200" s="422"/>
      <c r="D200" s="422"/>
      <c r="E200" s="422"/>
      <c r="F200" s="422"/>
      <c r="G200" s="79"/>
      <c r="H200" s="422"/>
      <c r="I200" s="422"/>
    </row>
    <row r="201" spans="1:9">
      <c r="A201" s="419"/>
      <c r="B201" s="419"/>
      <c r="C201" s="422"/>
      <c r="D201" s="422"/>
      <c r="E201" s="422"/>
      <c r="F201" s="422"/>
      <c r="G201" s="79"/>
      <c r="H201" s="422"/>
      <c r="I201" s="422"/>
    </row>
    <row r="202" spans="1:9">
      <c r="A202" s="419"/>
      <c r="B202" s="419"/>
      <c r="C202" s="422"/>
      <c r="D202" s="422"/>
      <c r="E202" s="422"/>
      <c r="F202" s="422"/>
      <c r="G202" s="79"/>
      <c r="H202" s="422"/>
      <c r="I202" s="422"/>
    </row>
  </sheetData>
  <mergeCells count="1">
    <mergeCell ref="A1:H1"/>
  </mergeCells>
  <pageMargins left="0.7" right="0.7" top="0.75" bottom="0.75" header="0.3" footer="0.3"/>
  <headerFooter/>
  <ignoredErrors>
    <ignoredError sqref="G11 G27 G1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1"/>
  <sheetViews>
    <sheetView showGridLines="0" workbookViewId="0">
      <selection activeCell="G3" sqref="G3"/>
    </sheetView>
  </sheetViews>
  <sheetFormatPr defaultColWidth="8.91666666666667" defaultRowHeight="16.5"/>
  <cols>
    <col min="1" max="1" width="45.3333333333333" style="11" customWidth="1"/>
    <col min="2" max="4" width="12.5833333333333" style="11" customWidth="1"/>
    <col min="5" max="5" width="9.33333333333333" style="11" customWidth="1"/>
    <col min="6" max="6" width="11.0833333333333" style="11" customWidth="1"/>
    <col min="7" max="7" width="19.875" style="11" customWidth="1"/>
    <col min="8" max="8" width="11.9166666666667" style="142" customWidth="1"/>
    <col min="9" max="9" width="13.0833333333333" style="11" customWidth="1"/>
    <col min="10" max="10" width="7.58333333333333" style="11" customWidth="1"/>
    <col min="11" max="11" width="6.25" style="11" customWidth="1"/>
    <col min="12" max="12" width="11.0833333333333" style="11" customWidth="1"/>
    <col min="13" max="13" width="11.75" style="11" customWidth="1"/>
    <col min="14" max="14" width="13" style="11" customWidth="1"/>
    <col min="15" max="15" width="10.75" style="11" customWidth="1"/>
    <col min="16" max="16" width="5.16666666666667" style="11" customWidth="1"/>
    <col min="17" max="17" width="7.41666666666667" style="11" customWidth="1"/>
    <col min="18" max="16384" width="8.91666666666667" style="11"/>
  </cols>
  <sheetData>
    <row r="1" ht="16" customHeight="1" spans="1:15">
      <c r="A1" s="394" t="s">
        <v>82</v>
      </c>
      <c r="B1" s="395"/>
      <c r="C1" s="395"/>
      <c r="D1" s="395"/>
      <c r="E1" s="395"/>
      <c r="F1" s="395"/>
      <c r="G1" s="395"/>
      <c r="H1" s="395"/>
      <c r="I1" s="79"/>
    </row>
    <row r="2" ht="16" customHeight="1" spans="1:15">
      <c r="A2" s="396"/>
      <c r="B2" s="397"/>
      <c r="C2" s="397"/>
      <c r="D2" s="397"/>
      <c r="E2" s="397"/>
      <c r="F2" s="397"/>
      <c r="G2" s="397"/>
      <c r="H2" s="95" t="s">
        <v>43</v>
      </c>
      <c r="I2" s="79"/>
    </row>
    <row r="3" ht="33" customHeight="1" spans="1:15">
      <c r="A3" s="398" t="s">
        <v>83</v>
      </c>
      <c r="B3" s="98" t="s">
        <v>46</v>
      </c>
      <c r="C3" s="98" t="s">
        <v>47</v>
      </c>
      <c r="D3" s="98" t="s">
        <v>48</v>
      </c>
      <c r="E3" s="98" t="s">
        <v>49</v>
      </c>
      <c r="F3" s="166" t="s">
        <v>50</v>
      </c>
      <c r="G3" s="357" t="s">
        <v>45</v>
      </c>
      <c r="H3" s="98" t="s">
        <v>51</v>
      </c>
      <c r="I3" s="79"/>
    </row>
    <row r="4" ht="16" customHeight="1" spans="1:15">
      <c r="A4" s="399" t="s">
        <v>84</v>
      </c>
      <c r="B4" s="400"/>
      <c r="C4" s="401"/>
      <c r="D4" s="402"/>
      <c r="E4" s="402"/>
      <c r="F4" s="403"/>
      <c r="G4" s="402"/>
      <c r="H4" s="98"/>
      <c r="I4" s="79"/>
    </row>
    <row r="5" ht="16" customHeight="1" spans="1:15">
      <c r="A5" s="404" t="s">
        <v>85</v>
      </c>
      <c r="B5" s="405">
        <f>收入及成本!B10*1.13</f>
        <v>0</v>
      </c>
      <c r="C5" s="405">
        <f>收入及成本!C10*1.13</f>
        <v>0</v>
      </c>
      <c r="D5" s="405">
        <f>收入及成本!D10*1.13</f>
        <v>0</v>
      </c>
      <c r="E5" s="405">
        <f>收入及成本!E10*1.13</f>
        <v>0</v>
      </c>
      <c r="F5" s="406">
        <f>SUM(B5:E5)</f>
        <v>0</v>
      </c>
      <c r="G5" s="407">
        <v>241.06542</v>
      </c>
      <c r="H5" s="408">
        <f>IFERROR((F5/G5-1),"")</f>
        <v>-1</v>
      </c>
      <c r="I5" s="79"/>
    </row>
    <row r="6" ht="16" customHeight="1" spans="1:15">
      <c r="A6" s="404" t="s">
        <v>86</v>
      </c>
      <c r="B6" s="405"/>
      <c r="C6" s="405">
        <f>其他收入及支出!D29</f>
        <v>0</v>
      </c>
      <c r="D6" s="405">
        <f>其他收入及支出!E29</f>
        <v>0</v>
      </c>
      <c r="E6" s="405">
        <f>其他收入及支出!F29</f>
        <v>0</v>
      </c>
      <c r="F6" s="406">
        <f t="shared" ref="F6:F40" si="0">SUM(B6:E6)</f>
        <v>0</v>
      </c>
      <c r="G6" s="407">
        <v>222.404767</v>
      </c>
      <c r="H6" s="408">
        <f t="shared" ref="H6:H39" si="1">IFERROR((F6/G6-1),"")</f>
        <v>-1</v>
      </c>
      <c r="I6" s="79"/>
    </row>
    <row r="7" ht="16" customHeight="1" spans="1:15">
      <c r="A7" s="404" t="s">
        <v>87</v>
      </c>
      <c r="B7" s="405">
        <f>其他收入及支出!B8-利润表!C20</f>
        <v>0</v>
      </c>
      <c r="C7" s="405">
        <f>其他收入及支出!C8-利润表!D20</f>
        <v>0</v>
      </c>
      <c r="D7" s="405">
        <f>其他收入及支出!D8-利润表!E20</f>
        <v>0</v>
      </c>
      <c r="E7" s="405">
        <f>其他收入及支出!E8-利润表!F20</f>
        <v>0</v>
      </c>
      <c r="F7" s="406">
        <f t="shared" si="0"/>
        <v>0</v>
      </c>
      <c r="G7" s="407">
        <v>7.314914</v>
      </c>
      <c r="H7" s="408">
        <f t="shared" si="1"/>
        <v>-1</v>
      </c>
      <c r="I7" s="409"/>
      <c r="J7" s="409"/>
    </row>
    <row r="8" ht="16" customHeight="1" spans="1:15">
      <c r="A8" s="410" t="s">
        <v>88</v>
      </c>
      <c r="B8" s="411">
        <f>SUM(B5:B7)</f>
        <v>0</v>
      </c>
      <c r="C8" s="411">
        <f t="shared" ref="C8:F8" si="2">SUM(C5:C7)</f>
        <v>0</v>
      </c>
      <c r="D8" s="411">
        <f t="shared" si="2"/>
        <v>0</v>
      </c>
      <c r="E8" s="411">
        <f t="shared" si="2"/>
        <v>0</v>
      </c>
      <c r="F8" s="412">
        <f t="shared" si="2"/>
        <v>0</v>
      </c>
      <c r="G8" s="411">
        <f t="shared" ref="G8" si="3">SUM(G5:G7)</f>
        <v>470.785101</v>
      </c>
      <c r="H8" s="408">
        <f t="shared" si="1"/>
        <v>-1</v>
      </c>
      <c r="I8" s="79"/>
    </row>
    <row r="9" ht="16" customHeight="1" spans="1:15">
      <c r="A9" s="404" t="s">
        <v>89</v>
      </c>
      <c r="B9" s="405">
        <f>产品成本!M12+研发预算!D28</f>
        <v>0</v>
      </c>
      <c r="C9" s="405">
        <f>产品成本!N12+研发预算!E28</f>
        <v>0</v>
      </c>
      <c r="D9" s="405">
        <f>产品成本!O12+研发预算!F28</f>
        <v>0</v>
      </c>
      <c r="E9" s="405">
        <f>产品成本!P12+研发预算!G28</f>
        <v>0</v>
      </c>
      <c r="F9" s="406">
        <f t="shared" si="0"/>
        <v>0</v>
      </c>
      <c r="G9" s="407">
        <v>86.841837</v>
      </c>
      <c r="H9" s="408">
        <f t="shared" si="1"/>
        <v>-1</v>
      </c>
      <c r="I9" s="79"/>
    </row>
    <row r="10" ht="16" customHeight="1" spans="1:15">
      <c r="A10" s="404" t="s">
        <v>90</v>
      </c>
      <c r="B10" s="405">
        <f>产品成本!M13+费用预算!C54+研发预算!D29</f>
        <v>0</v>
      </c>
      <c r="C10" s="405">
        <f>产品成本!N13+费用预算!D54+研发预算!E29</f>
        <v>0</v>
      </c>
      <c r="D10" s="405">
        <f>产品成本!O13+费用预算!E54+研发预算!F29</f>
        <v>0</v>
      </c>
      <c r="E10" s="405">
        <f>产品成本!P13+费用预算!F54+研发预算!G29</f>
        <v>0</v>
      </c>
      <c r="F10" s="406">
        <f t="shared" si="0"/>
        <v>0</v>
      </c>
      <c r="G10" s="407">
        <v>850.063096</v>
      </c>
      <c r="H10" s="408">
        <f t="shared" si="1"/>
        <v>-1</v>
      </c>
      <c r="I10" s="79"/>
    </row>
    <row r="11" ht="16" customHeight="1" spans="1:15">
      <c r="A11" s="404" t="s">
        <v>91</v>
      </c>
      <c r="B11" s="405">
        <f>'附件5（其他收益明细）'!D12+'附件5（其他收益明细）'!D13+'附件5（其他收益明细）'!D14</f>
        <v>0</v>
      </c>
      <c r="C11" s="405">
        <f>'附件5（其他收益明细）'!E12+'附件5（其他收益明细）'!E13+'附件5（其他收益明细）'!E14</f>
        <v>0</v>
      </c>
      <c r="D11" s="405">
        <f>'附件5（其他收益明细）'!F12+'附件5（其他收益明细）'!F13+'附件5（其他收益明细）'!F14</f>
        <v>0</v>
      </c>
      <c r="E11" s="405">
        <f>'附件5（其他收益明细）'!G12+'附件5（其他收益明细）'!G13+'附件5（其他收益明细）'!G14</f>
        <v>0</v>
      </c>
      <c r="F11" s="406">
        <f t="shared" si="0"/>
        <v>0</v>
      </c>
      <c r="G11" s="407">
        <v>0.209619</v>
      </c>
      <c r="H11" s="408">
        <f t="shared" si="1"/>
        <v>-1</v>
      </c>
      <c r="I11" s="79"/>
      <c r="K11" s="11" t="s">
        <v>92</v>
      </c>
    </row>
    <row r="12" ht="16" customHeight="1" spans="1:15">
      <c r="A12" s="404" t="s">
        <v>93</v>
      </c>
      <c r="B12" s="405">
        <f>产品成本!M14+其他收入及支出!C31+费用预算!C55+资产预算!K23+研发预算!D30+利润表!C19</f>
        <v>100.87</v>
      </c>
      <c r="C12" s="405">
        <f>产品成本!N14+其他收入及支出!D31+费用预算!D55+资产预算!L23+研发预算!E30+利润表!D19</f>
        <v>100.87</v>
      </c>
      <c r="D12" s="405">
        <f>产品成本!O14+其他收入及支出!E31+费用预算!E55+资产预算!M23+研发预算!F30+利润表!E19</f>
        <v>100.87</v>
      </c>
      <c r="E12" s="405">
        <f>产品成本!P14+其他收入及支出!F31+费用预算!F55+资产预算!N23+研发预算!G30+利润表!F19</f>
        <v>100.87</v>
      </c>
      <c r="F12" s="406">
        <f t="shared" si="0"/>
        <v>403.48</v>
      </c>
      <c r="G12" s="407">
        <v>448.361594</v>
      </c>
      <c r="H12" s="408">
        <f t="shared" si="1"/>
        <v>-0.100101334727613</v>
      </c>
      <c r="I12" s="409"/>
      <c r="J12" s="409"/>
      <c r="K12" s="11" t="s">
        <v>94</v>
      </c>
      <c r="L12" s="196">
        <f>利润表!G26</f>
        <v>-403.48</v>
      </c>
      <c r="N12" s="11" t="s">
        <v>95</v>
      </c>
      <c r="O12" s="196">
        <f>F14</f>
        <v>-403.48</v>
      </c>
    </row>
    <row r="13" ht="16" customHeight="1" spans="1:15">
      <c r="A13" s="410" t="s">
        <v>96</v>
      </c>
      <c r="B13" s="411">
        <f>SUM(B9:B12)</f>
        <v>100.87</v>
      </c>
      <c r="C13" s="411">
        <f t="shared" ref="C13:F13" si="4">SUM(C9:C12)</f>
        <v>100.87</v>
      </c>
      <c r="D13" s="411">
        <f t="shared" si="4"/>
        <v>100.87</v>
      </c>
      <c r="E13" s="411">
        <f t="shared" si="4"/>
        <v>100.87</v>
      </c>
      <c r="F13" s="412">
        <f t="shared" si="4"/>
        <v>403.48</v>
      </c>
      <c r="G13" s="411">
        <f t="shared" ref="G13" si="5">SUM(G9:G12)</f>
        <v>1385.476146</v>
      </c>
      <c r="H13" s="413">
        <f t="shared" si="1"/>
        <v>-0.70877881862861</v>
      </c>
      <c r="I13" s="79"/>
      <c r="K13" s="11" t="s">
        <v>97</v>
      </c>
      <c r="L13" s="196">
        <f>费用预算!G38+费用预算!G39+费用预算!G40+产品成本!F12+产品成本!F24+研发预算!C16+费用预算!G31</f>
        <v>0</v>
      </c>
      <c r="N13" s="11" t="s">
        <v>98</v>
      </c>
      <c r="O13" s="196">
        <f>-F37</f>
        <v>0</v>
      </c>
    </row>
    <row r="14" ht="16" customHeight="1" spans="1:15">
      <c r="A14" s="410" t="s">
        <v>99</v>
      </c>
      <c r="B14" s="411">
        <f>B8-B13</f>
        <v>-100.87</v>
      </c>
      <c r="C14" s="411">
        <f t="shared" ref="C14:F14" si="6">C8-C13</f>
        <v>-100.87</v>
      </c>
      <c r="D14" s="411">
        <f t="shared" si="6"/>
        <v>-100.87</v>
      </c>
      <c r="E14" s="411">
        <f t="shared" si="6"/>
        <v>-100.87</v>
      </c>
      <c r="F14" s="412">
        <f t="shared" si="6"/>
        <v>-403.48</v>
      </c>
      <c r="G14" s="411">
        <f t="shared" ref="G14" si="7">G8-G13</f>
        <v>-914.691045</v>
      </c>
      <c r="H14" s="413">
        <f t="shared" si="1"/>
        <v>-0.558889307809939</v>
      </c>
      <c r="I14" s="79"/>
      <c r="K14" s="11" t="s">
        <v>100</v>
      </c>
      <c r="L14" s="196">
        <f>利润表!G21</f>
        <v>0</v>
      </c>
      <c r="N14" s="11" t="s">
        <v>101</v>
      </c>
      <c r="O14" s="195">
        <f>资产预算!J17</f>
        <v>0</v>
      </c>
    </row>
    <row r="15" ht="16" customHeight="1" spans="1:15">
      <c r="A15" s="399" t="s">
        <v>102</v>
      </c>
      <c r="B15" s="405"/>
      <c r="C15" s="414"/>
      <c r="D15" s="407"/>
      <c r="E15" s="407"/>
      <c r="F15" s="406">
        <f t="shared" si="0"/>
        <v>0</v>
      </c>
      <c r="G15" s="407"/>
      <c r="H15" s="408" t="str">
        <f t="shared" si="1"/>
        <v/>
      </c>
      <c r="I15" s="79"/>
      <c r="L15" s="196"/>
      <c r="N15" s="11" t="s">
        <v>103</v>
      </c>
      <c r="O15" s="195">
        <f>-F5/1.13*13%</f>
        <v>0</v>
      </c>
    </row>
    <row r="16" ht="16" customHeight="1" spans="1:15">
      <c r="A16" s="404" t="s">
        <v>104</v>
      </c>
      <c r="B16" s="405"/>
      <c r="C16" s="414"/>
      <c r="D16" s="407"/>
      <c r="E16" s="407"/>
      <c r="F16" s="406">
        <f t="shared" si="0"/>
        <v>0</v>
      </c>
      <c r="G16" s="407"/>
      <c r="H16" s="408" t="str">
        <f t="shared" si="1"/>
        <v/>
      </c>
      <c r="I16" s="79"/>
      <c r="K16" s="11" t="s">
        <v>105</v>
      </c>
      <c r="L16" s="196">
        <f>利润表!G24</f>
        <v>0</v>
      </c>
      <c r="N16" s="11" t="s">
        <v>106</v>
      </c>
      <c r="O16" s="195">
        <f>产品成本!Q12/1.13*13%</f>
        <v>0</v>
      </c>
    </row>
    <row r="17" ht="16" customHeight="1" spans="1:15">
      <c r="A17" s="404" t="s">
        <v>107</v>
      </c>
      <c r="B17" s="405"/>
      <c r="C17" s="414"/>
      <c r="D17" s="407"/>
      <c r="E17" s="407"/>
      <c r="F17" s="406">
        <f t="shared" si="0"/>
        <v>0</v>
      </c>
      <c r="G17" s="407"/>
      <c r="H17" s="408" t="str">
        <f t="shared" si="1"/>
        <v/>
      </c>
      <c r="I17" s="79"/>
      <c r="K17" s="11" t="s">
        <v>108</v>
      </c>
      <c r="L17" s="196">
        <f>利润表!G17-利润表!G18-利润表!G19-利润表!G20-利润表!G21</f>
        <v>0</v>
      </c>
      <c r="N17" s="11" t="s">
        <v>109</v>
      </c>
      <c r="O17" s="195">
        <f>-F35</f>
        <v>0</v>
      </c>
    </row>
    <row r="18" ht="16" customHeight="1" spans="1:15">
      <c r="A18" s="404" t="s">
        <v>110</v>
      </c>
      <c r="B18" s="405"/>
      <c r="C18" s="414"/>
      <c r="D18" s="407"/>
      <c r="E18" s="407"/>
      <c r="F18" s="406">
        <f t="shared" si="0"/>
        <v>0</v>
      </c>
      <c r="G18" s="407"/>
      <c r="H18" s="408" t="str">
        <f t="shared" si="1"/>
        <v/>
      </c>
      <c r="I18" s="79"/>
      <c r="L18" s="196"/>
      <c r="N18" s="11" t="s">
        <v>111</v>
      </c>
      <c r="O18" s="195">
        <f>F37/1.05*5%</f>
        <v>0</v>
      </c>
    </row>
    <row r="19" ht="16" customHeight="1" spans="1:15">
      <c r="A19" s="404" t="s">
        <v>112</v>
      </c>
      <c r="B19" s="405"/>
      <c r="C19" s="414"/>
      <c r="D19" s="407"/>
      <c r="E19" s="407"/>
      <c r="F19" s="406">
        <f t="shared" si="0"/>
        <v>0</v>
      </c>
      <c r="G19" s="407"/>
      <c r="H19" s="408" t="str">
        <f t="shared" si="1"/>
        <v/>
      </c>
      <c r="I19" s="79"/>
      <c r="K19" s="11" t="s">
        <v>113</v>
      </c>
      <c r="L19" s="196">
        <f>SUM(L12:L18)</f>
        <v>-403.48</v>
      </c>
      <c r="N19" s="11" t="s">
        <v>113</v>
      </c>
      <c r="O19" s="195">
        <f>SUM(O12:O18)</f>
        <v>-403.48</v>
      </c>
    </row>
    <row r="20" ht="16" customHeight="1" spans="1:15">
      <c r="A20" s="404" t="s">
        <v>114</v>
      </c>
      <c r="B20" s="405"/>
      <c r="C20" s="414"/>
      <c r="D20" s="407"/>
      <c r="E20" s="407"/>
      <c r="F20" s="406">
        <f t="shared" si="0"/>
        <v>0</v>
      </c>
      <c r="G20" s="407"/>
      <c r="H20" s="408" t="str">
        <f t="shared" si="1"/>
        <v/>
      </c>
      <c r="I20" s="79"/>
      <c r="O20" s="195">
        <f>L19-O19</f>
        <v>0</v>
      </c>
    </row>
    <row r="21" ht="16" customHeight="1" spans="1:15">
      <c r="A21" s="410" t="s">
        <v>115</v>
      </c>
      <c r="B21" s="411">
        <f>SUM(B16:B20)</f>
        <v>0</v>
      </c>
      <c r="C21" s="411">
        <f t="shared" ref="C21:G21" si="8">SUM(C16:C20)</f>
        <v>0</v>
      </c>
      <c r="D21" s="411">
        <f t="shared" si="8"/>
        <v>0</v>
      </c>
      <c r="E21" s="411">
        <f t="shared" si="8"/>
        <v>0</v>
      </c>
      <c r="F21" s="412">
        <f t="shared" si="8"/>
        <v>0</v>
      </c>
      <c r="G21" s="411">
        <f t="shared" si="8"/>
        <v>0</v>
      </c>
      <c r="H21" s="408" t="str">
        <f t="shared" si="1"/>
        <v/>
      </c>
      <c r="I21" s="79"/>
    </row>
    <row r="22" ht="16" customHeight="1" spans="1:15">
      <c r="A22" s="404" t="s">
        <v>116</v>
      </c>
      <c r="B22" s="405">
        <f>资产预算!K24+研发预算!D31</f>
        <v>0</v>
      </c>
      <c r="C22" s="405">
        <f>资产预算!L24+研发预算!E31</f>
        <v>0</v>
      </c>
      <c r="D22" s="405">
        <f>资产预算!M24+研发预算!F31</f>
        <v>0</v>
      </c>
      <c r="E22" s="405">
        <f>资产预算!N24+研发预算!G31</f>
        <v>0</v>
      </c>
      <c r="F22" s="406">
        <f t="shared" si="0"/>
        <v>0</v>
      </c>
      <c r="G22" s="407">
        <v>262.431086</v>
      </c>
      <c r="H22" s="408">
        <f t="shared" si="1"/>
        <v>-1</v>
      </c>
      <c r="I22" s="79"/>
    </row>
    <row r="23" ht="16" customHeight="1" spans="1:15">
      <c r="A23" s="404" t="s">
        <v>117</v>
      </c>
      <c r="B23" s="405"/>
      <c r="C23" s="414"/>
      <c r="D23" s="407"/>
      <c r="E23" s="407"/>
      <c r="F23" s="406">
        <f t="shared" si="0"/>
        <v>0</v>
      </c>
      <c r="G23" s="407"/>
      <c r="H23" s="408" t="str">
        <f t="shared" si="1"/>
        <v/>
      </c>
      <c r="I23" s="79"/>
    </row>
    <row r="24" ht="16" customHeight="1" spans="1:15">
      <c r="A24" s="404" t="s">
        <v>118</v>
      </c>
      <c r="B24" s="405"/>
      <c r="C24" s="414"/>
      <c r="D24" s="407"/>
      <c r="E24" s="407"/>
      <c r="F24" s="406">
        <f t="shared" si="0"/>
        <v>0</v>
      </c>
      <c r="G24" s="407"/>
      <c r="H24" s="408" t="str">
        <f t="shared" si="1"/>
        <v/>
      </c>
      <c r="I24" s="79"/>
    </row>
    <row r="25" ht="16" customHeight="1" spans="1:15">
      <c r="A25" s="404" t="s">
        <v>119</v>
      </c>
      <c r="B25" s="405"/>
      <c r="C25" s="414"/>
      <c r="D25" s="407"/>
      <c r="E25" s="407"/>
      <c r="F25" s="406">
        <f t="shared" si="0"/>
        <v>0</v>
      </c>
      <c r="G25" s="407"/>
      <c r="H25" s="408" t="str">
        <f t="shared" si="1"/>
        <v/>
      </c>
      <c r="I25" s="79"/>
    </row>
    <row r="26" ht="16" customHeight="1" spans="1:15">
      <c r="A26" s="410" t="s">
        <v>120</v>
      </c>
      <c r="B26" s="411">
        <f t="shared" ref="B26:G26" si="9">SUM(B22:B25)</f>
        <v>0</v>
      </c>
      <c r="C26" s="411">
        <f t="shared" si="9"/>
        <v>0</v>
      </c>
      <c r="D26" s="411">
        <f t="shared" si="9"/>
        <v>0</v>
      </c>
      <c r="E26" s="411">
        <f t="shared" si="9"/>
        <v>0</v>
      </c>
      <c r="F26" s="412">
        <f t="shared" si="9"/>
        <v>0</v>
      </c>
      <c r="G26" s="411">
        <f t="shared" si="9"/>
        <v>262.431086</v>
      </c>
      <c r="H26" s="408">
        <f t="shared" si="1"/>
        <v>-1</v>
      </c>
      <c r="I26" s="79"/>
    </row>
    <row r="27" ht="16" customHeight="1" spans="1:15">
      <c r="A27" s="410" t="s">
        <v>121</v>
      </c>
      <c r="B27" s="411">
        <f>B21-B26</f>
        <v>0</v>
      </c>
      <c r="C27" s="411">
        <f t="shared" ref="C27:F27" si="10">C21-C26</f>
        <v>0</v>
      </c>
      <c r="D27" s="411">
        <f t="shared" si="10"/>
        <v>0</v>
      </c>
      <c r="E27" s="411">
        <f t="shared" si="10"/>
        <v>0</v>
      </c>
      <c r="F27" s="412">
        <f t="shared" si="10"/>
        <v>0</v>
      </c>
      <c r="G27" s="411">
        <f t="shared" ref="G27" si="11">G21-G26</f>
        <v>-262.431086</v>
      </c>
      <c r="H27" s="408">
        <f t="shared" si="1"/>
        <v>-1</v>
      </c>
      <c r="I27" s="79"/>
    </row>
    <row r="28" ht="16" customHeight="1" spans="1:15">
      <c r="A28" s="399" t="s">
        <v>122</v>
      </c>
      <c r="B28" s="405"/>
      <c r="C28" s="414"/>
      <c r="D28" s="407"/>
      <c r="E28" s="407"/>
      <c r="F28" s="406">
        <f t="shared" si="0"/>
        <v>0</v>
      </c>
      <c r="G28" s="407"/>
      <c r="H28" s="408" t="str">
        <f t="shared" si="1"/>
        <v/>
      </c>
      <c r="I28" s="79"/>
    </row>
    <row r="29" ht="16" customHeight="1" spans="1:15">
      <c r="A29" s="404" t="s">
        <v>123</v>
      </c>
      <c r="B29" s="405"/>
      <c r="C29" s="414"/>
      <c r="D29" s="407"/>
      <c r="E29" s="407"/>
      <c r="F29" s="406">
        <f t="shared" si="0"/>
        <v>0</v>
      </c>
      <c r="G29" s="407"/>
      <c r="H29" s="408" t="str">
        <f t="shared" si="1"/>
        <v/>
      </c>
      <c r="I29" s="79"/>
    </row>
    <row r="30" ht="16" customHeight="1" spans="1:15">
      <c r="A30" s="404" t="s">
        <v>124</v>
      </c>
      <c r="B30" s="405"/>
      <c r="C30" s="414"/>
      <c r="D30" s="407"/>
      <c r="E30" s="407"/>
      <c r="F30" s="406">
        <f t="shared" si="0"/>
        <v>0</v>
      </c>
      <c r="G30" s="407"/>
      <c r="H30" s="408" t="str">
        <f t="shared" si="1"/>
        <v/>
      </c>
      <c r="I30" s="79"/>
    </row>
    <row r="31" ht="16" customHeight="1" spans="1:15">
      <c r="A31" s="404" t="s">
        <v>125</v>
      </c>
      <c r="B31" s="405"/>
      <c r="C31" s="414"/>
      <c r="D31" s="414"/>
      <c r="E31" s="414"/>
      <c r="F31" s="406">
        <f t="shared" si="0"/>
        <v>0</v>
      </c>
      <c r="G31" s="407"/>
      <c r="H31" s="408" t="str">
        <f t="shared" si="1"/>
        <v/>
      </c>
      <c r="I31" s="79"/>
    </row>
    <row r="32" ht="16" customHeight="1" spans="1:15">
      <c r="A32" s="404" t="s">
        <v>126</v>
      </c>
      <c r="B32" s="405"/>
      <c r="C32" s="414"/>
      <c r="D32" s="407"/>
      <c r="E32" s="407"/>
      <c r="F32" s="406">
        <f t="shared" si="0"/>
        <v>0</v>
      </c>
      <c r="G32" s="407">
        <v>1080</v>
      </c>
      <c r="H32" s="408">
        <f t="shared" si="1"/>
        <v>-1</v>
      </c>
      <c r="I32" s="409"/>
    </row>
    <row r="33" ht="16" customHeight="1" spans="1:14">
      <c r="A33" s="410" t="s">
        <v>127</v>
      </c>
      <c r="B33" s="411">
        <f>SUM(B29:B32)-B30</f>
        <v>0</v>
      </c>
      <c r="C33" s="411">
        <f t="shared" ref="C33:G33" si="12">SUM(C29:C32)-C30</f>
        <v>0</v>
      </c>
      <c r="D33" s="411">
        <f t="shared" si="12"/>
        <v>0</v>
      </c>
      <c r="E33" s="411">
        <f t="shared" si="12"/>
        <v>0</v>
      </c>
      <c r="F33" s="412">
        <f t="shared" si="12"/>
        <v>0</v>
      </c>
      <c r="G33" s="411">
        <f t="shared" si="12"/>
        <v>1080</v>
      </c>
      <c r="H33" s="408">
        <f t="shared" si="1"/>
        <v>-1</v>
      </c>
      <c r="M33" s="402" t="s">
        <v>128</v>
      </c>
      <c r="N33" s="415">
        <f>F33</f>
        <v>0</v>
      </c>
    </row>
    <row r="34" ht="16" customHeight="1" spans="1:14">
      <c r="A34" s="404" t="s">
        <v>129</v>
      </c>
      <c r="B34" s="405"/>
      <c r="C34" s="414"/>
      <c r="D34" s="407"/>
      <c r="E34" s="407"/>
      <c r="F34" s="406">
        <f t="shared" si="0"/>
        <v>0</v>
      </c>
      <c r="G34" s="407"/>
      <c r="H34" s="408" t="str">
        <f t="shared" si="1"/>
        <v/>
      </c>
      <c r="M34" s="402" t="s">
        <v>130</v>
      </c>
      <c r="N34" s="88">
        <v>700</v>
      </c>
    </row>
    <row r="35" ht="16" customHeight="1" spans="1:14">
      <c r="A35" s="404" t="s">
        <v>131</v>
      </c>
      <c r="B35" s="405">
        <f>'附件4（财务费用明细）'!D4</f>
        <v>0</v>
      </c>
      <c r="C35" s="405">
        <f>'附件4（财务费用明细）'!E4</f>
        <v>0</v>
      </c>
      <c r="D35" s="405">
        <f>'附件4（财务费用明细）'!F4</f>
        <v>0</v>
      </c>
      <c r="E35" s="405">
        <f>'附件4（财务费用明细）'!G4</f>
        <v>0</v>
      </c>
      <c r="F35" s="406">
        <f t="shared" si="0"/>
        <v>0</v>
      </c>
      <c r="G35" s="407">
        <v>41.427498</v>
      </c>
      <c r="H35" s="408">
        <f t="shared" si="1"/>
        <v>-1</v>
      </c>
      <c r="M35" s="402" t="s">
        <v>132</v>
      </c>
      <c r="N35" s="88">
        <v>980</v>
      </c>
    </row>
    <row r="36" ht="16" customHeight="1" spans="1:14">
      <c r="A36" s="404" t="s">
        <v>133</v>
      </c>
      <c r="B36" s="405"/>
      <c r="C36" s="414"/>
      <c r="D36" s="407"/>
      <c r="E36" s="407"/>
      <c r="F36" s="406">
        <f t="shared" si="0"/>
        <v>0</v>
      </c>
      <c r="G36" s="407"/>
      <c r="H36" s="408" t="str">
        <f t="shared" si="1"/>
        <v/>
      </c>
      <c r="M36" s="402" t="s">
        <v>134</v>
      </c>
      <c r="N36" s="415">
        <f>N33-N34-N35</f>
        <v>-1680</v>
      </c>
    </row>
    <row r="37" ht="16" customHeight="1" spans="1:14">
      <c r="A37" s="404" t="s">
        <v>135</v>
      </c>
      <c r="B37" s="405">
        <f>(产品成本!M15+费用预算!C56+研发预算!D32)*1.05</f>
        <v>0</v>
      </c>
      <c r="C37" s="405">
        <f>(产品成本!N15+费用预算!D56+研发预算!E32)*1.05</f>
        <v>0</v>
      </c>
      <c r="D37" s="405">
        <f>(产品成本!O15+费用预算!E56+研发预算!F32)*1.05</f>
        <v>0</v>
      </c>
      <c r="E37" s="405">
        <f>(产品成本!P15+费用预算!F56+研发预算!G32)*1.05</f>
        <v>0</v>
      </c>
      <c r="F37" s="406">
        <f t="shared" si="0"/>
        <v>0</v>
      </c>
      <c r="G37" s="407">
        <v>58.9348</v>
      </c>
      <c r="H37" s="408">
        <f t="shared" si="1"/>
        <v>-1</v>
      </c>
      <c r="I37" s="79"/>
    </row>
    <row r="38" ht="16" customHeight="1" spans="1:14">
      <c r="A38" s="416" t="s">
        <v>136</v>
      </c>
      <c r="B38" s="411">
        <f>SUM(B34:B37)-B36</f>
        <v>0</v>
      </c>
      <c r="C38" s="411">
        <f t="shared" ref="C38:F38" si="13">SUM(C34:C37)-C36</f>
        <v>0</v>
      </c>
      <c r="D38" s="411">
        <f t="shared" si="13"/>
        <v>0</v>
      </c>
      <c r="E38" s="411">
        <f t="shared" si="13"/>
        <v>0</v>
      </c>
      <c r="F38" s="412">
        <f t="shared" si="13"/>
        <v>0</v>
      </c>
      <c r="G38" s="411">
        <f t="shared" ref="G38" si="14">SUM(G34:G37)-G36</f>
        <v>100.362298</v>
      </c>
      <c r="H38" s="408">
        <f t="shared" si="1"/>
        <v>-1</v>
      </c>
      <c r="I38" s="79"/>
    </row>
    <row r="39" ht="16" customHeight="1" spans="1:14">
      <c r="A39" s="416" t="s">
        <v>137</v>
      </c>
      <c r="B39" s="411">
        <f>B33-B38</f>
        <v>0</v>
      </c>
      <c r="C39" s="411">
        <f t="shared" ref="C39:F39" si="15">C33-C38</f>
        <v>0</v>
      </c>
      <c r="D39" s="411">
        <f t="shared" si="15"/>
        <v>0</v>
      </c>
      <c r="E39" s="411">
        <f t="shared" si="15"/>
        <v>0</v>
      </c>
      <c r="F39" s="412">
        <f t="shared" si="15"/>
        <v>0</v>
      </c>
      <c r="G39" s="411">
        <f t="shared" ref="G39" si="16">G33-G38</f>
        <v>979.637702</v>
      </c>
      <c r="H39" s="408">
        <f t="shared" si="1"/>
        <v>-1</v>
      </c>
      <c r="I39" s="79"/>
    </row>
    <row r="40" ht="16" customHeight="1" spans="1:14">
      <c r="A40" s="410" t="s">
        <v>138</v>
      </c>
      <c r="B40" s="411"/>
      <c r="C40" s="417"/>
      <c r="D40" s="418"/>
      <c r="E40" s="418"/>
      <c r="F40" s="406">
        <f t="shared" si="0"/>
        <v>0</v>
      </c>
      <c r="G40" s="418">
        <v>-0.311819</v>
      </c>
      <c r="H40" s="98"/>
      <c r="I40" s="79"/>
    </row>
    <row r="41" ht="16" customHeight="1" spans="1:14">
      <c r="A41" s="410" t="s">
        <v>139</v>
      </c>
      <c r="B41" s="411">
        <f>B40+B39+B27+B14</f>
        <v>-100.87</v>
      </c>
      <c r="C41" s="411">
        <f t="shared" ref="C41:G41" si="17">C40+C39+C27+C14</f>
        <v>-100.87</v>
      </c>
      <c r="D41" s="411">
        <f t="shared" si="17"/>
        <v>-100.87</v>
      </c>
      <c r="E41" s="411">
        <f t="shared" si="17"/>
        <v>-100.87</v>
      </c>
      <c r="F41" s="412">
        <f t="shared" si="17"/>
        <v>-403.48</v>
      </c>
      <c r="G41" s="411">
        <f t="shared" si="17"/>
        <v>-197.796248</v>
      </c>
      <c r="H41" s="98"/>
      <c r="I41" s="79"/>
    </row>
    <row r="42" ht="16" customHeight="1" spans="1:14">
      <c r="A42" s="404" t="s">
        <v>140</v>
      </c>
      <c r="B42" s="405">
        <f>G43</f>
        <v>92.1425929999999</v>
      </c>
      <c r="C42" s="414">
        <f>B43</f>
        <v>-8.72740700000007</v>
      </c>
      <c r="D42" s="407">
        <f>C43</f>
        <v>-109.597407</v>
      </c>
      <c r="E42" s="407">
        <f>D43</f>
        <v>-210.467407</v>
      </c>
      <c r="F42" s="406">
        <f>B42</f>
        <v>92.1425929999999</v>
      </c>
      <c r="G42" s="407">
        <v>289.938841</v>
      </c>
      <c r="H42" s="98"/>
      <c r="I42" s="79"/>
    </row>
    <row r="43" ht="16" customHeight="1" spans="1:14">
      <c r="A43" s="410" t="s">
        <v>141</v>
      </c>
      <c r="B43" s="411">
        <f>B41+B42</f>
        <v>-8.72740700000007</v>
      </c>
      <c r="C43" s="411">
        <f t="shared" ref="C43:G43" si="18">C41+C42</f>
        <v>-109.597407</v>
      </c>
      <c r="D43" s="411">
        <f t="shared" si="18"/>
        <v>-210.467407</v>
      </c>
      <c r="E43" s="411">
        <f t="shared" si="18"/>
        <v>-311.337407</v>
      </c>
      <c r="F43" s="412">
        <f t="shared" si="18"/>
        <v>-311.337407</v>
      </c>
      <c r="G43" s="411">
        <f t="shared" si="18"/>
        <v>92.1425929999999</v>
      </c>
      <c r="H43" s="98"/>
      <c r="I43" s="79"/>
    </row>
    <row r="44" ht="15.75" customHeight="1" spans="1:14">
      <c r="A44" s="419"/>
      <c r="B44" s="409"/>
      <c r="C44" s="409"/>
      <c r="D44" s="79"/>
      <c r="E44" s="79"/>
      <c r="F44" s="79"/>
      <c r="G44" s="79"/>
      <c r="H44" s="75"/>
      <c r="I44" s="79"/>
    </row>
    <row r="45" spans="1:14">
      <c r="A45" s="419"/>
      <c r="B45" s="409"/>
      <c r="C45" s="409"/>
      <c r="D45" s="79"/>
      <c r="E45" s="79"/>
      <c r="F45" s="409"/>
      <c r="G45" s="79"/>
      <c r="H45" s="75"/>
      <c r="I45" s="79"/>
    </row>
    <row r="46" spans="1:14">
      <c r="A46" s="419"/>
      <c r="B46" s="79"/>
      <c r="C46" s="79"/>
      <c r="D46" s="79"/>
      <c r="E46" s="79"/>
      <c r="F46" s="79"/>
      <c r="G46" s="79"/>
      <c r="H46" s="75"/>
      <c r="I46" s="79"/>
    </row>
    <row r="47" spans="1:14">
      <c r="A47" s="419"/>
      <c r="B47" s="79"/>
      <c r="C47" s="79"/>
      <c r="D47" s="79"/>
      <c r="E47" s="79"/>
      <c r="F47" s="79"/>
      <c r="G47" s="79"/>
      <c r="H47" s="75"/>
      <c r="I47" s="79"/>
    </row>
    <row r="48" spans="1:14">
      <c r="A48" s="419"/>
      <c r="B48" s="79"/>
      <c r="C48" s="79"/>
      <c r="D48" s="79"/>
      <c r="E48" s="79"/>
      <c r="F48" s="79"/>
      <c r="G48" s="79"/>
      <c r="H48" s="75"/>
      <c r="I48" s="79"/>
    </row>
    <row r="49" spans="1:9">
      <c r="A49" s="419"/>
      <c r="B49" s="79"/>
      <c r="C49" s="79"/>
      <c r="D49" s="79"/>
      <c r="E49" s="79"/>
      <c r="F49" s="79"/>
      <c r="G49" s="79"/>
      <c r="H49" s="75"/>
      <c r="I49" s="79"/>
    </row>
    <row r="50" spans="1:9">
      <c r="A50" s="419"/>
      <c r="B50" s="79"/>
      <c r="C50" s="79"/>
      <c r="D50" s="79"/>
      <c r="E50" s="79"/>
      <c r="F50" s="79"/>
      <c r="G50" s="79"/>
      <c r="H50" s="75"/>
      <c r="I50" s="79"/>
    </row>
    <row r="51" spans="1:9">
      <c r="A51" s="419"/>
      <c r="B51" s="79"/>
      <c r="C51" s="79"/>
      <c r="D51" s="79"/>
      <c r="E51" s="79"/>
      <c r="F51" s="79"/>
      <c r="G51" s="79"/>
      <c r="H51" s="75"/>
      <c r="I51" s="79"/>
    </row>
    <row r="52" spans="1:9">
      <c r="A52" s="419"/>
      <c r="B52" s="79"/>
      <c r="C52" s="79"/>
      <c r="D52" s="79"/>
      <c r="E52" s="79"/>
      <c r="F52" s="79"/>
      <c r="G52" s="79"/>
      <c r="H52" s="75"/>
      <c r="I52" s="79"/>
    </row>
    <row r="53" spans="1:9">
      <c r="A53" s="419"/>
      <c r="B53" s="79"/>
      <c r="C53" s="79"/>
      <c r="D53" s="79"/>
      <c r="E53" s="79"/>
      <c r="F53" s="79"/>
      <c r="G53" s="79"/>
      <c r="H53" s="75"/>
      <c r="I53" s="79"/>
    </row>
    <row r="54" spans="1:9">
      <c r="A54" s="419"/>
      <c r="B54" s="79"/>
      <c r="C54" s="79"/>
      <c r="D54" s="79"/>
      <c r="E54" s="79"/>
      <c r="F54" s="79"/>
      <c r="G54" s="79"/>
      <c r="H54" s="75"/>
      <c r="I54" s="79"/>
    </row>
    <row r="55" spans="1:9">
      <c r="A55" s="419"/>
      <c r="B55" s="79"/>
      <c r="C55" s="79"/>
      <c r="D55" s="79"/>
      <c r="E55" s="79"/>
      <c r="F55" s="79"/>
      <c r="G55" s="79"/>
      <c r="H55" s="75"/>
      <c r="I55" s="79"/>
    </row>
    <row r="56" spans="1:9">
      <c r="A56" s="419"/>
      <c r="B56" s="79"/>
      <c r="C56" s="79"/>
      <c r="D56" s="79"/>
      <c r="E56" s="79"/>
      <c r="F56" s="79"/>
      <c r="G56" s="79"/>
      <c r="H56" s="75"/>
      <c r="I56" s="79"/>
    </row>
    <row r="57" spans="1:9">
      <c r="A57" s="419"/>
      <c r="B57" s="79"/>
      <c r="C57" s="79"/>
      <c r="D57" s="79"/>
      <c r="E57" s="79"/>
      <c r="F57" s="79"/>
      <c r="G57" s="79"/>
      <c r="H57" s="75"/>
      <c r="I57" s="79"/>
    </row>
    <row r="58" spans="1:9">
      <c r="A58" s="419"/>
      <c r="B58" s="79"/>
      <c r="C58" s="79"/>
      <c r="D58" s="79"/>
      <c r="E58" s="79"/>
      <c r="F58" s="79"/>
      <c r="G58" s="79"/>
      <c r="H58" s="75"/>
      <c r="I58" s="79"/>
    </row>
    <row r="59" spans="1:9">
      <c r="A59" s="419"/>
      <c r="B59" s="79"/>
      <c r="C59" s="79"/>
      <c r="D59" s="79"/>
      <c r="E59" s="79"/>
      <c r="F59" s="79"/>
      <c r="G59" s="79"/>
      <c r="H59" s="75"/>
      <c r="I59" s="79"/>
    </row>
    <row r="60" spans="1:9">
      <c r="A60" s="419"/>
      <c r="B60" s="79"/>
      <c r="C60" s="79"/>
      <c r="D60" s="79"/>
      <c r="E60" s="79"/>
      <c r="F60" s="79"/>
      <c r="G60" s="79"/>
      <c r="H60" s="75"/>
      <c r="I60" s="79"/>
    </row>
    <row r="61" spans="1:9">
      <c r="A61" s="419"/>
      <c r="B61" s="79"/>
      <c r="C61" s="79"/>
      <c r="D61" s="79"/>
      <c r="E61" s="79"/>
      <c r="F61" s="79"/>
      <c r="G61" s="79"/>
      <c r="H61" s="75"/>
      <c r="I61" s="79"/>
    </row>
    <row r="62" spans="1:9">
      <c r="A62" s="419"/>
      <c r="B62" s="79"/>
      <c r="C62" s="79"/>
      <c r="D62" s="79"/>
      <c r="E62" s="79"/>
      <c r="F62" s="79"/>
      <c r="G62" s="79"/>
      <c r="H62" s="75"/>
      <c r="I62" s="79"/>
    </row>
    <row r="63" spans="1:9">
      <c r="A63" s="419"/>
      <c r="B63" s="79"/>
      <c r="C63" s="79"/>
      <c r="D63" s="79"/>
      <c r="E63" s="79"/>
      <c r="F63" s="79"/>
      <c r="G63" s="79"/>
      <c r="H63" s="75"/>
      <c r="I63" s="79"/>
    </row>
    <row r="64" spans="1:9">
      <c r="A64" s="419"/>
      <c r="B64" s="79"/>
      <c r="C64" s="79"/>
      <c r="D64" s="79"/>
      <c r="E64" s="79"/>
      <c r="F64" s="79"/>
      <c r="G64" s="79"/>
      <c r="H64" s="75"/>
      <c r="I64" s="79"/>
    </row>
    <row r="65" spans="1:9">
      <c r="A65" s="419"/>
      <c r="B65" s="79"/>
      <c r="C65" s="79"/>
      <c r="D65" s="79"/>
      <c r="E65" s="79"/>
      <c r="F65" s="79"/>
      <c r="G65" s="79"/>
      <c r="H65" s="75"/>
      <c r="I65" s="79"/>
    </row>
    <row r="66" spans="1:9">
      <c r="A66" s="419"/>
      <c r="B66" s="79"/>
      <c r="C66" s="79"/>
      <c r="D66" s="79"/>
      <c r="E66" s="79"/>
      <c r="F66" s="79"/>
      <c r="G66" s="79"/>
      <c r="H66" s="75"/>
      <c r="I66" s="79"/>
    </row>
    <row r="67" spans="1:9">
      <c r="A67" s="419"/>
      <c r="B67" s="79"/>
      <c r="C67" s="79"/>
      <c r="D67" s="79"/>
      <c r="E67" s="79"/>
      <c r="F67" s="79"/>
      <c r="G67" s="79"/>
      <c r="H67" s="75"/>
      <c r="I67" s="79"/>
    </row>
    <row r="68" spans="1:9">
      <c r="A68" s="419"/>
      <c r="B68" s="79"/>
      <c r="C68" s="79"/>
      <c r="D68" s="79"/>
      <c r="E68" s="79"/>
      <c r="F68" s="79"/>
      <c r="G68" s="79"/>
      <c r="H68" s="75"/>
      <c r="I68" s="79"/>
    </row>
    <row r="69" spans="1:9">
      <c r="A69" s="419"/>
      <c r="B69" s="79"/>
      <c r="C69" s="79"/>
      <c r="D69" s="79"/>
      <c r="E69" s="79"/>
      <c r="F69" s="79"/>
      <c r="G69" s="79"/>
      <c r="H69" s="75"/>
      <c r="I69" s="79"/>
    </row>
    <row r="70" spans="1:9">
      <c r="A70" s="419"/>
      <c r="B70" s="79"/>
      <c r="C70" s="79"/>
      <c r="D70" s="79"/>
      <c r="E70" s="79"/>
      <c r="F70" s="79"/>
      <c r="G70" s="79"/>
      <c r="H70" s="75"/>
      <c r="I70" s="79"/>
    </row>
    <row r="71" spans="1:9">
      <c r="A71" s="419"/>
      <c r="B71" s="79"/>
      <c r="C71" s="79"/>
      <c r="D71" s="79"/>
      <c r="E71" s="79"/>
      <c r="F71" s="79"/>
      <c r="G71" s="79"/>
      <c r="H71" s="75"/>
      <c r="I71" s="79"/>
    </row>
    <row r="72" spans="1:9">
      <c r="A72" s="419"/>
      <c r="B72" s="79"/>
      <c r="C72" s="79"/>
      <c r="D72" s="79"/>
      <c r="E72" s="79"/>
      <c r="F72" s="79"/>
      <c r="G72" s="79"/>
      <c r="H72" s="75"/>
      <c r="I72" s="79"/>
    </row>
    <row r="73" spans="1:9">
      <c r="A73" s="419"/>
      <c r="B73" s="79"/>
      <c r="C73" s="79"/>
      <c r="D73" s="79"/>
      <c r="E73" s="79"/>
      <c r="F73" s="79"/>
      <c r="G73" s="79"/>
      <c r="H73" s="75"/>
      <c r="I73" s="79"/>
    </row>
    <row r="74" spans="1:9">
      <c r="A74" s="419"/>
      <c r="B74" s="79"/>
      <c r="C74" s="79"/>
      <c r="D74" s="79"/>
      <c r="E74" s="79"/>
      <c r="F74" s="79"/>
      <c r="G74" s="79"/>
      <c r="H74" s="75"/>
      <c r="I74" s="79"/>
    </row>
    <row r="75" spans="1:9">
      <c r="A75" s="419"/>
      <c r="B75" s="79"/>
      <c r="C75" s="79"/>
      <c r="D75" s="79"/>
      <c r="E75" s="79"/>
      <c r="F75" s="79"/>
      <c r="G75" s="79"/>
      <c r="H75" s="75"/>
      <c r="I75" s="79"/>
    </row>
    <row r="76" spans="1:9">
      <c r="A76" s="419"/>
      <c r="B76" s="79"/>
      <c r="C76" s="79"/>
      <c r="D76" s="79"/>
      <c r="E76" s="79"/>
      <c r="F76" s="79"/>
      <c r="G76" s="79"/>
      <c r="H76" s="75"/>
      <c r="I76" s="79"/>
    </row>
    <row r="77" spans="1:9">
      <c r="A77" s="419"/>
      <c r="B77" s="79"/>
      <c r="C77" s="79"/>
      <c r="D77" s="79"/>
      <c r="E77" s="79"/>
      <c r="F77" s="79"/>
      <c r="G77" s="79"/>
      <c r="H77" s="75"/>
      <c r="I77" s="79"/>
    </row>
    <row r="78" spans="1:9">
      <c r="A78" s="419"/>
      <c r="B78" s="79"/>
      <c r="C78" s="79"/>
      <c r="D78" s="79"/>
      <c r="E78" s="79"/>
      <c r="F78" s="79"/>
      <c r="G78" s="79"/>
      <c r="H78" s="75"/>
      <c r="I78" s="79"/>
    </row>
    <row r="79" spans="1:9">
      <c r="A79" s="419"/>
      <c r="B79" s="79"/>
      <c r="C79" s="79"/>
      <c r="D79" s="79"/>
      <c r="E79" s="79"/>
      <c r="F79" s="79"/>
      <c r="G79" s="79"/>
      <c r="H79" s="75"/>
      <c r="I79" s="79"/>
    </row>
    <row r="80" spans="1:9">
      <c r="A80" s="419"/>
      <c r="B80" s="79"/>
      <c r="C80" s="79"/>
      <c r="D80" s="79"/>
      <c r="E80" s="79"/>
      <c r="F80" s="79"/>
      <c r="G80" s="79"/>
      <c r="H80" s="75"/>
      <c r="I80" s="79"/>
    </row>
    <row r="81" spans="1:9">
      <c r="A81" s="419"/>
      <c r="B81" s="79"/>
      <c r="C81" s="79"/>
      <c r="D81" s="79"/>
      <c r="E81" s="79"/>
      <c r="F81" s="79"/>
      <c r="G81" s="79"/>
      <c r="H81" s="75"/>
      <c r="I81" s="79"/>
    </row>
    <row r="82" spans="1:9">
      <c r="A82" s="419"/>
      <c r="B82" s="79"/>
      <c r="C82" s="79"/>
      <c r="D82" s="79"/>
      <c r="E82" s="79"/>
      <c r="F82" s="79"/>
      <c r="G82" s="79"/>
      <c r="H82" s="75"/>
      <c r="I82" s="79"/>
    </row>
    <row r="83" spans="1:9">
      <c r="A83" s="419"/>
      <c r="B83" s="79"/>
      <c r="C83" s="79"/>
      <c r="D83" s="79"/>
      <c r="E83" s="79"/>
      <c r="F83" s="79"/>
      <c r="G83" s="79"/>
      <c r="H83" s="75"/>
      <c r="I83" s="79"/>
    </row>
    <row r="84" spans="1:9">
      <c r="A84" s="419"/>
      <c r="B84" s="79"/>
      <c r="C84" s="79"/>
      <c r="D84" s="79"/>
      <c r="E84" s="79"/>
      <c r="F84" s="79"/>
      <c r="G84" s="79"/>
      <c r="H84" s="75"/>
      <c r="I84" s="79"/>
    </row>
    <row r="85" spans="1:9">
      <c r="A85" s="419"/>
      <c r="B85" s="79"/>
      <c r="C85" s="79"/>
      <c r="D85" s="79"/>
      <c r="E85" s="79"/>
      <c r="F85" s="79"/>
      <c r="G85" s="79"/>
      <c r="H85" s="75"/>
      <c r="I85" s="79"/>
    </row>
    <row r="86" spans="1:9">
      <c r="A86" s="419"/>
      <c r="B86" s="79"/>
      <c r="C86" s="79"/>
      <c r="D86" s="79"/>
      <c r="E86" s="79"/>
      <c r="F86" s="79"/>
      <c r="G86" s="79"/>
      <c r="H86" s="75"/>
      <c r="I86" s="79"/>
    </row>
    <row r="87" spans="1:9">
      <c r="A87" s="419"/>
      <c r="B87" s="79"/>
      <c r="C87" s="79"/>
      <c r="D87" s="79"/>
      <c r="E87" s="79"/>
      <c r="F87" s="79"/>
      <c r="G87" s="79"/>
      <c r="H87" s="75"/>
      <c r="I87" s="79"/>
    </row>
    <row r="88" spans="1:9">
      <c r="A88" s="419"/>
      <c r="B88" s="79"/>
      <c r="C88" s="79"/>
      <c r="D88" s="79"/>
      <c r="E88" s="79"/>
      <c r="F88" s="79"/>
      <c r="G88" s="79"/>
      <c r="H88" s="75"/>
      <c r="I88" s="79"/>
    </row>
    <row r="89" spans="1:9">
      <c r="A89" s="419"/>
      <c r="B89" s="79"/>
      <c r="C89" s="79"/>
      <c r="D89" s="79"/>
      <c r="E89" s="79"/>
      <c r="F89" s="79"/>
      <c r="G89" s="79"/>
      <c r="H89" s="75"/>
      <c r="I89" s="79"/>
    </row>
    <row r="90" spans="1:9">
      <c r="A90" s="419"/>
      <c r="B90" s="79"/>
      <c r="C90" s="79"/>
      <c r="D90" s="79"/>
      <c r="E90" s="79"/>
      <c r="F90" s="79"/>
      <c r="G90" s="79"/>
      <c r="H90" s="75"/>
      <c r="I90" s="79"/>
    </row>
    <row r="91" spans="1:9">
      <c r="A91" s="419"/>
      <c r="B91" s="79"/>
      <c r="C91" s="79"/>
      <c r="D91" s="79"/>
      <c r="E91" s="79"/>
      <c r="F91" s="79"/>
      <c r="G91" s="79"/>
      <c r="H91" s="75"/>
      <c r="I91" s="79"/>
    </row>
    <row r="92" spans="1:9">
      <c r="A92" s="419"/>
      <c r="B92" s="79"/>
      <c r="C92" s="79"/>
      <c r="D92" s="79"/>
      <c r="E92" s="79"/>
      <c r="F92" s="79"/>
      <c r="G92" s="79"/>
      <c r="H92" s="75"/>
      <c r="I92" s="79"/>
    </row>
    <row r="93" spans="1:9">
      <c r="A93" s="419"/>
      <c r="B93" s="79"/>
      <c r="C93" s="79"/>
      <c r="D93" s="79"/>
      <c r="E93" s="79"/>
      <c r="F93" s="79"/>
      <c r="G93" s="79"/>
      <c r="H93" s="75"/>
      <c r="I93" s="79"/>
    </row>
    <row r="94" spans="1:9">
      <c r="A94" s="419"/>
      <c r="B94" s="79"/>
      <c r="C94" s="79"/>
      <c r="D94" s="79"/>
      <c r="E94" s="79"/>
      <c r="F94" s="79"/>
      <c r="G94" s="79"/>
      <c r="H94" s="75"/>
      <c r="I94" s="79"/>
    </row>
    <row r="95" spans="1:9">
      <c r="A95" s="419"/>
      <c r="B95" s="79"/>
      <c r="C95" s="79"/>
      <c r="D95" s="79"/>
      <c r="E95" s="79"/>
      <c r="F95" s="79"/>
      <c r="G95" s="79"/>
      <c r="H95" s="75"/>
      <c r="I95" s="79"/>
    </row>
    <row r="96" spans="1:9">
      <c r="A96" s="419"/>
      <c r="B96" s="79"/>
      <c r="C96" s="79"/>
      <c r="D96" s="79"/>
      <c r="E96" s="79"/>
      <c r="F96" s="79"/>
      <c r="G96" s="79"/>
      <c r="H96" s="75"/>
      <c r="I96" s="79"/>
    </row>
    <row r="97" spans="1:9">
      <c r="A97" s="419"/>
      <c r="B97" s="79"/>
      <c r="C97" s="79"/>
      <c r="D97" s="79"/>
      <c r="E97" s="79"/>
      <c r="F97" s="79"/>
      <c r="G97" s="79"/>
      <c r="H97" s="75"/>
      <c r="I97" s="79"/>
    </row>
    <row r="98" spans="1:9">
      <c r="A98" s="419"/>
      <c r="B98" s="79"/>
      <c r="C98" s="79"/>
      <c r="D98" s="79"/>
      <c r="E98" s="79"/>
      <c r="F98" s="79"/>
      <c r="G98" s="79"/>
      <c r="H98" s="75"/>
      <c r="I98" s="79"/>
    </row>
    <row r="99" spans="1:9">
      <c r="A99" s="419"/>
      <c r="B99" s="79"/>
      <c r="C99" s="79"/>
      <c r="D99" s="79"/>
      <c r="E99" s="79"/>
      <c r="F99" s="79"/>
      <c r="G99" s="79"/>
      <c r="H99" s="75"/>
      <c r="I99" s="79"/>
    </row>
    <row r="100" spans="1:9">
      <c r="A100" s="419"/>
      <c r="B100" s="79"/>
      <c r="C100" s="79"/>
      <c r="D100" s="79"/>
      <c r="E100" s="79"/>
      <c r="F100" s="79"/>
      <c r="G100" s="79"/>
      <c r="H100" s="75"/>
      <c r="I100" s="79"/>
    </row>
    <row r="101" spans="1:9">
      <c r="A101" s="419"/>
      <c r="B101" s="79"/>
      <c r="C101" s="79"/>
      <c r="D101" s="79"/>
      <c r="E101" s="79"/>
      <c r="F101" s="79"/>
      <c r="G101" s="79"/>
      <c r="H101" s="75"/>
      <c r="I101" s="79"/>
    </row>
    <row r="102" spans="1:9">
      <c r="A102" s="419"/>
      <c r="B102" s="79"/>
      <c r="C102" s="79"/>
      <c r="D102" s="79"/>
      <c r="E102" s="79"/>
      <c r="F102" s="79"/>
      <c r="G102" s="79"/>
      <c r="H102" s="75"/>
      <c r="I102" s="79"/>
    </row>
    <row r="103" spans="1:9">
      <c r="A103" s="419"/>
      <c r="B103" s="79"/>
      <c r="C103" s="79"/>
      <c r="D103" s="79"/>
      <c r="E103" s="79"/>
      <c r="F103" s="79"/>
      <c r="G103" s="79"/>
      <c r="H103" s="75"/>
      <c r="I103" s="79"/>
    </row>
    <row r="104" spans="1:9">
      <c r="A104" s="419"/>
      <c r="B104" s="79"/>
      <c r="C104" s="79"/>
      <c r="D104" s="79"/>
      <c r="E104" s="79"/>
      <c r="F104" s="79"/>
      <c r="G104" s="79"/>
      <c r="H104" s="75"/>
      <c r="I104" s="79"/>
    </row>
    <row r="105" spans="1:9">
      <c r="A105" s="419"/>
      <c r="B105" s="79"/>
      <c r="C105" s="79"/>
      <c r="D105" s="79"/>
      <c r="E105" s="79"/>
      <c r="F105" s="79"/>
      <c r="G105" s="79"/>
      <c r="H105" s="75"/>
      <c r="I105" s="79"/>
    </row>
    <row r="106" spans="1:9">
      <c r="A106" s="419"/>
      <c r="B106" s="79"/>
      <c r="C106" s="79"/>
      <c r="D106" s="79"/>
      <c r="E106" s="79"/>
      <c r="F106" s="79"/>
      <c r="G106" s="79"/>
      <c r="H106" s="75"/>
      <c r="I106" s="79"/>
    </row>
    <row r="107" spans="1:9">
      <c r="A107" s="419"/>
      <c r="B107" s="79"/>
      <c r="C107" s="79"/>
      <c r="D107" s="79"/>
      <c r="E107" s="79"/>
      <c r="F107" s="79"/>
      <c r="G107" s="79"/>
      <c r="H107" s="75"/>
      <c r="I107" s="79"/>
    </row>
    <row r="108" spans="1:9">
      <c r="A108" s="419"/>
      <c r="B108" s="79"/>
      <c r="C108" s="79"/>
      <c r="D108" s="79"/>
      <c r="E108" s="79"/>
      <c r="F108" s="79"/>
      <c r="G108" s="79"/>
      <c r="H108" s="75"/>
      <c r="I108" s="79"/>
    </row>
    <row r="109" spans="1:9">
      <c r="A109" s="419"/>
      <c r="B109" s="79"/>
      <c r="C109" s="79"/>
      <c r="D109" s="79"/>
      <c r="E109" s="79"/>
      <c r="F109" s="79"/>
      <c r="G109" s="79"/>
      <c r="H109" s="75"/>
      <c r="I109" s="79"/>
    </row>
    <row r="110" spans="1:9">
      <c r="A110" s="419"/>
      <c r="B110" s="79"/>
      <c r="C110" s="79"/>
      <c r="D110" s="79"/>
      <c r="E110" s="79"/>
      <c r="F110" s="79"/>
      <c r="G110" s="79"/>
      <c r="H110" s="75"/>
      <c r="I110" s="79"/>
    </row>
    <row r="111" spans="1:9">
      <c r="A111" s="419"/>
      <c r="B111" s="79"/>
      <c r="C111" s="79"/>
      <c r="D111" s="79"/>
      <c r="E111" s="79"/>
      <c r="F111" s="79"/>
      <c r="G111" s="79"/>
      <c r="H111" s="75"/>
      <c r="I111" s="79"/>
    </row>
    <row r="112" spans="1:9">
      <c r="A112" s="419"/>
      <c r="B112" s="79"/>
      <c r="C112" s="79"/>
      <c r="D112" s="79"/>
      <c r="E112" s="79"/>
      <c r="F112" s="79"/>
      <c r="G112" s="79"/>
      <c r="H112" s="75"/>
      <c r="I112" s="79"/>
    </row>
    <row r="113" spans="1:9">
      <c r="A113" s="419"/>
      <c r="B113" s="79"/>
      <c r="C113" s="79"/>
      <c r="D113" s="79"/>
      <c r="E113" s="79"/>
      <c r="F113" s="79"/>
      <c r="G113" s="79"/>
      <c r="H113" s="75"/>
      <c r="I113" s="79"/>
    </row>
    <row r="114" spans="1:9">
      <c r="A114" s="419"/>
      <c r="B114" s="79"/>
      <c r="C114" s="79"/>
      <c r="D114" s="79"/>
      <c r="E114" s="79"/>
      <c r="F114" s="79"/>
      <c r="G114" s="79"/>
      <c r="H114" s="75"/>
      <c r="I114" s="79"/>
    </row>
    <row r="115" spans="1:9">
      <c r="A115" s="419"/>
      <c r="B115" s="79"/>
      <c r="C115" s="79"/>
      <c r="D115" s="79"/>
      <c r="E115" s="79"/>
      <c r="F115" s="79"/>
      <c r="G115" s="79"/>
      <c r="H115" s="75"/>
      <c r="I115" s="79"/>
    </row>
    <row r="116" spans="1:9">
      <c r="A116" s="419"/>
      <c r="B116" s="79"/>
      <c r="C116" s="79"/>
      <c r="D116" s="79"/>
      <c r="E116" s="79"/>
      <c r="F116" s="79"/>
      <c r="G116" s="79"/>
      <c r="H116" s="75"/>
      <c r="I116" s="79"/>
    </row>
    <row r="117" spans="1:9">
      <c r="A117" s="419"/>
      <c r="B117" s="79"/>
      <c r="C117" s="79"/>
      <c r="D117" s="79"/>
      <c r="E117" s="79"/>
      <c r="F117" s="79"/>
      <c r="G117" s="79"/>
      <c r="H117" s="75"/>
      <c r="I117" s="79"/>
    </row>
    <row r="118" spans="1:9">
      <c r="A118" s="419"/>
      <c r="B118" s="79"/>
      <c r="C118" s="79"/>
      <c r="D118" s="79"/>
      <c r="E118" s="79"/>
      <c r="F118" s="79"/>
      <c r="G118" s="79"/>
      <c r="H118" s="75"/>
      <c r="I118" s="79"/>
    </row>
    <row r="119" spans="1:9">
      <c r="A119" s="419"/>
      <c r="B119" s="79"/>
      <c r="C119" s="79"/>
      <c r="D119" s="79"/>
      <c r="E119" s="79"/>
      <c r="F119" s="79"/>
      <c r="G119" s="79"/>
      <c r="H119" s="75"/>
      <c r="I119" s="79"/>
    </row>
    <row r="120" spans="1:9">
      <c r="A120" s="419"/>
      <c r="B120" s="79"/>
      <c r="C120" s="79"/>
      <c r="D120" s="79"/>
      <c r="E120" s="79"/>
      <c r="F120" s="79"/>
      <c r="G120" s="79"/>
      <c r="H120" s="75"/>
      <c r="I120" s="79"/>
    </row>
    <row r="121" spans="1:9">
      <c r="A121" s="419"/>
      <c r="B121" s="79"/>
      <c r="C121" s="79"/>
      <c r="D121" s="79"/>
      <c r="E121" s="79"/>
      <c r="F121" s="79"/>
      <c r="G121" s="79"/>
      <c r="H121" s="75"/>
      <c r="I121" s="79"/>
    </row>
    <row r="122" spans="1:9">
      <c r="A122" s="419"/>
      <c r="B122" s="79"/>
      <c r="C122" s="79"/>
      <c r="D122" s="79"/>
      <c r="E122" s="79"/>
      <c r="F122" s="79"/>
      <c r="G122" s="79"/>
      <c r="H122" s="75"/>
      <c r="I122" s="79"/>
    </row>
    <row r="123" spans="1:9">
      <c r="A123" s="419"/>
      <c r="B123" s="79"/>
      <c r="C123" s="79"/>
      <c r="D123" s="79"/>
      <c r="E123" s="79"/>
      <c r="F123" s="79"/>
      <c r="G123" s="79"/>
      <c r="H123" s="75"/>
      <c r="I123" s="79"/>
    </row>
    <row r="124" spans="1:9">
      <c r="A124" s="419"/>
      <c r="B124" s="79"/>
      <c r="C124" s="79"/>
      <c r="D124" s="79"/>
      <c r="E124" s="79"/>
      <c r="F124" s="79"/>
      <c r="G124" s="79"/>
      <c r="H124" s="75"/>
      <c r="I124" s="79"/>
    </row>
    <row r="125" spans="1:9">
      <c r="A125" s="419"/>
      <c r="B125" s="79"/>
      <c r="C125" s="79"/>
      <c r="D125" s="79"/>
      <c r="E125" s="79"/>
      <c r="F125" s="79"/>
      <c r="G125" s="79"/>
      <c r="H125" s="75"/>
      <c r="I125" s="79"/>
    </row>
    <row r="126" spans="1:9">
      <c r="A126" s="419"/>
      <c r="B126" s="79"/>
      <c r="C126" s="79"/>
      <c r="D126" s="79"/>
      <c r="E126" s="79"/>
      <c r="F126" s="79"/>
      <c r="G126" s="79"/>
      <c r="H126" s="75"/>
      <c r="I126" s="79"/>
    </row>
    <row r="127" spans="1:9">
      <c r="A127" s="419"/>
      <c r="B127" s="79"/>
      <c r="C127" s="79"/>
      <c r="D127" s="79"/>
      <c r="E127" s="79"/>
      <c r="F127" s="79"/>
      <c r="G127" s="79"/>
      <c r="H127" s="75"/>
      <c r="I127" s="79"/>
    </row>
    <row r="128" spans="1:9">
      <c r="A128" s="419"/>
      <c r="B128" s="79"/>
      <c r="C128" s="79"/>
      <c r="D128" s="79"/>
      <c r="E128" s="79"/>
      <c r="F128" s="79"/>
      <c r="G128" s="79"/>
      <c r="H128" s="75"/>
      <c r="I128" s="79"/>
    </row>
    <row r="129" spans="1:9">
      <c r="A129" s="419"/>
      <c r="B129" s="79"/>
      <c r="C129" s="79"/>
      <c r="D129" s="79"/>
      <c r="E129" s="79"/>
      <c r="F129" s="79"/>
      <c r="G129" s="79"/>
      <c r="H129" s="75"/>
      <c r="I129" s="79"/>
    </row>
    <row r="130" spans="1:9">
      <c r="A130" s="419"/>
      <c r="B130" s="79"/>
      <c r="C130" s="79"/>
      <c r="D130" s="79"/>
      <c r="E130" s="79"/>
      <c r="F130" s="79"/>
      <c r="G130" s="79"/>
      <c r="H130" s="75"/>
      <c r="I130" s="79"/>
    </row>
    <row r="131" spans="1:9">
      <c r="A131" s="419"/>
      <c r="B131" s="79"/>
      <c r="C131" s="79"/>
      <c r="D131" s="79"/>
      <c r="E131" s="79"/>
      <c r="F131" s="79"/>
      <c r="G131" s="79"/>
      <c r="H131" s="75"/>
      <c r="I131" s="79"/>
    </row>
    <row r="132" spans="1:9">
      <c r="A132" s="419"/>
      <c r="B132" s="79"/>
      <c r="C132" s="79"/>
      <c r="D132" s="79"/>
      <c r="E132" s="79"/>
      <c r="F132" s="79"/>
      <c r="G132" s="79"/>
      <c r="H132" s="75"/>
      <c r="I132" s="79"/>
    </row>
    <row r="133" spans="1:9">
      <c r="A133" s="419"/>
      <c r="B133" s="79"/>
      <c r="C133" s="79"/>
      <c r="D133" s="79"/>
      <c r="E133" s="79"/>
      <c r="F133" s="79"/>
      <c r="G133" s="79"/>
      <c r="H133" s="75"/>
      <c r="I133" s="79"/>
    </row>
    <row r="134" spans="1:9">
      <c r="A134" s="419"/>
      <c r="B134" s="79"/>
      <c r="C134" s="79"/>
      <c r="D134" s="79"/>
      <c r="E134" s="79"/>
      <c r="F134" s="79"/>
      <c r="G134" s="79"/>
      <c r="H134" s="75"/>
      <c r="I134" s="79"/>
    </row>
    <row r="135" spans="1:9">
      <c r="A135" s="419"/>
      <c r="B135" s="79"/>
      <c r="C135" s="79"/>
      <c r="D135" s="79"/>
      <c r="E135" s="79"/>
      <c r="F135" s="79"/>
      <c r="G135" s="79"/>
      <c r="H135" s="75"/>
      <c r="I135" s="79"/>
    </row>
    <row r="136" spans="1:9">
      <c r="A136" s="419"/>
      <c r="B136" s="79"/>
      <c r="C136" s="79"/>
      <c r="D136" s="79"/>
      <c r="E136" s="79"/>
      <c r="F136" s="79"/>
      <c r="G136" s="79"/>
      <c r="H136" s="75"/>
      <c r="I136" s="79"/>
    </row>
    <row r="137" spans="1:9">
      <c r="A137" s="419"/>
      <c r="B137" s="79"/>
      <c r="C137" s="79"/>
      <c r="D137" s="79"/>
      <c r="E137" s="79"/>
      <c r="F137" s="79"/>
      <c r="G137" s="79"/>
      <c r="H137" s="75"/>
      <c r="I137" s="79"/>
    </row>
    <row r="138" spans="1:9">
      <c r="A138" s="419"/>
      <c r="B138" s="79"/>
      <c r="C138" s="79"/>
      <c r="D138" s="79"/>
      <c r="E138" s="79"/>
      <c r="F138" s="79"/>
      <c r="G138" s="79"/>
      <c r="H138" s="75"/>
      <c r="I138" s="79"/>
    </row>
    <row r="139" spans="1:9">
      <c r="A139" s="419"/>
      <c r="B139" s="79"/>
      <c r="C139" s="79"/>
      <c r="D139" s="79"/>
      <c r="E139" s="79"/>
      <c r="F139" s="79"/>
      <c r="G139" s="79"/>
      <c r="H139" s="75"/>
      <c r="I139" s="79"/>
    </row>
    <row r="140" spans="1:9">
      <c r="A140" s="419"/>
      <c r="B140" s="79"/>
      <c r="C140" s="79"/>
      <c r="D140" s="79"/>
      <c r="E140" s="79"/>
      <c r="F140" s="79"/>
      <c r="G140" s="79"/>
      <c r="H140" s="75"/>
      <c r="I140" s="79"/>
    </row>
    <row r="141" spans="1:9">
      <c r="A141" s="419"/>
      <c r="B141" s="79"/>
      <c r="C141" s="79"/>
      <c r="D141" s="79"/>
      <c r="E141" s="79"/>
      <c r="F141" s="79"/>
      <c r="G141" s="79"/>
      <c r="H141" s="75"/>
      <c r="I141" s="79"/>
    </row>
    <row r="142" spans="1:9">
      <c r="A142" s="419"/>
      <c r="B142" s="79"/>
      <c r="C142" s="79"/>
      <c r="D142" s="79"/>
      <c r="E142" s="79"/>
      <c r="F142" s="79"/>
      <c r="G142" s="79"/>
      <c r="H142" s="75"/>
      <c r="I142" s="79"/>
    </row>
    <row r="143" spans="1:9">
      <c r="A143" s="419"/>
      <c r="B143" s="79"/>
      <c r="C143" s="79"/>
      <c r="D143" s="79"/>
      <c r="E143" s="79"/>
      <c r="F143" s="79"/>
      <c r="G143" s="79"/>
      <c r="H143" s="75"/>
      <c r="I143" s="79"/>
    </row>
    <row r="144" spans="1:9">
      <c r="A144" s="419"/>
      <c r="B144" s="79"/>
      <c r="C144" s="79"/>
      <c r="D144" s="79"/>
      <c r="E144" s="79"/>
      <c r="F144" s="79"/>
      <c r="G144" s="79"/>
      <c r="H144" s="75"/>
      <c r="I144" s="79"/>
    </row>
    <row r="145" spans="1:9">
      <c r="A145" s="419"/>
      <c r="B145" s="79"/>
      <c r="C145" s="79"/>
      <c r="D145" s="79"/>
      <c r="E145" s="79"/>
      <c r="F145" s="79"/>
      <c r="G145" s="79"/>
      <c r="H145" s="75"/>
      <c r="I145" s="79"/>
    </row>
    <row r="146" spans="1:9">
      <c r="A146" s="419"/>
      <c r="B146" s="79"/>
      <c r="C146" s="79"/>
      <c r="D146" s="79"/>
      <c r="E146" s="79"/>
      <c r="F146" s="79"/>
      <c r="G146" s="79"/>
      <c r="H146" s="75"/>
      <c r="I146" s="79"/>
    </row>
    <row r="147" spans="1:9">
      <c r="A147" s="419"/>
      <c r="B147" s="79"/>
      <c r="C147" s="79"/>
      <c r="D147" s="79"/>
      <c r="E147" s="79"/>
      <c r="F147" s="79"/>
      <c r="G147" s="79"/>
      <c r="H147" s="75"/>
      <c r="I147" s="79"/>
    </row>
    <row r="148" spans="1:9">
      <c r="A148" s="419"/>
      <c r="B148" s="79"/>
      <c r="C148" s="79"/>
      <c r="D148" s="79"/>
      <c r="E148" s="79"/>
      <c r="F148" s="79"/>
      <c r="G148" s="79"/>
      <c r="H148" s="75"/>
      <c r="I148" s="79"/>
    </row>
    <row r="149" spans="1:9">
      <c r="A149" s="419"/>
      <c r="B149" s="79"/>
      <c r="C149" s="79"/>
      <c r="D149" s="79"/>
      <c r="E149" s="79"/>
      <c r="F149" s="79"/>
      <c r="G149" s="79"/>
      <c r="H149" s="75"/>
      <c r="I149" s="79"/>
    </row>
    <row r="150" spans="1:9">
      <c r="A150" s="419"/>
      <c r="B150" s="79"/>
      <c r="C150" s="79"/>
      <c r="D150" s="79"/>
      <c r="E150" s="79"/>
      <c r="F150" s="79"/>
      <c r="G150" s="79"/>
      <c r="H150" s="75"/>
      <c r="I150" s="79"/>
    </row>
    <row r="151" spans="1:9">
      <c r="A151" s="419"/>
      <c r="B151" s="79"/>
      <c r="C151" s="79"/>
      <c r="D151" s="79"/>
      <c r="E151" s="79"/>
      <c r="F151" s="79"/>
      <c r="G151" s="79"/>
      <c r="H151" s="75"/>
      <c r="I151" s="79"/>
    </row>
    <row r="152" spans="1:9">
      <c r="A152" s="419"/>
      <c r="B152" s="79"/>
      <c r="C152" s="79"/>
      <c r="D152" s="79"/>
      <c r="E152" s="79"/>
      <c r="F152" s="79"/>
      <c r="G152" s="79"/>
      <c r="H152" s="75"/>
      <c r="I152" s="79"/>
    </row>
    <row r="153" spans="1:9">
      <c r="A153" s="419"/>
      <c r="B153" s="79"/>
      <c r="C153" s="79"/>
      <c r="D153" s="79"/>
      <c r="E153" s="79"/>
      <c r="F153" s="79"/>
      <c r="G153" s="79"/>
      <c r="H153" s="75"/>
      <c r="I153" s="79"/>
    </row>
    <row r="154" spans="1:9">
      <c r="A154" s="419"/>
      <c r="B154" s="79"/>
      <c r="C154" s="79"/>
      <c r="D154" s="79"/>
      <c r="E154" s="79"/>
      <c r="F154" s="79"/>
      <c r="G154" s="79"/>
      <c r="H154" s="75"/>
      <c r="I154" s="79"/>
    </row>
    <row r="155" spans="1:9">
      <c r="A155" s="419"/>
      <c r="B155" s="79"/>
      <c r="C155" s="79"/>
      <c r="D155" s="79"/>
      <c r="E155" s="79"/>
      <c r="F155" s="79"/>
      <c r="G155" s="79"/>
      <c r="H155" s="75"/>
      <c r="I155" s="79"/>
    </row>
    <row r="156" spans="1:9">
      <c r="A156" s="419"/>
      <c r="B156" s="79"/>
      <c r="C156" s="79"/>
      <c r="D156" s="79"/>
      <c r="E156" s="79"/>
      <c r="F156" s="79"/>
      <c r="G156" s="79"/>
      <c r="H156" s="75"/>
      <c r="I156" s="79"/>
    </row>
    <row r="157" spans="1:9">
      <c r="A157" s="419"/>
      <c r="B157" s="79"/>
      <c r="C157" s="79"/>
      <c r="D157" s="79"/>
      <c r="E157" s="79"/>
      <c r="F157" s="79"/>
      <c r="G157" s="79"/>
      <c r="H157" s="75"/>
      <c r="I157" s="79"/>
    </row>
    <row r="158" spans="1:9">
      <c r="A158" s="419"/>
      <c r="B158" s="79"/>
      <c r="C158" s="79"/>
      <c r="D158" s="79"/>
      <c r="E158" s="79"/>
      <c r="F158" s="79"/>
      <c r="G158" s="79"/>
      <c r="H158" s="75"/>
      <c r="I158" s="79"/>
    </row>
    <row r="159" spans="1:9">
      <c r="A159" s="419"/>
      <c r="B159" s="79"/>
      <c r="C159" s="79"/>
      <c r="D159" s="79"/>
      <c r="E159" s="79"/>
      <c r="F159" s="79"/>
      <c r="G159" s="79"/>
      <c r="H159" s="75"/>
      <c r="I159" s="79"/>
    </row>
    <row r="160" spans="1:9">
      <c r="A160" s="419"/>
      <c r="B160" s="79"/>
      <c r="C160" s="79"/>
      <c r="D160" s="79"/>
      <c r="E160" s="79"/>
      <c r="F160" s="79"/>
      <c r="G160" s="79"/>
      <c r="H160" s="75"/>
      <c r="I160" s="79"/>
    </row>
    <row r="161" spans="1:9">
      <c r="A161" s="419"/>
      <c r="B161" s="79"/>
      <c r="C161" s="79"/>
      <c r="D161" s="79"/>
      <c r="E161" s="79"/>
      <c r="F161" s="79"/>
      <c r="G161" s="79"/>
      <c r="H161" s="75"/>
      <c r="I161" s="79"/>
    </row>
    <row r="162" spans="1:9">
      <c r="A162" s="419"/>
      <c r="B162" s="79"/>
      <c r="C162" s="79"/>
      <c r="D162" s="79"/>
      <c r="E162" s="79"/>
      <c r="F162" s="79"/>
      <c r="G162" s="79"/>
      <c r="H162" s="75"/>
      <c r="I162" s="79"/>
    </row>
    <row r="163" spans="1:9">
      <c r="A163" s="419"/>
      <c r="B163" s="79"/>
      <c r="C163" s="79"/>
      <c r="D163" s="79"/>
      <c r="E163" s="79"/>
      <c r="F163" s="79"/>
      <c r="G163" s="79"/>
      <c r="H163" s="75"/>
      <c r="I163" s="79"/>
    </row>
    <row r="164" spans="1:9">
      <c r="A164" s="419"/>
      <c r="B164" s="79"/>
      <c r="C164" s="79"/>
      <c r="D164" s="79"/>
      <c r="E164" s="79"/>
      <c r="F164" s="79"/>
      <c r="G164" s="79"/>
      <c r="H164" s="75"/>
      <c r="I164" s="79"/>
    </row>
    <row r="165" spans="1:9">
      <c r="A165" s="419"/>
      <c r="B165" s="79"/>
      <c r="C165" s="79"/>
      <c r="D165" s="79"/>
      <c r="E165" s="79"/>
      <c r="F165" s="79"/>
      <c r="G165" s="79"/>
      <c r="H165" s="75"/>
      <c r="I165" s="79"/>
    </row>
    <row r="166" spans="1:9">
      <c r="A166" s="419"/>
      <c r="B166" s="79"/>
      <c r="C166" s="79"/>
      <c r="D166" s="79"/>
      <c r="E166" s="79"/>
      <c r="F166" s="79"/>
      <c r="G166" s="79"/>
      <c r="H166" s="75"/>
      <c r="I166" s="79"/>
    </row>
    <row r="167" spans="1:9">
      <c r="A167" s="419"/>
      <c r="B167" s="79"/>
      <c r="C167" s="79"/>
      <c r="D167" s="79"/>
      <c r="E167" s="79"/>
      <c r="F167" s="79"/>
      <c r="G167" s="79"/>
      <c r="H167" s="75"/>
      <c r="I167" s="79"/>
    </row>
    <row r="168" spans="1:9">
      <c r="A168" s="419"/>
      <c r="B168" s="79"/>
      <c r="C168" s="79"/>
      <c r="D168" s="79"/>
      <c r="E168" s="79"/>
      <c r="F168" s="79"/>
      <c r="G168" s="79"/>
      <c r="H168" s="75"/>
      <c r="I168" s="79"/>
    </row>
    <row r="169" spans="1:9">
      <c r="A169" s="419"/>
      <c r="B169" s="79"/>
      <c r="C169" s="79"/>
      <c r="D169" s="79"/>
      <c r="E169" s="79"/>
      <c r="F169" s="79"/>
      <c r="G169" s="79"/>
      <c r="H169" s="75"/>
      <c r="I169" s="79"/>
    </row>
    <row r="170" spans="1:9">
      <c r="A170" s="419"/>
      <c r="B170" s="79"/>
      <c r="C170" s="79"/>
      <c r="D170" s="79"/>
      <c r="E170" s="79"/>
      <c r="F170" s="79"/>
      <c r="G170" s="79"/>
      <c r="H170" s="75"/>
      <c r="I170" s="79"/>
    </row>
    <row r="171" spans="1:9">
      <c r="A171" s="419"/>
      <c r="B171" s="79"/>
      <c r="C171" s="79"/>
      <c r="D171" s="79"/>
      <c r="E171" s="79"/>
      <c r="F171" s="79"/>
      <c r="G171" s="79"/>
      <c r="H171" s="75"/>
      <c r="I171" s="79"/>
    </row>
    <row r="172" spans="1:9">
      <c r="A172" s="419"/>
      <c r="B172" s="79"/>
      <c r="C172" s="79"/>
      <c r="D172" s="79"/>
      <c r="E172" s="79"/>
      <c r="F172" s="79"/>
      <c r="G172" s="79"/>
      <c r="H172" s="75"/>
      <c r="I172" s="79"/>
    </row>
    <row r="173" spans="1:9">
      <c r="A173" s="419"/>
      <c r="B173" s="79"/>
      <c r="C173" s="79"/>
      <c r="D173" s="79"/>
      <c r="E173" s="79"/>
      <c r="F173" s="79"/>
      <c r="G173" s="79"/>
      <c r="H173" s="75"/>
      <c r="I173" s="79"/>
    </row>
    <row r="174" spans="1:9">
      <c r="A174" s="419"/>
      <c r="B174" s="79"/>
      <c r="C174" s="79"/>
      <c r="D174" s="79"/>
      <c r="E174" s="79"/>
      <c r="F174" s="79"/>
      <c r="G174" s="79"/>
      <c r="H174" s="75"/>
      <c r="I174" s="79"/>
    </row>
    <row r="175" spans="1:9">
      <c r="A175" s="419"/>
      <c r="B175" s="79"/>
      <c r="C175" s="79"/>
      <c r="D175" s="79"/>
      <c r="E175" s="79"/>
      <c r="F175" s="79"/>
      <c r="G175" s="79"/>
      <c r="H175" s="75"/>
      <c r="I175" s="79"/>
    </row>
    <row r="176" spans="1:9">
      <c r="A176" s="419"/>
      <c r="B176" s="79"/>
      <c r="C176" s="79"/>
      <c r="D176" s="79"/>
      <c r="E176" s="79"/>
      <c r="F176" s="79"/>
      <c r="G176" s="79"/>
      <c r="H176" s="75"/>
      <c r="I176" s="79"/>
    </row>
    <row r="177" spans="1:9">
      <c r="A177" s="419"/>
      <c r="B177" s="79"/>
      <c r="C177" s="79"/>
      <c r="D177" s="79"/>
      <c r="E177" s="79"/>
      <c r="F177" s="79"/>
      <c r="G177" s="79"/>
      <c r="H177" s="75"/>
      <c r="I177" s="79"/>
    </row>
    <row r="178" spans="1:9">
      <c r="A178" s="419"/>
      <c r="B178" s="79"/>
      <c r="C178" s="79"/>
      <c r="D178" s="79"/>
      <c r="E178" s="79"/>
      <c r="F178" s="79"/>
      <c r="G178" s="79"/>
      <c r="H178" s="75"/>
      <c r="I178" s="79"/>
    </row>
    <row r="179" spans="1:9">
      <c r="A179" s="419"/>
      <c r="B179" s="79"/>
      <c r="C179" s="79"/>
      <c r="D179" s="79"/>
      <c r="E179" s="79"/>
      <c r="F179" s="79"/>
      <c r="G179" s="79"/>
      <c r="H179" s="75"/>
      <c r="I179" s="79"/>
    </row>
    <row r="180" spans="1:9">
      <c r="A180" s="419"/>
      <c r="B180" s="79"/>
      <c r="C180" s="79"/>
      <c r="D180" s="79"/>
      <c r="E180" s="79"/>
      <c r="F180" s="79"/>
      <c r="G180" s="79"/>
      <c r="H180" s="75"/>
      <c r="I180" s="79"/>
    </row>
    <row r="181" spans="1:9">
      <c r="A181" s="419"/>
      <c r="B181" s="79"/>
      <c r="C181" s="79"/>
      <c r="D181" s="79"/>
      <c r="E181" s="79"/>
      <c r="F181" s="79"/>
      <c r="G181" s="79"/>
      <c r="H181" s="75"/>
      <c r="I181" s="79"/>
    </row>
    <row r="182" spans="1:9">
      <c r="A182" s="419"/>
      <c r="B182" s="79"/>
      <c r="C182" s="79"/>
      <c r="D182" s="79"/>
      <c r="E182" s="79"/>
      <c r="F182" s="79"/>
      <c r="G182" s="79"/>
      <c r="H182" s="75"/>
      <c r="I182" s="79"/>
    </row>
    <row r="183" spans="1:9">
      <c r="A183" s="419"/>
      <c r="B183" s="79"/>
      <c r="C183" s="79"/>
      <c r="D183" s="79"/>
      <c r="E183" s="79"/>
      <c r="F183" s="79"/>
      <c r="G183" s="79"/>
      <c r="H183" s="75"/>
      <c r="I183" s="79"/>
    </row>
    <row r="184" spans="1:9">
      <c r="A184" s="419"/>
      <c r="B184" s="79"/>
      <c r="C184" s="79"/>
      <c r="D184" s="79"/>
      <c r="E184" s="79"/>
      <c r="F184" s="79"/>
      <c r="G184" s="79"/>
      <c r="H184" s="75"/>
      <c r="I184" s="79"/>
    </row>
    <row r="185" spans="1:9">
      <c r="A185" s="419"/>
      <c r="B185" s="79"/>
      <c r="C185" s="79"/>
      <c r="D185" s="79"/>
      <c r="E185" s="79"/>
      <c r="F185" s="79"/>
      <c r="G185" s="79"/>
      <c r="H185" s="75"/>
      <c r="I185" s="79"/>
    </row>
    <row r="186" spans="1:9">
      <c r="A186" s="419"/>
      <c r="B186" s="79"/>
      <c r="C186" s="79"/>
      <c r="D186" s="79"/>
      <c r="E186" s="79"/>
      <c r="F186" s="79"/>
      <c r="G186" s="79"/>
      <c r="H186" s="75"/>
      <c r="I186" s="79"/>
    </row>
    <row r="187" spans="1:9">
      <c r="A187" s="419"/>
      <c r="B187" s="79"/>
      <c r="C187" s="79"/>
      <c r="D187" s="79"/>
      <c r="E187" s="79"/>
      <c r="F187" s="79"/>
      <c r="G187" s="79"/>
      <c r="H187" s="75"/>
      <c r="I187" s="79"/>
    </row>
    <row r="188" spans="1:9">
      <c r="A188" s="419"/>
      <c r="B188" s="79"/>
      <c r="C188" s="79"/>
      <c r="D188" s="79"/>
      <c r="E188" s="79"/>
      <c r="F188" s="79"/>
      <c r="G188" s="79"/>
      <c r="H188" s="75"/>
      <c r="I188" s="79"/>
    </row>
    <row r="189" spans="1:9">
      <c r="A189" s="419"/>
      <c r="B189" s="79"/>
      <c r="C189" s="79"/>
      <c r="D189" s="79"/>
      <c r="E189" s="79"/>
      <c r="F189" s="79"/>
      <c r="G189" s="79"/>
      <c r="H189" s="75"/>
      <c r="I189" s="79"/>
    </row>
    <row r="190" spans="1:9">
      <c r="A190" s="419"/>
      <c r="B190" s="79"/>
      <c r="C190" s="79"/>
      <c r="D190" s="79"/>
      <c r="E190" s="79"/>
      <c r="F190" s="79"/>
      <c r="G190" s="79"/>
      <c r="H190" s="75"/>
      <c r="I190" s="79"/>
    </row>
    <row r="191" spans="1:9">
      <c r="A191" s="419"/>
      <c r="B191" s="79"/>
      <c r="C191" s="79"/>
      <c r="D191" s="79"/>
      <c r="E191" s="79"/>
      <c r="F191" s="79"/>
      <c r="G191" s="79"/>
      <c r="H191" s="75"/>
      <c r="I191" s="79"/>
    </row>
    <row r="192" spans="1:9">
      <c r="A192" s="419"/>
      <c r="B192" s="79"/>
      <c r="C192" s="79"/>
      <c r="D192" s="79"/>
      <c r="E192" s="79"/>
      <c r="F192" s="79"/>
      <c r="G192" s="79"/>
      <c r="H192" s="75"/>
      <c r="I192" s="79"/>
    </row>
    <row r="193" spans="1:9">
      <c r="A193" s="419"/>
      <c r="B193" s="79"/>
      <c r="C193" s="79"/>
      <c r="D193" s="79"/>
      <c r="E193" s="79"/>
      <c r="F193" s="79"/>
      <c r="G193" s="79"/>
      <c r="H193" s="75"/>
      <c r="I193" s="79"/>
    </row>
    <row r="194" spans="1:9">
      <c r="A194" s="419"/>
      <c r="B194" s="79"/>
      <c r="C194" s="79"/>
      <c r="D194" s="79"/>
      <c r="E194" s="79"/>
      <c r="F194" s="79"/>
      <c r="G194" s="79"/>
      <c r="H194" s="75"/>
      <c r="I194" s="79"/>
    </row>
    <row r="195" spans="1:9">
      <c r="A195" s="419"/>
      <c r="B195" s="79"/>
      <c r="C195" s="79"/>
      <c r="D195" s="79"/>
      <c r="E195" s="79"/>
      <c r="F195" s="79"/>
      <c r="G195" s="79"/>
      <c r="H195" s="75"/>
      <c r="I195" s="79"/>
    </row>
    <row r="196" spans="1:9">
      <c r="A196" s="419"/>
      <c r="B196" s="79"/>
      <c r="C196" s="79"/>
      <c r="D196" s="79"/>
      <c r="E196" s="79"/>
      <c r="F196" s="79"/>
      <c r="G196" s="79"/>
      <c r="H196" s="75"/>
      <c r="I196" s="79"/>
    </row>
    <row r="197" spans="1:9">
      <c r="A197" s="419"/>
      <c r="B197" s="79"/>
      <c r="C197" s="79"/>
      <c r="D197" s="79"/>
      <c r="E197" s="79"/>
      <c r="F197" s="79"/>
      <c r="G197" s="79"/>
      <c r="H197" s="75"/>
      <c r="I197" s="79"/>
    </row>
    <row r="198" spans="1:9">
      <c r="A198" s="419"/>
      <c r="B198" s="79"/>
      <c r="C198" s="79"/>
      <c r="D198" s="79"/>
      <c r="E198" s="79"/>
      <c r="F198" s="79"/>
      <c r="G198" s="79"/>
      <c r="H198" s="75"/>
      <c r="I198" s="79"/>
    </row>
    <row r="199" spans="1:9">
      <c r="A199" s="419"/>
      <c r="B199" s="79"/>
      <c r="C199" s="79"/>
      <c r="D199" s="79"/>
      <c r="E199" s="79"/>
      <c r="F199" s="79"/>
      <c r="G199" s="79"/>
      <c r="H199" s="75"/>
      <c r="I199" s="79"/>
    </row>
    <row r="200" spans="1:9">
      <c r="A200" s="419"/>
      <c r="B200" s="79"/>
      <c r="C200" s="79"/>
      <c r="D200" s="79"/>
      <c r="E200" s="79"/>
      <c r="F200" s="79"/>
      <c r="G200" s="79"/>
      <c r="H200" s="75"/>
      <c r="I200" s="79"/>
    </row>
    <row r="201" spans="1:9">
      <c r="A201" s="419"/>
      <c r="B201" s="79"/>
      <c r="C201" s="79"/>
      <c r="D201" s="79"/>
      <c r="E201" s="79"/>
      <c r="F201" s="79"/>
      <c r="G201" s="79"/>
      <c r="H201" s="75"/>
      <c r="I201" s="79"/>
    </row>
  </sheetData>
  <mergeCells count="1">
    <mergeCell ref="A1:H1"/>
  </mergeCells>
  <pageMargins left="0.7" right="0.7" top="0.75" bottom="0.75" header="0.3" footer="0.3"/>
  <pageSetup paperSize="9" orientation="portrait"/>
  <headerFooter/>
  <ignoredErrors>
    <ignoredError sqref="H8:H14 H26:H27 H39 F8 F33 F2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showGridLines="0" workbookViewId="0">
      <selection activeCell="L12" sqref="L12"/>
    </sheetView>
  </sheetViews>
  <sheetFormatPr defaultColWidth="8.91666666666667" defaultRowHeight="16.5"/>
  <cols>
    <col min="1" max="1" width="8.91666666666667" style="11" customWidth="1"/>
    <col min="2" max="6" width="10.5833333333333" style="11" customWidth="1"/>
    <col min="7" max="7" width="15.125" style="11" customWidth="1"/>
    <col min="8" max="13" width="10.5833333333333" style="11" customWidth="1"/>
    <col min="14" max="14" width="16.375" style="11" customWidth="1"/>
    <col min="15" max="16" width="10.5833333333333" style="11" customWidth="1"/>
    <col min="17" max="17" width="10.5833333333333" style="142" customWidth="1"/>
    <col min="18" max="18" width="10.5833333333333" style="11" customWidth="1"/>
    <col min="19" max="16384" width="8.91666666666667" style="11"/>
  </cols>
  <sheetData>
    <row r="1" ht="16" customHeight="1" spans="1:18">
      <c r="A1" s="368" t="s">
        <v>142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ht="16" customHeight="1" spans="1:18">
      <c r="A2" s="369"/>
      <c r="B2" s="369"/>
      <c r="C2" s="369"/>
      <c r="D2" s="369"/>
      <c r="E2" s="369"/>
      <c r="F2" s="370"/>
      <c r="G2" s="369"/>
      <c r="H2" s="371"/>
      <c r="I2" s="319"/>
      <c r="P2" s="371" t="s">
        <v>43</v>
      </c>
    </row>
    <row r="3" ht="19" customHeight="1" spans="1:18">
      <c r="A3" s="154" t="s">
        <v>143</v>
      </c>
      <c r="B3" s="154" t="s">
        <v>144</v>
      </c>
      <c r="C3" s="154"/>
      <c r="D3" s="154"/>
      <c r="E3" s="154"/>
      <c r="F3" s="154"/>
      <c r="G3" s="154"/>
      <c r="H3" s="154"/>
      <c r="I3" s="154" t="s">
        <v>145</v>
      </c>
      <c r="J3" s="154"/>
      <c r="K3" s="154"/>
      <c r="L3" s="154"/>
      <c r="M3" s="154"/>
      <c r="N3" s="154"/>
      <c r="O3" s="154"/>
      <c r="P3" s="372" t="s">
        <v>146</v>
      </c>
      <c r="Q3" s="151" t="s">
        <v>147</v>
      </c>
      <c r="R3" s="372" t="s">
        <v>148</v>
      </c>
    </row>
    <row r="4" ht="30" customHeight="1" spans="1:18">
      <c r="A4" s="154"/>
      <c r="B4" s="98" t="s">
        <v>46</v>
      </c>
      <c r="C4" s="98" t="s">
        <v>47</v>
      </c>
      <c r="D4" s="98" t="s">
        <v>48</v>
      </c>
      <c r="E4" s="98" t="s">
        <v>49</v>
      </c>
      <c r="F4" s="373" t="s">
        <v>50</v>
      </c>
      <c r="G4" s="357" t="s">
        <v>45</v>
      </c>
      <c r="H4" s="151" t="s">
        <v>51</v>
      </c>
      <c r="I4" s="98" t="s">
        <v>46</v>
      </c>
      <c r="J4" s="98" t="s">
        <v>47</v>
      </c>
      <c r="K4" s="98" t="s">
        <v>48</v>
      </c>
      <c r="L4" s="98" t="s">
        <v>49</v>
      </c>
      <c r="M4" s="373" t="s">
        <v>50</v>
      </c>
      <c r="N4" s="357" t="s">
        <v>45</v>
      </c>
      <c r="O4" s="151" t="s">
        <v>51</v>
      </c>
      <c r="P4" s="372"/>
      <c r="Q4" s="151"/>
      <c r="R4" s="372"/>
    </row>
    <row r="5" ht="16" customHeight="1" spans="1:18">
      <c r="A5" s="333" t="s">
        <v>149</v>
      </c>
      <c r="B5" s="374">
        <f t="shared" ref="B5:E6" si="0">J17</f>
        <v>0</v>
      </c>
      <c r="C5" s="374">
        <f t="shared" si="0"/>
        <v>0</v>
      </c>
      <c r="D5" s="374">
        <f t="shared" si="0"/>
        <v>0</v>
      </c>
      <c r="E5" s="374">
        <f>M17</f>
        <v>0</v>
      </c>
      <c r="F5" s="375">
        <f t="shared" ref="F5:F10" si="1">SUM(B5:E5)</f>
        <v>0</v>
      </c>
      <c r="G5" s="181">
        <v>26.423093</v>
      </c>
      <c r="H5" s="284">
        <f t="shared" ref="H5:H10" si="2">IFERROR(F5/G5-1,"")</f>
        <v>-1</v>
      </c>
      <c r="I5" s="374">
        <f>产品成本!K4</f>
        <v>0</v>
      </c>
      <c r="J5" s="374">
        <f>产品成本!P4</f>
        <v>0</v>
      </c>
      <c r="K5" s="376">
        <f>产品成本!U4</f>
        <v>0</v>
      </c>
      <c r="L5" s="376">
        <f>产品成本!Z4</f>
        <v>0</v>
      </c>
      <c r="M5" s="375">
        <f t="shared" ref="M5:M10" si="3">SUM(I5:L5)</f>
        <v>0</v>
      </c>
      <c r="N5" s="181"/>
      <c r="O5" s="284" t="str">
        <f t="shared" ref="O5:O10" si="4">IFERROR(M5/N5-1,"")</f>
        <v/>
      </c>
      <c r="P5" s="185" t="e">
        <f>1-M5/F5</f>
        <v>#DIV/0!</v>
      </c>
      <c r="Q5" s="89" t="s">
        <v>150</v>
      </c>
      <c r="R5" s="185">
        <f>1-N5/G5</f>
        <v>1</v>
      </c>
    </row>
    <row r="6" ht="16" customHeight="1" spans="1:18">
      <c r="A6" s="342" t="s">
        <v>151</v>
      </c>
      <c r="B6" s="374">
        <f t="shared" si="0"/>
        <v>0</v>
      </c>
      <c r="C6" s="374">
        <f t="shared" si="0"/>
        <v>0</v>
      </c>
      <c r="D6" s="374">
        <f t="shared" si="0"/>
        <v>0</v>
      </c>
      <c r="E6" s="374">
        <f t="shared" si="0"/>
        <v>0</v>
      </c>
      <c r="F6" s="375">
        <f t="shared" si="1"/>
        <v>0</v>
      </c>
      <c r="G6" s="181">
        <v>151.648663</v>
      </c>
      <c r="H6" s="284">
        <f t="shared" si="2"/>
        <v>-1</v>
      </c>
      <c r="I6" s="374">
        <f>产品成本!K5</f>
        <v>0</v>
      </c>
      <c r="J6" s="374">
        <f>产品成本!P5</f>
        <v>0</v>
      </c>
      <c r="K6" s="376">
        <f>产品成本!U5</f>
        <v>0</v>
      </c>
      <c r="L6" s="376">
        <f>产品成本!Z5</f>
        <v>0</v>
      </c>
      <c r="M6" s="375">
        <f t="shared" si="3"/>
        <v>0</v>
      </c>
      <c r="N6" s="181"/>
      <c r="O6" s="284" t="str">
        <f t="shared" si="4"/>
        <v/>
      </c>
      <c r="P6" s="185" t="e">
        <f>1-M6/F6</f>
        <v>#DIV/0!</v>
      </c>
      <c r="Q6" s="89" t="s">
        <v>150</v>
      </c>
      <c r="R6" s="185">
        <f>1-N6/G6</f>
        <v>1</v>
      </c>
    </row>
    <row r="7" ht="16" customHeight="1" spans="1:18">
      <c r="A7" s="342" t="s">
        <v>152</v>
      </c>
      <c r="B7" s="377"/>
      <c r="C7" s="377"/>
      <c r="D7" s="163"/>
      <c r="E7" s="163"/>
      <c r="F7" s="375">
        <f t="shared" si="1"/>
        <v>0</v>
      </c>
      <c r="G7" s="181">
        <v>7.075471</v>
      </c>
      <c r="H7" s="284">
        <f t="shared" si="2"/>
        <v>-1</v>
      </c>
      <c r="I7" s="377"/>
      <c r="J7" s="377"/>
      <c r="K7" s="163"/>
      <c r="L7" s="163"/>
      <c r="M7" s="375">
        <f t="shared" si="3"/>
        <v>0</v>
      </c>
      <c r="N7" s="172"/>
      <c r="O7" s="284" t="str">
        <f t="shared" si="4"/>
        <v/>
      </c>
      <c r="P7" s="185"/>
      <c r="Q7" s="89"/>
      <c r="R7" s="185"/>
    </row>
    <row r="8" ht="16" customHeight="1" spans="1:18">
      <c r="A8" s="377"/>
      <c r="B8" s="377"/>
      <c r="C8" s="377"/>
      <c r="D8" s="163"/>
      <c r="E8" s="163"/>
      <c r="F8" s="375">
        <f t="shared" si="1"/>
        <v>0</v>
      </c>
      <c r="G8" s="172"/>
      <c r="H8" s="284" t="str">
        <f t="shared" si="2"/>
        <v/>
      </c>
      <c r="I8" s="377"/>
      <c r="J8" s="377"/>
      <c r="K8" s="163"/>
      <c r="L8" s="163"/>
      <c r="M8" s="375">
        <f t="shared" si="3"/>
        <v>0</v>
      </c>
      <c r="N8" s="172"/>
      <c r="O8" s="284" t="str">
        <f t="shared" si="4"/>
        <v/>
      </c>
      <c r="P8" s="185"/>
      <c r="Q8" s="89"/>
      <c r="R8" s="185"/>
    </row>
    <row r="9" ht="16" customHeight="1" spans="1:18">
      <c r="A9" s="377"/>
      <c r="B9" s="377"/>
      <c r="C9" s="377"/>
      <c r="D9" s="163"/>
      <c r="E9" s="163"/>
      <c r="F9" s="375">
        <f t="shared" si="1"/>
        <v>0</v>
      </c>
      <c r="G9" s="172"/>
      <c r="H9" s="284" t="str">
        <f t="shared" si="2"/>
        <v/>
      </c>
      <c r="I9" s="377"/>
      <c r="J9" s="377"/>
      <c r="K9" s="163"/>
      <c r="L9" s="163"/>
      <c r="M9" s="375">
        <f t="shared" si="3"/>
        <v>0</v>
      </c>
      <c r="N9" s="172"/>
      <c r="O9" s="284" t="str">
        <f t="shared" si="4"/>
        <v/>
      </c>
      <c r="P9" s="185"/>
      <c r="Q9" s="89"/>
      <c r="R9" s="185"/>
    </row>
    <row r="10" ht="16" customHeight="1" spans="1:18">
      <c r="A10" s="377" t="s">
        <v>153</v>
      </c>
      <c r="B10" s="374">
        <f>SUM(B5:B9)</f>
        <v>0</v>
      </c>
      <c r="C10" s="374">
        <f>SUM(C5:C9)</f>
        <v>0</v>
      </c>
      <c r="D10" s="374">
        <f>SUM(D5:D9)</f>
        <v>0</v>
      </c>
      <c r="E10" s="374">
        <f>SUM(E5:E9)</f>
        <v>0</v>
      </c>
      <c r="F10" s="375">
        <f t="shared" si="1"/>
        <v>0</v>
      </c>
      <c r="G10" s="374">
        <f>SUM(G5:G9)</f>
        <v>185.147227</v>
      </c>
      <c r="H10" s="284">
        <f t="shared" si="2"/>
        <v>-1</v>
      </c>
      <c r="I10" s="374">
        <f>SUM(I5:I9)</f>
        <v>0</v>
      </c>
      <c r="J10" s="374">
        <f>SUM(J5:J9)</f>
        <v>0</v>
      </c>
      <c r="K10" s="374">
        <f>SUM(K5:K9)</f>
        <v>0</v>
      </c>
      <c r="L10" s="374">
        <f>SUM(L5:L9)</f>
        <v>0</v>
      </c>
      <c r="M10" s="375">
        <f t="shared" si="3"/>
        <v>0</v>
      </c>
      <c r="N10" s="374">
        <f>SUM(N5:N9)</f>
        <v>0</v>
      </c>
      <c r="O10" s="284" t="str">
        <f t="shared" si="4"/>
        <v/>
      </c>
      <c r="P10" s="185" t="e">
        <f>1-M10/F10</f>
        <v>#DIV/0!</v>
      </c>
      <c r="Q10" s="89"/>
      <c r="R10" s="185"/>
    </row>
    <row r="11" ht="21" customHeight="1" spans="1:18">
      <c r="F11" s="378"/>
    </row>
    <row r="12" ht="21" customHeight="1" spans="1:18">
      <c r="F12" s="378"/>
    </row>
    <row r="13" ht="21" customHeight="1" spans="1:18">
      <c r="F13" s="378"/>
    </row>
    <row r="14" ht="21" customHeight="1" spans="1:18">
      <c r="A14" s="379"/>
      <c r="B14" s="379"/>
      <c r="C14" s="379"/>
      <c r="D14" s="379"/>
      <c r="E14" s="380"/>
      <c r="F14" s="380"/>
      <c r="G14" s="380"/>
      <c r="H14" s="380"/>
      <c r="I14" s="380"/>
      <c r="J14" s="380"/>
      <c r="K14" s="380"/>
      <c r="L14" s="380"/>
      <c r="M14" s="95" t="s">
        <v>43</v>
      </c>
    </row>
    <row r="15" ht="21" customHeight="1" spans="1:18">
      <c r="A15" s="381" t="s">
        <v>154</v>
      </c>
      <c r="B15" s="381" t="s">
        <v>155</v>
      </c>
      <c r="C15" s="382" t="s">
        <v>156</v>
      </c>
      <c r="D15" s="383" t="s">
        <v>157</v>
      </c>
      <c r="E15" s="384"/>
      <c r="F15" s="384"/>
      <c r="G15" s="384"/>
      <c r="H15" s="385"/>
      <c r="I15" s="386" t="s">
        <v>158</v>
      </c>
      <c r="J15" s="387"/>
      <c r="K15" s="387"/>
      <c r="L15" s="387"/>
      <c r="M15" s="388"/>
    </row>
    <row r="16" ht="21" customHeight="1" spans="1:18">
      <c r="A16" s="381"/>
      <c r="B16" s="381"/>
      <c r="C16" s="389"/>
      <c r="D16" s="390" t="s">
        <v>159</v>
      </c>
      <c r="E16" s="390" t="s">
        <v>46</v>
      </c>
      <c r="F16" s="390" t="s">
        <v>47</v>
      </c>
      <c r="G16" s="390" t="s">
        <v>48</v>
      </c>
      <c r="H16" s="390" t="s">
        <v>49</v>
      </c>
      <c r="I16" s="381" t="s">
        <v>159</v>
      </c>
      <c r="J16" s="381" t="s">
        <v>46</v>
      </c>
      <c r="K16" s="381" t="s">
        <v>47</v>
      </c>
      <c r="L16" s="381" t="s">
        <v>48</v>
      </c>
      <c r="M16" s="381" t="s">
        <v>49</v>
      </c>
    </row>
    <row r="17" ht="21" customHeight="1" spans="1:14">
      <c r="A17" s="342" t="s">
        <v>149</v>
      </c>
      <c r="B17" s="391"/>
      <c r="C17" s="340"/>
      <c r="D17" s="340">
        <f>SUM(E17:H17)</f>
        <v>0</v>
      </c>
      <c r="E17" s="340"/>
      <c r="F17" s="340"/>
      <c r="G17" s="340"/>
      <c r="H17" s="340"/>
      <c r="I17" s="340">
        <f>SUM(J17:M17)</f>
        <v>0</v>
      </c>
      <c r="J17" s="340">
        <f>E17*$C17</f>
        <v>0</v>
      </c>
      <c r="K17" s="340">
        <f t="shared" ref="J17:M20" si="5">F17*$C17</f>
        <v>0</v>
      </c>
      <c r="L17" s="340">
        <f t="shared" si="5"/>
        <v>0</v>
      </c>
      <c r="M17" s="340">
        <f t="shared" si="5"/>
        <v>0</v>
      </c>
    </row>
    <row r="18" ht="21" customHeight="1" spans="1:14">
      <c r="A18" s="342" t="s">
        <v>151</v>
      </c>
      <c r="B18" s="391"/>
      <c r="C18" s="340"/>
      <c r="D18" s="340">
        <f>SUM(E18:H18)</f>
        <v>0</v>
      </c>
      <c r="E18" s="340"/>
      <c r="F18" s="340"/>
      <c r="G18" s="340"/>
      <c r="H18" s="340"/>
      <c r="I18" s="340">
        <f>SUM(J18:M18)</f>
        <v>0</v>
      </c>
      <c r="J18" s="340">
        <f t="shared" si="5"/>
        <v>0</v>
      </c>
      <c r="K18" s="340">
        <f t="shared" si="5"/>
        <v>0</v>
      </c>
      <c r="L18" s="340">
        <f t="shared" si="5"/>
        <v>0</v>
      </c>
      <c r="M18" s="340">
        <f t="shared" si="5"/>
        <v>0</v>
      </c>
    </row>
    <row r="19" ht="21" customHeight="1" spans="1:14">
      <c r="A19" s="391"/>
      <c r="B19" s="391"/>
      <c r="C19" s="340"/>
      <c r="D19" s="340">
        <f>SUM(E19:H19)</f>
        <v>0</v>
      </c>
      <c r="E19" s="340"/>
      <c r="F19" s="340"/>
      <c r="G19" s="340"/>
      <c r="H19" s="340"/>
      <c r="I19" s="340">
        <f>SUM(J19:M19)</f>
        <v>0</v>
      </c>
      <c r="J19" s="340">
        <f t="shared" si="5"/>
        <v>0</v>
      </c>
      <c r="K19" s="340">
        <f t="shared" si="5"/>
        <v>0</v>
      </c>
      <c r="L19" s="340">
        <f t="shared" si="5"/>
        <v>0</v>
      </c>
      <c r="M19" s="340">
        <f t="shared" si="5"/>
        <v>0</v>
      </c>
    </row>
    <row r="20" ht="21" customHeight="1" spans="1:14">
      <c r="A20" s="391"/>
      <c r="B20" s="391"/>
      <c r="C20" s="340"/>
      <c r="D20" s="340">
        <f>SUM(E20:H20)</f>
        <v>0</v>
      </c>
      <c r="E20" s="340"/>
      <c r="F20" s="340"/>
      <c r="G20" s="340"/>
      <c r="H20" s="340"/>
      <c r="I20" s="340">
        <f>SUM(J20:M20)</f>
        <v>0</v>
      </c>
      <c r="J20" s="340">
        <f t="shared" si="5"/>
        <v>0</v>
      </c>
      <c r="K20" s="340">
        <f t="shared" si="5"/>
        <v>0</v>
      </c>
      <c r="L20" s="340">
        <f t="shared" si="5"/>
        <v>0</v>
      </c>
      <c r="M20" s="340">
        <f t="shared" si="5"/>
        <v>0</v>
      </c>
    </row>
    <row r="21" ht="21" customHeight="1" spans="1:14">
      <c r="A21" s="392" t="s">
        <v>153</v>
      </c>
      <c r="B21" s="392"/>
      <c r="C21" s="393"/>
      <c r="D21" s="340">
        <f t="shared" ref="D21:M21" si="6">SUM(D17:D20)</f>
        <v>0</v>
      </c>
      <c r="E21" s="340">
        <f t="shared" si="6"/>
        <v>0</v>
      </c>
      <c r="F21" s="340">
        <f t="shared" si="6"/>
        <v>0</v>
      </c>
      <c r="G21" s="340">
        <f t="shared" si="6"/>
        <v>0</v>
      </c>
      <c r="H21" s="340">
        <f t="shared" si="6"/>
        <v>0</v>
      </c>
      <c r="I21" s="393">
        <f t="shared" si="6"/>
        <v>0</v>
      </c>
      <c r="J21" s="393">
        <f t="shared" si="6"/>
        <v>0</v>
      </c>
      <c r="K21" s="393">
        <f t="shared" si="6"/>
        <v>0</v>
      </c>
      <c r="L21" s="393">
        <f t="shared" si="6"/>
        <v>0</v>
      </c>
      <c r="M21" s="393">
        <f t="shared" si="6"/>
        <v>0</v>
      </c>
    </row>
    <row r="22" ht="21" customHeight="1" spans="1:14">
      <c r="F22" s="378"/>
      <c r="J22" s="195"/>
      <c r="K22" s="195"/>
      <c r="L22" s="195"/>
      <c r="M22" s="195"/>
      <c r="N22" s="195"/>
    </row>
    <row r="23" ht="21" customHeight="1" spans="1:14">
      <c r="F23" s="378"/>
      <c r="J23" s="195"/>
      <c r="K23" s="195"/>
      <c r="L23" s="195"/>
      <c r="M23" s="195"/>
      <c r="N23" s="195"/>
    </row>
    <row r="24" ht="21" customHeight="1" spans="1:14">
      <c r="F24" s="378"/>
      <c r="H24" s="195"/>
      <c r="J24" s="195"/>
      <c r="K24" s="195"/>
      <c r="L24" s="195"/>
      <c r="M24" s="195"/>
      <c r="N24" s="195"/>
    </row>
    <row r="25" ht="21" customHeight="1" spans="1:14">
      <c r="F25" s="378"/>
    </row>
    <row r="26" ht="21" customHeight="1" spans="1:14">
      <c r="F26" s="378"/>
    </row>
    <row r="27" ht="21" customHeight="1" spans="1:14">
      <c r="F27" s="378"/>
    </row>
    <row r="28" ht="21" customHeight="1" spans="1:14">
      <c r="F28" s="378"/>
    </row>
    <row r="29" ht="21" customHeight="1" spans="1:14">
      <c r="F29" s="378"/>
    </row>
    <row r="30" ht="21" customHeight="1" spans="1:14">
      <c r="F30" s="378"/>
    </row>
    <row r="31" ht="21" customHeight="1" spans="1:14">
      <c r="F31" s="378"/>
    </row>
    <row r="32" ht="21" customHeight="1" spans="1:14">
      <c r="F32" s="378"/>
    </row>
    <row r="33" ht="21" customHeight="1" spans="6:6">
      <c r="F33" s="378"/>
    </row>
    <row r="34" ht="21" customHeight="1" spans="6:6">
      <c r="F34" s="378"/>
    </row>
    <row r="35" ht="21" customHeight="1" spans="6:6">
      <c r="F35" s="378"/>
    </row>
    <row r="36" ht="21" customHeight="1" spans="6:6">
      <c r="F36" s="378"/>
    </row>
    <row r="37" ht="21" customHeight="1" spans="6:6">
      <c r="F37" s="378"/>
    </row>
    <row r="38" ht="21" customHeight="1" spans="6:6">
      <c r="F38" s="378"/>
    </row>
    <row r="39" ht="21" customHeight="1" spans="6:6">
      <c r="F39" s="378"/>
    </row>
    <row r="40" ht="21" customHeight="1" spans="6:6">
      <c r="F40" s="378"/>
    </row>
    <row r="41" ht="21" customHeight="1" spans="6:6">
      <c r="F41" s="378"/>
    </row>
    <row r="42" ht="21" customHeight="1" spans="6:6">
      <c r="F42" s="378"/>
    </row>
    <row r="43" ht="21" customHeight="1" spans="6:6">
      <c r="F43" s="378"/>
    </row>
    <row r="44" ht="21" customHeight="1" spans="6:6">
      <c r="F44" s="378"/>
    </row>
    <row r="45" ht="21" customHeight="1" spans="6:6">
      <c r="F45" s="378"/>
    </row>
    <row r="46" ht="21" customHeight="1" spans="6:6">
      <c r="F46" s="378"/>
    </row>
    <row r="47" ht="21" customHeight="1" spans="6:6">
      <c r="F47" s="378"/>
    </row>
    <row r="48" ht="21" customHeight="1" spans="6:6">
      <c r="F48" s="378"/>
    </row>
    <row r="49" ht="21" customHeight="1" spans="6:6">
      <c r="F49" s="378"/>
    </row>
    <row r="50" ht="21" customHeight="1" spans="6:6">
      <c r="F50" s="378"/>
    </row>
    <row r="51" ht="21" customHeight="1" spans="6:6">
      <c r="F51" s="378"/>
    </row>
    <row r="52" ht="21" customHeight="1" spans="6:6">
      <c r="F52" s="378"/>
    </row>
    <row r="53" ht="21" customHeight="1" spans="6:6">
      <c r="F53" s="378"/>
    </row>
    <row r="54" ht="21" customHeight="1" spans="6:6">
      <c r="F54" s="378"/>
    </row>
    <row r="55" ht="21" customHeight="1" spans="6:6">
      <c r="F55" s="378"/>
    </row>
    <row r="56" ht="21" customHeight="1" spans="6:6">
      <c r="F56" s="378"/>
    </row>
    <row r="57" ht="21" customHeight="1" spans="6:6">
      <c r="F57" s="378"/>
    </row>
    <row r="58" ht="21" customHeight="1" spans="6:6">
      <c r="F58" s="378"/>
    </row>
    <row r="59" ht="21" customHeight="1" spans="6:6">
      <c r="F59" s="378"/>
    </row>
    <row r="60" ht="21" customHeight="1" spans="6:6">
      <c r="F60" s="378"/>
    </row>
    <row r="61" ht="21" customHeight="1" spans="6:6">
      <c r="F61" s="378"/>
    </row>
    <row r="62" ht="21" customHeight="1" spans="6:6">
      <c r="F62" s="378"/>
    </row>
    <row r="63" ht="21" customHeight="1" spans="6:6">
      <c r="F63" s="378"/>
    </row>
    <row r="64" ht="21" customHeight="1" spans="6:6">
      <c r="F64" s="378"/>
    </row>
    <row r="65" ht="21" customHeight="1" spans="6:6">
      <c r="F65" s="378"/>
    </row>
    <row r="66" ht="21" customHeight="1" spans="6:6">
      <c r="F66" s="378"/>
    </row>
    <row r="67" ht="21" customHeight="1" spans="6:6">
      <c r="F67" s="378"/>
    </row>
    <row r="68" ht="21" customHeight="1" spans="6:6">
      <c r="F68" s="378"/>
    </row>
    <row r="69" ht="21" customHeight="1" spans="6:6">
      <c r="F69" s="378"/>
    </row>
    <row r="70" ht="21" customHeight="1" spans="6:6">
      <c r="F70" s="378"/>
    </row>
    <row r="71" ht="21" customHeight="1" spans="6:6">
      <c r="F71" s="378"/>
    </row>
    <row r="72" ht="21" customHeight="1" spans="6:6">
      <c r="F72" s="378"/>
    </row>
    <row r="73" ht="21" customHeight="1" spans="6:6">
      <c r="F73" s="378"/>
    </row>
    <row r="74" ht="21" customHeight="1" spans="6:6">
      <c r="F74" s="378"/>
    </row>
    <row r="75" ht="21" customHeight="1" spans="6:6">
      <c r="F75" s="378"/>
    </row>
    <row r="76" ht="21" customHeight="1" spans="6:6">
      <c r="F76" s="378"/>
    </row>
    <row r="77" ht="21" customHeight="1" spans="6:6">
      <c r="F77" s="378"/>
    </row>
    <row r="78" ht="21" customHeight="1" spans="6:6">
      <c r="F78" s="378"/>
    </row>
    <row r="79" ht="21" customHeight="1" spans="6:6">
      <c r="F79" s="378"/>
    </row>
    <row r="80" ht="21" customHeight="1" spans="6:6">
      <c r="F80" s="378"/>
    </row>
    <row r="81" ht="21" customHeight="1" spans="6:6">
      <c r="F81" s="378"/>
    </row>
    <row r="82" ht="21" customHeight="1" spans="6:6">
      <c r="F82" s="378"/>
    </row>
    <row r="83" ht="21" customHeight="1" spans="6:6">
      <c r="F83" s="378"/>
    </row>
    <row r="84" ht="21" customHeight="1" spans="6:6">
      <c r="F84" s="378"/>
    </row>
    <row r="85" ht="21" customHeight="1" spans="6:6">
      <c r="F85" s="378"/>
    </row>
    <row r="86" ht="21" customHeight="1" spans="6:6">
      <c r="F86" s="378"/>
    </row>
    <row r="87" ht="21" customHeight="1" spans="6:6">
      <c r="F87" s="378"/>
    </row>
    <row r="88" ht="21" customHeight="1" spans="6:6">
      <c r="F88" s="378"/>
    </row>
    <row r="89" ht="21" customHeight="1" spans="6:6">
      <c r="F89" s="378"/>
    </row>
    <row r="90" ht="21" customHeight="1" spans="6:6">
      <c r="F90" s="378"/>
    </row>
    <row r="91" ht="21" customHeight="1" spans="6:6">
      <c r="F91" s="378"/>
    </row>
    <row r="92" ht="21" customHeight="1" spans="6:6">
      <c r="F92" s="378"/>
    </row>
    <row r="93" ht="21" customHeight="1" spans="6:6">
      <c r="F93" s="378"/>
    </row>
    <row r="94" ht="21" customHeight="1" spans="6:6">
      <c r="F94" s="378"/>
    </row>
    <row r="95" ht="21" customHeight="1" spans="6:6">
      <c r="F95" s="378"/>
    </row>
    <row r="96" ht="21" customHeight="1" spans="6:6">
      <c r="F96" s="378"/>
    </row>
    <row r="97" ht="21" customHeight="1" spans="6:6">
      <c r="F97" s="378"/>
    </row>
    <row r="98" ht="21" customHeight="1" spans="6:6">
      <c r="F98" s="378"/>
    </row>
    <row r="99" ht="21" customHeight="1" spans="6:6">
      <c r="F99" s="378"/>
    </row>
    <row r="100" ht="21" customHeight="1" spans="6:6">
      <c r="F100" s="378"/>
    </row>
    <row r="101" ht="21" customHeight="1" spans="6:6">
      <c r="F101" s="378"/>
    </row>
    <row r="102" ht="21" customHeight="1" spans="6:6">
      <c r="F102" s="378"/>
    </row>
    <row r="103" ht="21" customHeight="1" spans="6:6">
      <c r="F103" s="378"/>
    </row>
    <row r="104" ht="21" customHeight="1" spans="6:6">
      <c r="F104" s="378"/>
    </row>
    <row r="105" ht="21" customHeight="1" spans="6:6">
      <c r="F105" s="378"/>
    </row>
    <row r="106" ht="21" customHeight="1" spans="6:6">
      <c r="F106" s="378"/>
    </row>
    <row r="107" ht="21" customHeight="1" spans="6:6">
      <c r="F107" s="378"/>
    </row>
  </sheetData>
  <mergeCells count="12">
    <mergeCell ref="A1:Q1"/>
    <mergeCell ref="B3:H3"/>
    <mergeCell ref="I3:O3"/>
    <mergeCell ref="D15:H15"/>
    <mergeCell ref="I15:M15"/>
    <mergeCell ref="A3:A4"/>
    <mergeCell ref="A15:A16"/>
    <mergeCell ref="B15:B16"/>
    <mergeCell ref="C15:C16"/>
    <mergeCell ref="P3:P4"/>
    <mergeCell ref="Q3:Q4"/>
    <mergeCell ref="R3:R4"/>
  </mergeCells>
  <pageMargins left="0.7" right="0.7" top="0.75" bottom="0.75" header="0.3" footer="0.3"/>
  <headerFooter/>
  <ignoredErrors>
    <ignoredError sqref="M10 H10 F1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9"/>
  <sheetViews>
    <sheetView showGridLines="0" workbookViewId="0">
      <selection activeCell="G12" sqref="G12:G28"/>
    </sheetView>
  </sheetViews>
  <sheetFormatPr defaultColWidth="9" defaultRowHeight="16.5"/>
  <cols>
    <col min="1" max="1" width="12.5833333333333" customWidth="1"/>
    <col min="2" max="2" width="8.58333333333333" customWidth="1"/>
    <col min="3" max="3" width="12.0833333333333" customWidth="1"/>
    <col min="4" max="5" width="8.58333333333333" customWidth="1"/>
    <col min="6" max="6" width="9" customWidth="1"/>
    <col min="7" max="7" width="15" customWidth="1"/>
    <col min="8" max="8" width="8.58333333333333" customWidth="1"/>
    <col min="9" max="9" width="17" customWidth="1"/>
    <col min="10" max="10" width="8.58333333333333" customWidth="1"/>
    <col min="11" max="11" width="9.41666666666667" customWidth="1"/>
    <col min="12" max="12" width="13.75" customWidth="1"/>
    <col min="13" max="16" width="8.58333333333333" customWidth="1"/>
    <col min="17" max="17" width="10.5833333333333" customWidth="1"/>
    <col min="18" max="21" width="8.58333333333333" customWidth="1"/>
    <col min="22" max="22" width="10.3333333333333" customWidth="1"/>
    <col min="23" max="26" width="8.58333333333333" customWidth="1"/>
    <col min="27" max="27" width="10.9166666666667" style="318" customWidth="1"/>
    <col min="28" max="28" width="11.0833333333333" style="318" customWidth="1"/>
    <col min="29" max="29" width="11.3333333333333" style="318" customWidth="1"/>
  </cols>
  <sheetData>
    <row r="1" ht="22" customHeight="1" spans="1:30">
      <c r="A1" s="201" t="s">
        <v>160</v>
      </c>
      <c r="B1" s="319"/>
      <c r="C1" s="320"/>
      <c r="D1" s="320"/>
      <c r="E1" s="203"/>
      <c r="F1" s="321"/>
      <c r="G1" s="321"/>
      <c r="H1" s="321"/>
      <c r="I1" s="321"/>
      <c r="J1" s="321"/>
      <c r="K1" s="321"/>
      <c r="L1" s="321"/>
      <c r="M1" s="322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95" t="s">
        <v>43</v>
      </c>
    </row>
    <row r="2" spans="1:30">
      <c r="A2" s="208" t="s">
        <v>161</v>
      </c>
      <c r="B2" s="208" t="s">
        <v>155</v>
      </c>
      <c r="C2" s="208" t="s">
        <v>162</v>
      </c>
      <c r="D2" s="208" t="s">
        <v>163</v>
      </c>
      <c r="E2" s="323" t="s">
        <v>164</v>
      </c>
      <c r="F2" s="323" t="s">
        <v>165</v>
      </c>
      <c r="G2" s="208" t="s">
        <v>166</v>
      </c>
      <c r="H2" s="324"/>
      <c r="I2" s="324"/>
      <c r="J2" s="324"/>
      <c r="K2" s="324"/>
      <c r="L2" s="325" t="s">
        <v>167</v>
      </c>
      <c r="M2" s="326"/>
      <c r="N2" s="326"/>
      <c r="O2" s="326"/>
      <c r="P2" s="326"/>
      <c r="Q2" s="325" t="s">
        <v>168</v>
      </c>
      <c r="R2" s="326"/>
      <c r="S2" s="326"/>
      <c r="T2" s="326"/>
      <c r="U2" s="326"/>
      <c r="V2" s="325" t="s">
        <v>169</v>
      </c>
      <c r="W2" s="326"/>
      <c r="X2" s="326"/>
      <c r="Y2" s="326"/>
      <c r="Z2" s="326"/>
      <c r="AA2" s="327" t="s">
        <v>170</v>
      </c>
      <c r="AB2" s="327"/>
      <c r="AC2" s="327"/>
    </row>
    <row r="3" ht="20.25" customHeight="1" spans="1:30">
      <c r="A3" s="324"/>
      <c r="B3" s="324"/>
      <c r="C3" s="324"/>
      <c r="D3" s="324"/>
      <c r="E3" s="328"/>
      <c r="F3" s="328"/>
      <c r="G3" s="329" t="s">
        <v>171</v>
      </c>
      <c r="H3" s="330" t="s">
        <v>172</v>
      </c>
      <c r="I3" s="330" t="s">
        <v>173</v>
      </c>
      <c r="J3" s="330" t="s">
        <v>174</v>
      </c>
      <c r="K3" s="330" t="s">
        <v>175</v>
      </c>
      <c r="L3" s="330" t="s">
        <v>171</v>
      </c>
      <c r="M3" s="330" t="s">
        <v>172</v>
      </c>
      <c r="N3" s="330" t="s">
        <v>173</v>
      </c>
      <c r="O3" s="330" t="s">
        <v>174</v>
      </c>
      <c r="P3" s="330" t="s">
        <v>175</v>
      </c>
      <c r="Q3" s="330" t="s">
        <v>171</v>
      </c>
      <c r="R3" s="330" t="s">
        <v>172</v>
      </c>
      <c r="S3" s="330" t="s">
        <v>173</v>
      </c>
      <c r="T3" s="330" t="s">
        <v>174</v>
      </c>
      <c r="U3" s="330" t="s">
        <v>175</v>
      </c>
      <c r="V3" s="330" t="s">
        <v>171</v>
      </c>
      <c r="W3" s="330" t="s">
        <v>172</v>
      </c>
      <c r="X3" s="330" t="s">
        <v>173</v>
      </c>
      <c r="Y3" s="330" t="s">
        <v>174</v>
      </c>
      <c r="Z3" s="330" t="s">
        <v>175</v>
      </c>
      <c r="AA3" s="331" t="s">
        <v>176</v>
      </c>
      <c r="AB3" s="332" t="s">
        <v>177</v>
      </c>
      <c r="AC3" s="332" t="s">
        <v>178</v>
      </c>
    </row>
    <row r="4" ht="14.25" spans="1:30">
      <c r="A4" s="333" t="s">
        <v>149</v>
      </c>
      <c r="B4" s="334"/>
      <c r="C4" s="335">
        <f>收入及成本!D17</f>
        <v>0</v>
      </c>
      <c r="D4" s="336">
        <f>K4+P4+U4+Z4</f>
        <v>0</v>
      </c>
      <c r="E4" s="337"/>
      <c r="F4" s="337" t="e">
        <f>D4/C4</f>
        <v>#DIV/0!</v>
      </c>
      <c r="G4" s="338"/>
      <c r="H4" s="338">
        <f>G4*AA4</f>
        <v>0</v>
      </c>
      <c r="I4" s="338">
        <f>G4*AB4</f>
        <v>0</v>
      </c>
      <c r="J4" s="338">
        <f>G4*AC4</f>
        <v>0</v>
      </c>
      <c r="K4" s="339">
        <f>SUM(H4:J4)</f>
        <v>0</v>
      </c>
      <c r="L4" s="340"/>
      <c r="M4" s="338">
        <f>L4*AA4</f>
        <v>0</v>
      </c>
      <c r="N4" s="338">
        <f>L4*AB4</f>
        <v>0</v>
      </c>
      <c r="O4" s="338">
        <f>L4*AC4</f>
        <v>0</v>
      </c>
      <c r="P4" s="339">
        <f>SUM(M4:O4)</f>
        <v>0</v>
      </c>
      <c r="Q4" s="340"/>
      <c r="R4" s="338">
        <f>Q4*AA4</f>
        <v>0</v>
      </c>
      <c r="S4" s="338">
        <f>Q4*AB4</f>
        <v>0</v>
      </c>
      <c r="T4" s="338">
        <f>Q4*AC4</f>
        <v>0</v>
      </c>
      <c r="U4" s="339">
        <f>SUM(R4:T4)</f>
        <v>0</v>
      </c>
      <c r="V4" s="340"/>
      <c r="W4" s="338">
        <f>V4*AA4</f>
        <v>0</v>
      </c>
      <c r="X4" s="338">
        <f>V4*AB4</f>
        <v>0</v>
      </c>
      <c r="Y4" s="338">
        <f>V4*AC4</f>
        <v>0</v>
      </c>
      <c r="Z4" s="339">
        <f>SUM(W4:Y4)</f>
        <v>0</v>
      </c>
      <c r="AA4" s="341"/>
      <c r="AB4" s="341"/>
      <c r="AC4" s="341"/>
      <c r="AD4" s="87"/>
    </row>
    <row r="5" spans="1:30">
      <c r="A5" s="342" t="s">
        <v>151</v>
      </c>
      <c r="B5" s="334"/>
      <c r="C5" s="335">
        <f>收入及成本!D18</f>
        <v>0</v>
      </c>
      <c r="D5" s="336">
        <f>K5+P5+U5+Z5</f>
        <v>0</v>
      </c>
      <c r="E5" s="337"/>
      <c r="F5" s="337" t="e">
        <f>D5/C5</f>
        <v>#DIV/0!</v>
      </c>
      <c r="G5" s="338"/>
      <c r="H5" s="338">
        <f>G5*AA5</f>
        <v>0</v>
      </c>
      <c r="I5" s="338">
        <f>G5*AB5</f>
        <v>0</v>
      </c>
      <c r="J5" s="338">
        <f>G5*AC5</f>
        <v>0</v>
      </c>
      <c r="K5" s="339">
        <f>SUM(H5:J5)</f>
        <v>0</v>
      </c>
      <c r="L5" s="340"/>
      <c r="M5" s="338">
        <f>L5*AA5</f>
        <v>0</v>
      </c>
      <c r="N5" s="338">
        <f>L5*AB5</f>
        <v>0</v>
      </c>
      <c r="O5" s="338">
        <f>L5*AC5</f>
        <v>0</v>
      </c>
      <c r="P5" s="339">
        <f>SUM(M5:O5)</f>
        <v>0</v>
      </c>
      <c r="Q5" s="340"/>
      <c r="R5" s="338">
        <f>Q5*AA5</f>
        <v>0</v>
      </c>
      <c r="S5" s="338">
        <f>Q5*AB5</f>
        <v>0</v>
      </c>
      <c r="T5" s="338">
        <f>Q5*AC5</f>
        <v>0</v>
      </c>
      <c r="U5" s="339">
        <f>SUM(R5:T5)</f>
        <v>0</v>
      </c>
      <c r="V5" s="340"/>
      <c r="W5" s="338">
        <f>V5*AA5</f>
        <v>0</v>
      </c>
      <c r="X5" s="338">
        <f>V5*AB5</f>
        <v>0</v>
      </c>
      <c r="Y5" s="338">
        <f>V5*AC5</f>
        <v>0</v>
      </c>
      <c r="Z5" s="339">
        <f>SUM(W5:Y5)</f>
        <v>0</v>
      </c>
      <c r="AA5" s="341"/>
      <c r="AB5" s="343"/>
      <c r="AC5" s="341"/>
      <c r="AD5" s="87"/>
    </row>
    <row r="6" spans="1:30">
      <c r="A6" s="344"/>
      <c r="B6" s="334"/>
      <c r="C6" s="335"/>
      <c r="D6" s="336"/>
      <c r="E6" s="336"/>
      <c r="F6" s="336"/>
      <c r="G6" s="338"/>
      <c r="H6" s="338"/>
      <c r="I6" s="338"/>
      <c r="J6" s="338"/>
      <c r="K6" s="339"/>
      <c r="L6" s="338"/>
      <c r="M6" s="338"/>
      <c r="N6" s="338"/>
      <c r="O6" s="338"/>
      <c r="P6" s="339"/>
      <c r="Q6" s="338"/>
      <c r="R6" s="338"/>
      <c r="S6" s="338"/>
      <c r="T6" s="338"/>
      <c r="U6" s="339"/>
      <c r="V6" s="338"/>
      <c r="W6" s="338"/>
      <c r="X6" s="338"/>
      <c r="Y6" s="338"/>
      <c r="Z6" s="339"/>
    </row>
    <row r="7" spans="1:30">
      <c r="A7" s="344"/>
      <c r="B7" s="334"/>
      <c r="C7" s="335"/>
      <c r="D7" s="336"/>
      <c r="E7" s="336"/>
      <c r="F7" s="336"/>
      <c r="G7" s="338"/>
      <c r="H7" s="338"/>
      <c r="I7" s="338"/>
      <c r="J7" s="338"/>
      <c r="K7" s="339"/>
      <c r="L7" s="338"/>
      <c r="M7" s="338"/>
      <c r="N7" s="338"/>
      <c r="O7" s="338"/>
      <c r="P7" s="339"/>
      <c r="Q7" s="338"/>
      <c r="R7" s="338"/>
      <c r="S7" s="338"/>
      <c r="T7" s="338"/>
      <c r="U7" s="339"/>
      <c r="V7" s="338"/>
      <c r="W7" s="338"/>
      <c r="X7" s="338"/>
      <c r="Y7" s="338"/>
      <c r="Z7" s="339"/>
    </row>
    <row r="8" spans="1:30">
      <c r="A8" s="345" t="s">
        <v>179</v>
      </c>
      <c r="B8" s="345"/>
      <c r="C8" s="346">
        <f>SUM(C4:C7)</f>
        <v>0</v>
      </c>
      <c r="D8" s="346">
        <f>SUM(D4:D7)</f>
        <v>0</v>
      </c>
      <c r="E8" s="347"/>
      <c r="F8" s="347"/>
      <c r="G8" s="348">
        <f t="shared" ref="G8:Z8" si="0">SUM(G4:G7)</f>
        <v>0</v>
      </c>
      <c r="H8" s="348">
        <f t="shared" si="0"/>
        <v>0</v>
      </c>
      <c r="I8" s="348">
        <f t="shared" si="0"/>
        <v>0</v>
      </c>
      <c r="J8" s="348">
        <f t="shared" si="0"/>
        <v>0</v>
      </c>
      <c r="K8" s="348">
        <f t="shared" si="0"/>
        <v>0</v>
      </c>
      <c r="L8" s="348">
        <f t="shared" si="0"/>
        <v>0</v>
      </c>
      <c r="M8" s="348">
        <f t="shared" si="0"/>
        <v>0</v>
      </c>
      <c r="N8" s="348">
        <f t="shared" si="0"/>
        <v>0</v>
      </c>
      <c r="O8" s="348">
        <f t="shared" si="0"/>
        <v>0</v>
      </c>
      <c r="P8" s="348">
        <f t="shared" si="0"/>
        <v>0</v>
      </c>
      <c r="Q8" s="348">
        <f t="shared" si="0"/>
        <v>0</v>
      </c>
      <c r="R8" s="348">
        <f t="shared" si="0"/>
        <v>0</v>
      </c>
      <c r="S8" s="348">
        <f t="shared" si="0"/>
        <v>0</v>
      </c>
      <c r="T8" s="348">
        <f t="shared" si="0"/>
        <v>0</v>
      </c>
      <c r="U8" s="348">
        <f t="shared" si="0"/>
        <v>0</v>
      </c>
      <c r="V8" s="348">
        <f t="shared" si="0"/>
        <v>0</v>
      </c>
      <c r="W8" s="348">
        <f t="shared" si="0"/>
        <v>0</v>
      </c>
      <c r="X8" s="348">
        <f t="shared" si="0"/>
        <v>0</v>
      </c>
      <c r="Y8" s="348">
        <f t="shared" si="0"/>
        <v>0</v>
      </c>
      <c r="Z8" s="348">
        <f t="shared" si="0"/>
        <v>0</v>
      </c>
    </row>
    <row r="9" spans="1:30">
      <c r="A9" s="349"/>
      <c r="B9" s="349"/>
      <c r="C9" s="349"/>
      <c r="D9" s="349"/>
      <c r="E9" s="350"/>
      <c r="F9" s="350"/>
      <c r="G9" s="349"/>
      <c r="H9" s="351">
        <f>H8+M8+R8+W8</f>
        <v>0</v>
      </c>
      <c r="I9" s="351">
        <f>I8+N8+S8+X8</f>
        <v>0</v>
      </c>
      <c r="J9" s="351">
        <f t="shared" ref="J9:K9" si="1">J8+O8+T8+Y8</f>
        <v>0</v>
      </c>
      <c r="K9" s="351">
        <f t="shared" si="1"/>
        <v>0</v>
      </c>
      <c r="L9" s="349"/>
      <c r="M9" s="349"/>
      <c r="N9" s="349"/>
      <c r="O9" s="206"/>
      <c r="P9" s="206"/>
      <c r="Q9" s="206"/>
      <c r="R9" s="206"/>
      <c r="S9" s="206"/>
      <c r="T9" s="206"/>
      <c r="U9" s="206"/>
      <c r="V9" s="206"/>
      <c r="W9" s="206"/>
      <c r="X9" s="206"/>
    </row>
    <row r="10" spans="1:30">
      <c r="A10" s="201" t="s">
        <v>180</v>
      </c>
      <c r="B10" s="319"/>
      <c r="C10" s="320"/>
      <c r="D10" s="320"/>
      <c r="F10" s="352"/>
      <c r="G10" s="319"/>
      <c r="H10" s="319"/>
      <c r="I10" s="95" t="s">
        <v>43</v>
      </c>
      <c r="J10" s="319"/>
      <c r="K10" s="87"/>
      <c r="L10" s="353"/>
      <c r="M10" s="354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</row>
    <row r="11" ht="42" customHeight="1" spans="1:30">
      <c r="A11" s="355" t="s">
        <v>181</v>
      </c>
      <c r="B11" s="253" t="s">
        <v>182</v>
      </c>
      <c r="C11" s="253" t="s">
        <v>183</v>
      </c>
      <c r="D11" s="253" t="s">
        <v>184</v>
      </c>
      <c r="E11" s="253" t="s">
        <v>185</v>
      </c>
      <c r="F11" s="356" t="s">
        <v>50</v>
      </c>
      <c r="G11" s="357" t="s">
        <v>45</v>
      </c>
      <c r="H11" s="358" t="s">
        <v>51</v>
      </c>
      <c r="I11" s="253" t="s">
        <v>186</v>
      </c>
      <c r="J11" s="319"/>
      <c r="K11" s="359" t="s">
        <v>83</v>
      </c>
      <c r="L11" s="359"/>
      <c r="M11" s="134" t="s">
        <v>182</v>
      </c>
      <c r="N11" s="134" t="s">
        <v>183</v>
      </c>
      <c r="O11" s="134" t="s">
        <v>184</v>
      </c>
      <c r="P11" s="134" t="s">
        <v>185</v>
      </c>
      <c r="Q11" s="135" t="s">
        <v>50</v>
      </c>
      <c r="R11" s="206"/>
      <c r="S11" s="206"/>
      <c r="T11" s="206"/>
      <c r="U11" s="206"/>
      <c r="V11" s="206"/>
      <c r="W11" s="206"/>
      <c r="X11" s="206"/>
    </row>
    <row r="12" spans="1:30">
      <c r="A12" s="360" t="s">
        <v>187</v>
      </c>
      <c r="B12" s="361">
        <f>'附件3（公共费用分摊表）'!F21</f>
        <v>0</v>
      </c>
      <c r="C12" s="361">
        <f>'附件3（公共费用分摊表）'!G21</f>
        <v>0</v>
      </c>
      <c r="D12" s="361">
        <f>'附件3（公共费用分摊表）'!H21</f>
        <v>0</v>
      </c>
      <c r="E12" s="361">
        <f>'附件3（公共费用分摊表）'!I21</f>
        <v>0</v>
      </c>
      <c r="F12" s="362">
        <f>SUM(B12:E12)</f>
        <v>0</v>
      </c>
      <c r="G12" s="361">
        <v>25.597516</v>
      </c>
      <c r="H12" s="363">
        <f>IFERROR(F12/G12-1,"")</f>
        <v>-1</v>
      </c>
      <c r="I12" s="361"/>
      <c r="J12" s="364"/>
      <c r="K12" s="246" t="s">
        <v>188</v>
      </c>
      <c r="L12" s="246"/>
      <c r="M12" s="139">
        <f>H8*1.13</f>
        <v>0</v>
      </c>
      <c r="N12" s="139">
        <f>M8*1.13</f>
        <v>0</v>
      </c>
      <c r="O12" s="139">
        <f>R8*1.13</f>
        <v>0</v>
      </c>
      <c r="P12" s="139">
        <f>W8*1.13</f>
        <v>0</v>
      </c>
      <c r="Q12" s="139">
        <f>M12+N12+O12+P12</f>
        <v>0</v>
      </c>
      <c r="R12" s="206"/>
      <c r="S12" s="206"/>
      <c r="T12" s="206"/>
      <c r="U12" s="206"/>
      <c r="V12" s="206"/>
      <c r="W12" s="206"/>
      <c r="X12" s="206"/>
    </row>
    <row r="13" spans="1:30">
      <c r="A13" s="360" t="s">
        <v>189</v>
      </c>
      <c r="B13" s="361">
        <f>'附件3（公共费用分摊表）'!F17*3</f>
        <v>0</v>
      </c>
      <c r="C13" s="361">
        <f>B13</f>
        <v>0</v>
      </c>
      <c r="D13" s="361">
        <f>B13</f>
        <v>0</v>
      </c>
      <c r="E13" s="361">
        <f>B13</f>
        <v>0</v>
      </c>
      <c r="F13" s="362">
        <f t="shared" ref="F13:F28" si="2">SUM(B13:E13)</f>
        <v>0</v>
      </c>
      <c r="G13" s="361">
        <v>0.541939</v>
      </c>
      <c r="H13" s="363">
        <f t="shared" ref="H13:H29" si="3">IFERROR(F13/G13-1,"")</f>
        <v>-1</v>
      </c>
      <c r="I13" s="361"/>
      <c r="J13" s="364"/>
      <c r="K13" s="246" t="s">
        <v>190</v>
      </c>
      <c r="L13" s="246"/>
      <c r="M13" s="139">
        <f>B16+I8</f>
        <v>0</v>
      </c>
      <c r="N13" s="139">
        <f>C16+N8</f>
        <v>0</v>
      </c>
      <c r="O13" s="139">
        <f>D16+S8</f>
        <v>0</v>
      </c>
      <c r="P13" s="139">
        <f>E16+X8</f>
        <v>0</v>
      </c>
      <c r="Q13" s="139">
        <f>M13+N13+O13+P13</f>
        <v>0</v>
      </c>
      <c r="R13" s="206"/>
      <c r="S13" s="206"/>
      <c r="T13" s="206"/>
      <c r="U13" s="206"/>
      <c r="V13" s="206"/>
      <c r="W13" s="206"/>
      <c r="X13" s="206"/>
    </row>
    <row r="14" spans="1:30">
      <c r="A14" s="360" t="s">
        <v>191</v>
      </c>
      <c r="B14" s="361"/>
      <c r="C14" s="361"/>
      <c r="D14" s="361"/>
      <c r="E14" s="361"/>
      <c r="F14" s="362">
        <f t="shared" si="2"/>
        <v>0</v>
      </c>
      <c r="G14" s="361"/>
      <c r="H14" s="363" t="str">
        <f t="shared" si="3"/>
        <v/>
      </c>
      <c r="I14" s="361"/>
      <c r="J14" s="364"/>
      <c r="K14" s="246" t="s">
        <v>192</v>
      </c>
      <c r="L14" s="246"/>
      <c r="M14" s="139">
        <f>B29-B12-B16-B24-B25-B27</f>
        <v>0</v>
      </c>
      <c r="N14" s="139">
        <f>C29-C12-C16-C24-C25-C27</f>
        <v>0</v>
      </c>
      <c r="O14" s="139">
        <f>D29-D12-D16-D24-D25-D27</f>
        <v>0</v>
      </c>
      <c r="P14" s="139">
        <f>E29-E12-E16-E24-E25-E27</f>
        <v>0</v>
      </c>
      <c r="Q14" s="139">
        <f>M14+N14+O14+P14</f>
        <v>0</v>
      </c>
      <c r="R14" s="206"/>
      <c r="S14" s="206"/>
      <c r="T14" s="206"/>
      <c r="U14" s="206"/>
      <c r="V14" s="206"/>
      <c r="W14" s="206"/>
      <c r="X14" s="206"/>
    </row>
    <row r="15" spans="1:30">
      <c r="A15" s="360" t="s">
        <v>193</v>
      </c>
      <c r="B15" s="361"/>
      <c r="C15" s="361"/>
      <c r="D15" s="361"/>
      <c r="E15" s="361"/>
      <c r="F15" s="362">
        <f t="shared" si="2"/>
        <v>0</v>
      </c>
      <c r="G15" s="361">
        <v>7.865777</v>
      </c>
      <c r="H15" s="363">
        <f t="shared" si="3"/>
        <v>-1</v>
      </c>
      <c r="I15" s="361"/>
      <c r="J15" s="364"/>
      <c r="K15" s="246" t="s">
        <v>194</v>
      </c>
      <c r="L15" s="246"/>
      <c r="M15" s="139">
        <f>B27</f>
        <v>0</v>
      </c>
      <c r="N15" s="139">
        <f>C27</f>
        <v>0</v>
      </c>
      <c r="O15" s="139">
        <f>D27</f>
        <v>0</v>
      </c>
      <c r="P15" s="139">
        <f>E27</f>
        <v>0</v>
      </c>
      <c r="Q15" s="139">
        <f>M15+N15+O15+P15</f>
        <v>0</v>
      </c>
      <c r="R15" s="206"/>
      <c r="S15" s="206"/>
      <c r="T15" s="206"/>
      <c r="U15" s="206"/>
      <c r="V15" s="206"/>
      <c r="W15" s="206"/>
      <c r="X15" s="206"/>
    </row>
    <row r="16" spans="1:30">
      <c r="A16" s="360" t="s">
        <v>16</v>
      </c>
      <c r="B16" s="361">
        <f>'附件2（人员预算)'!F12/4</f>
        <v>0</v>
      </c>
      <c r="C16" s="361">
        <f>B16</f>
        <v>0</v>
      </c>
      <c r="D16" s="361">
        <f>B16</f>
        <v>0</v>
      </c>
      <c r="E16" s="361">
        <f>B16</f>
        <v>0</v>
      </c>
      <c r="F16" s="362">
        <f t="shared" si="2"/>
        <v>0</v>
      </c>
      <c r="G16" s="361"/>
      <c r="H16" s="363" t="str">
        <f t="shared" si="3"/>
        <v/>
      </c>
      <c r="I16" s="361"/>
      <c r="J16" s="364"/>
      <c r="K16" s="349"/>
      <c r="L16" s="349"/>
      <c r="M16" s="349"/>
      <c r="N16" s="206"/>
      <c r="O16" s="206"/>
      <c r="P16" s="206"/>
      <c r="Q16" s="139">
        <f>SUM(Q12:Q15)-H9-I9-J9+F12+F24-Q12/1.13*13%</f>
        <v>0</v>
      </c>
      <c r="R16" s="206"/>
      <c r="S16" s="206"/>
      <c r="T16" s="206"/>
      <c r="U16" s="206"/>
      <c r="V16" s="206"/>
      <c r="W16" s="206"/>
      <c r="X16" s="206"/>
    </row>
    <row r="17" spans="1:24">
      <c r="A17" s="360" t="s">
        <v>195</v>
      </c>
      <c r="B17" s="361"/>
      <c r="C17" s="361"/>
      <c r="D17" s="361"/>
      <c r="E17" s="361"/>
      <c r="F17" s="362">
        <f t="shared" si="2"/>
        <v>0</v>
      </c>
      <c r="G17" s="361">
        <v>0.0522</v>
      </c>
      <c r="H17" s="363">
        <f t="shared" si="3"/>
        <v>-1</v>
      </c>
      <c r="I17" s="361"/>
      <c r="J17" s="364"/>
      <c r="K17" s="349"/>
      <c r="L17" s="349"/>
      <c r="M17" s="349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</row>
    <row r="18" spans="1:24">
      <c r="A18" s="360" t="s">
        <v>196</v>
      </c>
      <c r="B18" s="361"/>
      <c r="C18" s="361"/>
      <c r="D18" s="361"/>
      <c r="E18" s="361"/>
      <c r="F18" s="362">
        <f t="shared" si="2"/>
        <v>0</v>
      </c>
      <c r="G18" s="361"/>
      <c r="H18" s="363" t="str">
        <f t="shared" si="3"/>
        <v/>
      </c>
      <c r="I18" s="365"/>
      <c r="J18" s="349"/>
      <c r="K18" s="349"/>
      <c r="L18" s="349"/>
      <c r="M18" s="349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</row>
    <row r="19" spans="1:24">
      <c r="A19" s="360" t="s">
        <v>197</v>
      </c>
      <c r="B19" s="361"/>
      <c r="C19" s="361"/>
      <c r="D19" s="361"/>
      <c r="E19" s="361"/>
      <c r="F19" s="362">
        <f t="shared" si="2"/>
        <v>0</v>
      </c>
      <c r="G19" s="361"/>
      <c r="H19" s="363" t="str">
        <f t="shared" si="3"/>
        <v/>
      </c>
      <c r="I19" s="361"/>
      <c r="J19" s="364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206"/>
      <c r="V19" s="206"/>
      <c r="W19" s="206"/>
      <c r="X19" s="206"/>
    </row>
    <row r="20" spans="1:24">
      <c r="A20" s="360" t="s">
        <v>28</v>
      </c>
      <c r="B20" s="361"/>
      <c r="C20" s="361"/>
      <c r="D20" s="361"/>
      <c r="E20" s="361"/>
      <c r="F20" s="362">
        <f t="shared" si="2"/>
        <v>0</v>
      </c>
      <c r="G20" s="361"/>
      <c r="H20" s="363" t="str">
        <f t="shared" si="3"/>
        <v/>
      </c>
      <c r="I20" s="361"/>
      <c r="J20" s="364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206"/>
      <c r="V20" s="206"/>
      <c r="W20" s="206"/>
      <c r="X20" s="206"/>
    </row>
    <row r="21" spans="1:24">
      <c r="A21" s="360" t="s">
        <v>198</v>
      </c>
      <c r="B21" s="361"/>
      <c r="C21" s="361"/>
      <c r="D21" s="361"/>
      <c r="E21" s="361"/>
      <c r="F21" s="362">
        <f t="shared" si="2"/>
        <v>0</v>
      </c>
      <c r="G21" s="361">
        <v>4.577437</v>
      </c>
      <c r="H21" s="363">
        <f t="shared" si="3"/>
        <v>-1</v>
      </c>
      <c r="I21" s="361"/>
      <c r="J21" s="364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206"/>
      <c r="V21" s="206"/>
      <c r="W21" s="206"/>
      <c r="X21" s="206"/>
    </row>
    <row r="22" spans="1:24">
      <c r="A22" s="360" t="s">
        <v>199</v>
      </c>
      <c r="B22" s="361"/>
      <c r="C22" s="361"/>
      <c r="D22" s="361"/>
      <c r="E22" s="361"/>
      <c r="F22" s="362">
        <f t="shared" si="2"/>
        <v>0</v>
      </c>
      <c r="G22" s="361"/>
      <c r="H22" s="363" t="str">
        <f t="shared" si="3"/>
        <v/>
      </c>
      <c r="I22" s="361"/>
      <c r="J22" s="364"/>
      <c r="K22" s="349"/>
      <c r="L22" s="349"/>
      <c r="M22" s="349"/>
      <c r="N22" s="349"/>
      <c r="O22" s="349"/>
      <c r="P22" s="349"/>
      <c r="Q22" s="349"/>
      <c r="R22" s="349"/>
      <c r="S22" s="349"/>
      <c r="T22" s="349"/>
      <c r="U22" s="206"/>
      <c r="V22" s="206"/>
      <c r="W22" s="206"/>
      <c r="X22" s="206"/>
    </row>
    <row r="23" spans="1:24">
      <c r="A23" s="360" t="s">
        <v>200</v>
      </c>
      <c r="B23" s="361"/>
      <c r="C23" s="361"/>
      <c r="D23" s="361"/>
      <c r="E23" s="361"/>
      <c r="F23" s="362">
        <f t="shared" si="2"/>
        <v>0</v>
      </c>
      <c r="G23" s="361"/>
      <c r="H23" s="363" t="str">
        <f t="shared" si="3"/>
        <v/>
      </c>
      <c r="I23" s="365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206"/>
      <c r="V23" s="206"/>
      <c r="W23" s="206"/>
      <c r="X23" s="206"/>
    </row>
    <row r="24" spans="1:24">
      <c r="A24" s="360" t="s">
        <v>201</v>
      </c>
      <c r="B24" s="361"/>
      <c r="C24" s="361"/>
      <c r="D24" s="361"/>
      <c r="E24" s="361"/>
      <c r="F24" s="362">
        <f t="shared" si="2"/>
        <v>0</v>
      </c>
      <c r="G24" s="361">
        <v>0.590329</v>
      </c>
      <c r="H24" s="363">
        <f t="shared" si="3"/>
        <v>-1</v>
      </c>
      <c r="I24" s="365"/>
      <c r="J24" s="349"/>
      <c r="K24" s="349"/>
      <c r="L24" s="349"/>
      <c r="M24" s="349"/>
      <c r="N24" s="349"/>
      <c r="O24" s="349"/>
      <c r="P24" s="349"/>
      <c r="Q24" s="349"/>
      <c r="R24" s="349"/>
      <c r="S24" s="349"/>
      <c r="T24" s="349"/>
      <c r="U24" s="206"/>
      <c r="V24" s="206"/>
      <c r="W24" s="206"/>
      <c r="X24" s="206"/>
    </row>
    <row r="25" spans="1:24">
      <c r="A25" s="360" t="s">
        <v>202</v>
      </c>
      <c r="B25" s="361"/>
      <c r="C25" s="361"/>
      <c r="D25" s="361"/>
      <c r="E25" s="361"/>
      <c r="F25" s="362">
        <f t="shared" si="2"/>
        <v>0</v>
      </c>
      <c r="G25" s="361"/>
      <c r="H25" s="363" t="str">
        <f t="shared" si="3"/>
        <v/>
      </c>
      <c r="I25" s="365"/>
      <c r="J25" s="349"/>
      <c r="K25" s="349"/>
      <c r="L25" s="349"/>
      <c r="M25" s="349"/>
      <c r="N25" s="349"/>
      <c r="O25" s="349"/>
      <c r="P25" s="349"/>
      <c r="Q25" s="349"/>
      <c r="R25" s="349"/>
      <c r="S25" s="349"/>
      <c r="T25" s="349"/>
      <c r="U25" s="206"/>
      <c r="V25" s="206"/>
      <c r="W25" s="206"/>
      <c r="X25" s="206"/>
    </row>
    <row r="26" spans="1:24">
      <c r="A26" s="360" t="s">
        <v>203</v>
      </c>
      <c r="B26" s="361"/>
      <c r="C26" s="361"/>
      <c r="D26" s="361"/>
      <c r="E26" s="361"/>
      <c r="F26" s="362">
        <f t="shared" si="2"/>
        <v>0</v>
      </c>
      <c r="G26" s="361">
        <v>1.6</v>
      </c>
      <c r="H26" s="363">
        <f t="shared" si="3"/>
        <v>-1</v>
      </c>
      <c r="I26" s="365"/>
      <c r="J26" s="349"/>
      <c r="K26" s="349"/>
      <c r="L26" s="349"/>
      <c r="M26" s="349"/>
      <c r="N26" s="349"/>
      <c r="O26" s="349"/>
      <c r="P26" s="349"/>
      <c r="Q26" s="349"/>
      <c r="R26" s="349"/>
      <c r="S26" s="349"/>
      <c r="T26" s="349"/>
      <c r="U26" s="206"/>
      <c r="V26" s="206"/>
      <c r="W26" s="206"/>
      <c r="X26" s="206"/>
    </row>
    <row r="27" spans="1:24">
      <c r="A27" s="360" t="s">
        <v>204</v>
      </c>
      <c r="B27" s="361">
        <f>'附件3（公共费用分摊表）'!F12*3</f>
        <v>0</v>
      </c>
      <c r="C27" s="361">
        <f>B27</f>
        <v>0</v>
      </c>
      <c r="D27" s="361">
        <f>B27</f>
        <v>0</v>
      </c>
      <c r="E27" s="361">
        <f>B27</f>
        <v>0</v>
      </c>
      <c r="F27" s="362">
        <f t="shared" si="2"/>
        <v>0</v>
      </c>
      <c r="G27" s="361">
        <v>5.216486</v>
      </c>
      <c r="H27" s="363">
        <f t="shared" si="3"/>
        <v>-1</v>
      </c>
      <c r="I27" s="338"/>
      <c r="K27" s="349"/>
      <c r="L27" s="349"/>
      <c r="M27" s="349"/>
      <c r="N27" s="349"/>
      <c r="O27" s="349"/>
      <c r="P27" s="349"/>
      <c r="Q27" s="349"/>
      <c r="R27" s="349"/>
      <c r="S27" s="349"/>
      <c r="T27" s="349"/>
    </row>
    <row r="28" spans="1:24">
      <c r="A28" s="360" t="s">
        <v>31</v>
      </c>
      <c r="B28" s="361"/>
      <c r="C28" s="361"/>
      <c r="D28" s="361"/>
      <c r="E28" s="361"/>
      <c r="F28" s="362">
        <f t="shared" si="2"/>
        <v>0</v>
      </c>
      <c r="G28" s="361">
        <v>0.508079</v>
      </c>
      <c r="H28" s="363">
        <f t="shared" si="3"/>
        <v>-1</v>
      </c>
      <c r="I28" s="365"/>
      <c r="K28" s="349"/>
      <c r="L28" s="349"/>
      <c r="M28" s="349"/>
      <c r="N28" s="349"/>
      <c r="O28" s="349"/>
      <c r="P28" s="349"/>
      <c r="Q28" s="349"/>
      <c r="R28" s="349"/>
      <c r="S28" s="349"/>
      <c r="T28" s="349"/>
    </row>
    <row r="29" spans="1:24">
      <c r="A29" s="345" t="s">
        <v>205</v>
      </c>
      <c r="B29" s="366">
        <f t="shared" ref="B29:G29" si="4">SUM(B12:B28)</f>
        <v>0</v>
      </c>
      <c r="C29" s="366">
        <f t="shared" si="4"/>
        <v>0</v>
      </c>
      <c r="D29" s="366">
        <f t="shared" si="4"/>
        <v>0</v>
      </c>
      <c r="E29" s="366">
        <f t="shared" si="4"/>
        <v>0</v>
      </c>
      <c r="F29" s="367">
        <f t="shared" si="4"/>
        <v>0</v>
      </c>
      <c r="G29" s="366">
        <f t="shared" si="4"/>
        <v>46.549763</v>
      </c>
      <c r="H29" s="363">
        <f t="shared" si="3"/>
        <v>-1</v>
      </c>
      <c r="I29" s="347"/>
      <c r="K29" s="349"/>
      <c r="L29" s="349"/>
      <c r="M29" s="349"/>
      <c r="N29" s="349"/>
      <c r="O29" s="349"/>
      <c r="P29" s="349"/>
      <c r="Q29" s="349"/>
      <c r="R29" s="349"/>
      <c r="S29" s="349"/>
      <c r="T29" s="349"/>
    </row>
    <row r="30" spans="1:24">
      <c r="K30" s="349"/>
      <c r="L30" s="349"/>
      <c r="M30" s="349"/>
      <c r="N30" s="349"/>
      <c r="O30" s="349"/>
      <c r="P30" s="349"/>
      <c r="Q30" s="349"/>
      <c r="R30" s="349"/>
      <c r="S30" s="349"/>
      <c r="T30" s="349"/>
    </row>
    <row r="31" spans="1:24">
      <c r="K31" s="349"/>
      <c r="L31" s="349"/>
      <c r="M31" s="349"/>
      <c r="N31" s="349"/>
      <c r="O31" s="349"/>
      <c r="P31" s="349"/>
      <c r="Q31" s="349"/>
      <c r="R31" s="349"/>
      <c r="S31" s="349"/>
      <c r="T31" s="349"/>
    </row>
    <row r="32" spans="1:24">
      <c r="K32" s="349"/>
      <c r="L32" s="349"/>
      <c r="M32" s="349"/>
      <c r="N32" s="349"/>
      <c r="O32" s="349"/>
      <c r="P32" s="349"/>
      <c r="Q32" s="349"/>
      <c r="R32" s="349"/>
      <c r="S32" s="349"/>
      <c r="T32" s="349"/>
    </row>
    <row r="33" spans="11:20">
      <c r="K33" s="349"/>
      <c r="L33" s="349"/>
      <c r="M33" s="349"/>
      <c r="N33" s="349"/>
      <c r="O33" s="349"/>
      <c r="P33" s="349"/>
      <c r="Q33" s="349"/>
      <c r="R33" s="349"/>
      <c r="S33" s="349"/>
      <c r="T33" s="349"/>
    </row>
    <row r="34" spans="11:20">
      <c r="K34" s="349"/>
      <c r="L34" s="349"/>
      <c r="M34" s="349"/>
      <c r="N34" s="349"/>
      <c r="O34" s="349"/>
      <c r="P34" s="349"/>
      <c r="Q34" s="349"/>
      <c r="R34" s="349"/>
      <c r="S34" s="349"/>
      <c r="T34" s="349"/>
    </row>
    <row r="35" spans="11:20">
      <c r="K35" s="349"/>
      <c r="L35" s="349"/>
      <c r="M35" s="349"/>
      <c r="N35" s="349"/>
      <c r="O35" s="349"/>
      <c r="P35" s="349"/>
      <c r="Q35" s="349"/>
      <c r="R35" s="349"/>
      <c r="S35" s="349"/>
      <c r="T35" s="349"/>
    </row>
    <row r="36" spans="11:20">
      <c r="K36" s="349"/>
      <c r="L36" s="349"/>
      <c r="M36" s="349"/>
      <c r="N36" s="349"/>
      <c r="O36" s="349"/>
      <c r="P36" s="349"/>
      <c r="Q36" s="349"/>
      <c r="R36" s="349"/>
      <c r="S36" s="349"/>
      <c r="T36" s="349"/>
    </row>
    <row r="37" spans="11:20">
      <c r="K37" s="349"/>
      <c r="L37" s="349"/>
      <c r="M37" s="349"/>
      <c r="N37" s="349"/>
      <c r="O37" s="349"/>
      <c r="P37" s="349"/>
      <c r="Q37" s="349"/>
      <c r="R37" s="349"/>
      <c r="S37" s="349"/>
      <c r="T37" s="349"/>
    </row>
    <row r="38" spans="11:20">
      <c r="K38" s="349"/>
      <c r="L38" s="349"/>
      <c r="M38" s="349"/>
      <c r="N38" s="349"/>
      <c r="O38" s="349"/>
      <c r="P38" s="349"/>
      <c r="Q38" s="349"/>
      <c r="R38" s="349"/>
      <c r="S38" s="349"/>
      <c r="T38" s="349"/>
    </row>
    <row r="39" spans="11:20">
      <c r="K39" s="349"/>
      <c r="L39" s="349"/>
      <c r="M39" s="349"/>
      <c r="N39" s="349"/>
      <c r="O39" s="349"/>
      <c r="P39" s="349"/>
      <c r="Q39" s="349"/>
      <c r="R39" s="349"/>
      <c r="S39" s="349"/>
      <c r="T39" s="349"/>
    </row>
  </sheetData>
  <mergeCells count="16">
    <mergeCell ref="G2:K2"/>
    <mergeCell ref="L2:P2"/>
    <mergeCell ref="Q2:U2"/>
    <mergeCell ref="V2:Z2"/>
    <mergeCell ref="AA2:AC2"/>
    <mergeCell ref="K11:L11"/>
    <mergeCell ref="K12:L12"/>
    <mergeCell ref="K13:L13"/>
    <mergeCell ref="K14:L14"/>
    <mergeCell ref="K15:L1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8"/>
  <sheetViews>
    <sheetView showGridLines="0" workbookViewId="0">
      <selection activeCell="I29" sqref="I29"/>
    </sheetView>
  </sheetViews>
  <sheetFormatPr defaultColWidth="8.91666666666667" defaultRowHeight="16.5"/>
  <cols>
    <col min="1" max="1" width="24.6666666666667" style="11" customWidth="1"/>
    <col min="2" max="2" width="12" style="11" customWidth="1"/>
    <col min="3" max="3" width="15" style="11" customWidth="1"/>
    <col min="4" max="9" width="11" style="11" customWidth="1"/>
    <col min="10" max="11" width="8.91666666666667" style="11"/>
    <col min="12" max="12" width="12.9166666666667" style="11" customWidth="1"/>
    <col min="13" max="15" width="8.91666666666667" style="11"/>
    <col min="16" max="16" width="9.58333333333333" style="11"/>
    <col min="17" max="16384" width="8.91666666666667" style="11"/>
  </cols>
  <sheetData>
    <row r="1" ht="16" customHeight="1" spans="1:21">
      <c r="A1" s="297" t="s">
        <v>206</v>
      </c>
      <c r="B1" s="297"/>
      <c r="C1" s="297"/>
      <c r="D1" s="297"/>
      <c r="E1" s="297"/>
      <c r="F1" s="297"/>
      <c r="G1" s="297"/>
      <c r="H1" s="297"/>
      <c r="J1"/>
      <c r="K1"/>
      <c r="L1"/>
      <c r="M1"/>
      <c r="N1"/>
      <c r="O1"/>
      <c r="P1"/>
      <c r="Q1"/>
      <c r="R1"/>
      <c r="S1"/>
      <c r="T1"/>
      <c r="U1" s="46"/>
    </row>
    <row r="2" ht="16" customHeight="1" spans="1:21">
      <c r="D2" s="298"/>
      <c r="H2" s="298" t="s">
        <v>43</v>
      </c>
      <c r="J2"/>
      <c r="K2"/>
      <c r="L2"/>
      <c r="M2"/>
      <c r="N2"/>
      <c r="O2"/>
      <c r="P2"/>
      <c r="Q2"/>
      <c r="R2"/>
      <c r="S2"/>
      <c r="T2"/>
    </row>
    <row r="3" ht="16" customHeight="1" spans="1:21">
      <c r="A3" s="299" t="s">
        <v>44</v>
      </c>
      <c r="B3" s="300" t="s">
        <v>46</v>
      </c>
      <c r="C3" s="300" t="s">
        <v>47</v>
      </c>
      <c r="D3" s="300" t="s">
        <v>48</v>
      </c>
      <c r="E3" s="300" t="s">
        <v>49</v>
      </c>
      <c r="F3" s="301" t="s">
        <v>50</v>
      </c>
      <c r="G3" s="302" t="s">
        <v>207</v>
      </c>
      <c r="H3" s="303" t="s">
        <v>51</v>
      </c>
      <c r="J3"/>
      <c r="K3"/>
      <c r="L3"/>
      <c r="M3"/>
      <c r="N3"/>
      <c r="O3"/>
      <c r="P3"/>
      <c r="Q3"/>
      <c r="R3"/>
      <c r="S3"/>
      <c r="T3"/>
    </row>
    <row r="4" ht="16" customHeight="1" spans="1:21">
      <c r="A4" s="304" t="s">
        <v>208</v>
      </c>
      <c r="B4" s="305">
        <f>'附件5（其他收益明细）'!D16</f>
        <v>0</v>
      </c>
      <c r="C4" s="305">
        <f>'附件5（其他收益明细）'!E16</f>
        <v>0</v>
      </c>
      <c r="D4" s="305">
        <f>'附件5（其他收益明细）'!F16</f>
        <v>0</v>
      </c>
      <c r="E4" s="305">
        <f>'附件5（其他收益明细）'!G16</f>
        <v>0</v>
      </c>
      <c r="F4" s="306">
        <f>SUM(B4:E4)</f>
        <v>0</v>
      </c>
      <c r="G4" s="307"/>
      <c r="H4" s="308" t="str">
        <f>IFERROR(F4/G4-1,"")</f>
        <v/>
      </c>
      <c r="J4"/>
      <c r="K4"/>
      <c r="L4"/>
      <c r="M4"/>
      <c r="N4"/>
      <c r="O4"/>
      <c r="P4"/>
      <c r="Q4"/>
      <c r="R4"/>
      <c r="S4"/>
      <c r="T4"/>
    </row>
    <row r="5" ht="16" customHeight="1" spans="1:21">
      <c r="A5" s="304" t="s">
        <v>209</v>
      </c>
      <c r="B5" s="305">
        <f>'附件5（其他收益明细）'!D15</f>
        <v>0</v>
      </c>
      <c r="C5" s="305">
        <f>'附件5（其他收益明细）'!E15</f>
        <v>0</v>
      </c>
      <c r="D5" s="305">
        <f>'附件5（其他收益明细）'!F15</f>
        <v>0</v>
      </c>
      <c r="E5" s="305">
        <f>'附件5（其他收益明细）'!G15</f>
        <v>0</v>
      </c>
      <c r="F5" s="306">
        <f t="shared" ref="F5:F12" si="0">SUM(B5:E5)</f>
        <v>0</v>
      </c>
      <c r="G5" s="307"/>
      <c r="H5" s="308" t="str">
        <f t="shared" ref="H5:H12" si="1">IFERROR(F5/G5-1,"")</f>
        <v/>
      </c>
      <c r="J5"/>
      <c r="K5"/>
      <c r="L5"/>
      <c r="M5"/>
      <c r="N5"/>
      <c r="O5"/>
      <c r="P5"/>
      <c r="Q5"/>
      <c r="R5"/>
      <c r="S5"/>
      <c r="T5"/>
    </row>
    <row r="6" ht="16" customHeight="1" spans="1:21">
      <c r="A6" s="304" t="s">
        <v>210</v>
      </c>
      <c r="B6" s="305"/>
      <c r="C6" s="305"/>
      <c r="D6" s="305"/>
      <c r="E6" s="305"/>
      <c r="F6" s="306">
        <f t="shared" si="0"/>
        <v>0</v>
      </c>
      <c r="G6" s="309"/>
      <c r="H6" s="308" t="str">
        <f t="shared" si="1"/>
        <v/>
      </c>
      <c r="J6"/>
      <c r="K6"/>
      <c r="L6"/>
      <c r="M6"/>
      <c r="N6"/>
      <c r="O6"/>
      <c r="P6"/>
      <c r="Q6"/>
      <c r="R6"/>
      <c r="S6"/>
      <c r="T6"/>
    </row>
    <row r="7" ht="16" customHeight="1" spans="1:21">
      <c r="A7" s="304" t="s">
        <v>211</v>
      </c>
      <c r="B7" s="305"/>
      <c r="C7" s="305"/>
      <c r="D7" s="305"/>
      <c r="E7" s="305"/>
      <c r="F7" s="306">
        <f t="shared" si="0"/>
        <v>0</v>
      </c>
      <c r="G7" s="309"/>
      <c r="H7" s="308" t="str">
        <f t="shared" si="1"/>
        <v/>
      </c>
      <c r="J7"/>
      <c r="K7"/>
      <c r="L7"/>
      <c r="M7"/>
      <c r="N7"/>
      <c r="O7"/>
      <c r="P7"/>
      <c r="Q7"/>
      <c r="R7"/>
      <c r="S7"/>
      <c r="T7"/>
    </row>
    <row r="8" ht="16" customHeight="1" spans="1:21">
      <c r="A8" s="304" t="s">
        <v>212</v>
      </c>
      <c r="B8" s="305">
        <f>'附件5（其他收益明细）'!D8</f>
        <v>0</v>
      </c>
      <c r="C8" s="305">
        <f>'附件5（其他收益明细）'!E8</f>
        <v>0</v>
      </c>
      <c r="D8" s="305">
        <f>'附件5（其他收益明细）'!F8</f>
        <v>0</v>
      </c>
      <c r="E8" s="305">
        <f>'附件5（其他收益明细）'!G8</f>
        <v>0</v>
      </c>
      <c r="F8" s="306">
        <f t="shared" si="0"/>
        <v>0</v>
      </c>
      <c r="G8" s="307"/>
      <c r="H8" s="308" t="str">
        <f t="shared" si="1"/>
        <v/>
      </c>
      <c r="J8"/>
      <c r="K8"/>
      <c r="L8"/>
      <c r="M8"/>
      <c r="N8"/>
      <c r="O8"/>
      <c r="P8"/>
      <c r="Q8"/>
      <c r="R8"/>
      <c r="S8"/>
      <c r="T8"/>
    </row>
    <row r="9" ht="16" customHeight="1" spans="1:21">
      <c r="A9" s="304" t="s">
        <v>213</v>
      </c>
      <c r="B9" s="305"/>
      <c r="C9" s="305"/>
      <c r="D9" s="305"/>
      <c r="E9" s="305"/>
      <c r="F9" s="306">
        <f t="shared" si="0"/>
        <v>0</v>
      </c>
      <c r="G9" s="307"/>
      <c r="H9" s="308" t="str">
        <f t="shared" si="1"/>
        <v/>
      </c>
      <c r="J9"/>
      <c r="K9"/>
      <c r="L9"/>
      <c r="M9"/>
      <c r="N9"/>
      <c r="O9"/>
      <c r="P9"/>
      <c r="Q9"/>
      <c r="R9"/>
      <c r="S9"/>
      <c r="T9"/>
    </row>
    <row r="10" ht="16" customHeight="1" spans="1:21">
      <c r="A10" s="304" t="s">
        <v>214</v>
      </c>
      <c r="B10" s="305">
        <f>'附件5（其他收益明细）'!D4+'附件5（其他收益明细）'!D5+'附件5（其他收益明细）'!D6+G17</f>
        <v>0</v>
      </c>
      <c r="C10" s="305">
        <f>'附件5（其他收益明细）'!E4+'附件5（其他收益明细）'!E5+'附件5（其他收益明细）'!E6</f>
        <v>0</v>
      </c>
      <c r="D10" s="305">
        <f>'附件5（其他收益明细）'!F4+'附件5（其他收益明细）'!F5+'附件5（其他收益明细）'!F6</f>
        <v>0</v>
      </c>
      <c r="E10" s="305">
        <f>'附件5（其他收益明细）'!G4+'附件5（其他收益明细）'!G5+'附件5（其他收益明细）'!G6</f>
        <v>0</v>
      </c>
      <c r="F10" s="306">
        <f t="shared" si="0"/>
        <v>0</v>
      </c>
      <c r="G10" s="307"/>
      <c r="H10" s="308" t="str">
        <f t="shared" si="1"/>
        <v/>
      </c>
      <c r="J10"/>
      <c r="K10"/>
      <c r="L10"/>
      <c r="M10"/>
      <c r="N10"/>
      <c r="O10"/>
      <c r="P10"/>
      <c r="Q10"/>
      <c r="R10"/>
      <c r="S10"/>
      <c r="T10"/>
    </row>
    <row r="11" ht="16" customHeight="1" spans="1:21">
      <c r="A11" s="304" t="s">
        <v>215</v>
      </c>
      <c r="B11" s="305"/>
      <c r="C11" s="305"/>
      <c r="D11" s="305"/>
      <c r="E11" s="305"/>
      <c r="F11" s="306">
        <f t="shared" si="0"/>
        <v>0</v>
      </c>
      <c r="G11" s="309"/>
      <c r="H11" s="308" t="str">
        <f t="shared" si="1"/>
        <v/>
      </c>
      <c r="J11"/>
      <c r="K11"/>
      <c r="L11"/>
      <c r="M11"/>
      <c r="N11"/>
      <c r="O11"/>
      <c r="P11"/>
      <c r="Q11"/>
      <c r="R11"/>
      <c r="S11"/>
      <c r="T11"/>
    </row>
    <row r="12" ht="16" customHeight="1" spans="1:21">
      <c r="A12" s="304" t="s">
        <v>216</v>
      </c>
      <c r="B12" s="305"/>
      <c r="C12" s="305"/>
      <c r="D12" s="305"/>
      <c r="E12" s="305"/>
      <c r="F12" s="306">
        <f t="shared" si="0"/>
        <v>0</v>
      </c>
      <c r="G12" s="309"/>
      <c r="H12" s="308" t="str">
        <f t="shared" si="1"/>
        <v/>
      </c>
      <c r="J12"/>
      <c r="K12"/>
      <c r="L12"/>
      <c r="M12"/>
      <c r="N12"/>
      <c r="O12"/>
      <c r="P12"/>
      <c r="Q12"/>
      <c r="R12"/>
      <c r="S12"/>
      <c r="T12"/>
    </row>
    <row r="13" spans="1:21">
      <c r="J13"/>
      <c r="K13"/>
      <c r="L13"/>
      <c r="M13"/>
      <c r="N13"/>
      <c r="O13"/>
      <c r="P13"/>
      <c r="Q13"/>
      <c r="R13"/>
      <c r="S13"/>
      <c r="T13"/>
    </row>
    <row r="14" spans="1:21">
      <c r="A14" s="11" t="s">
        <v>217</v>
      </c>
      <c r="J14"/>
      <c r="K14"/>
      <c r="L14"/>
      <c r="M14"/>
      <c r="N14"/>
      <c r="O14"/>
      <c r="P14"/>
      <c r="Q14"/>
      <c r="R14"/>
      <c r="S14"/>
      <c r="T14"/>
    </row>
    <row r="15" spans="1:21">
      <c r="J15"/>
      <c r="K15"/>
      <c r="L15"/>
      <c r="M15"/>
      <c r="N15"/>
      <c r="O15"/>
      <c r="P15"/>
      <c r="Q15"/>
      <c r="R15"/>
      <c r="S15"/>
      <c r="T15"/>
    </row>
    <row r="16" ht="21.5" customHeight="1" spans="1:21">
      <c r="A16" s="310" t="s">
        <v>44</v>
      </c>
      <c r="B16" s="311" t="s">
        <v>218</v>
      </c>
      <c r="C16" s="311" t="s">
        <v>219</v>
      </c>
      <c r="D16" s="311" t="s">
        <v>220</v>
      </c>
      <c r="E16" s="311" t="s">
        <v>221</v>
      </c>
      <c r="F16" s="311" t="s">
        <v>222</v>
      </c>
      <c r="G16" s="311" t="s">
        <v>223</v>
      </c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12" t="s">
        <v>212</v>
      </c>
      <c r="B17" s="12"/>
      <c r="C17" s="304"/>
      <c r="D17" s="313"/>
      <c r="E17" s="30"/>
      <c r="F17" s="314"/>
      <c r="G17" s="314">
        <f>E17-F17</f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12"/>
      <c r="B18" s="12"/>
      <c r="C18" s="304"/>
      <c r="D18" s="313"/>
      <c r="E18" s="314"/>
      <c r="F18" s="314"/>
      <c r="G18" s="314">
        <f t="shared" ref="G18:G24" si="2">E18-F18</f>
        <v>0</v>
      </c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12"/>
      <c r="B19" s="12"/>
      <c r="C19" s="304"/>
      <c r="D19" s="313"/>
      <c r="E19" s="314"/>
      <c r="F19" s="314"/>
      <c r="G19" s="314">
        <f t="shared" si="2"/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12"/>
      <c r="B20" s="8"/>
      <c r="C20" s="304"/>
      <c r="D20" s="313"/>
      <c r="E20" s="314"/>
      <c r="F20" s="314"/>
      <c r="G20" s="314">
        <f t="shared" si="2"/>
        <v>0</v>
      </c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12"/>
      <c r="B21" s="315"/>
      <c r="C21" s="304"/>
      <c r="D21" s="304"/>
      <c r="E21" s="314"/>
      <c r="F21" s="314"/>
      <c r="G21" s="314">
        <f t="shared" si="2"/>
        <v>0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 s="312"/>
      <c r="B22" s="315"/>
      <c r="C22" s="304"/>
      <c r="D22" s="304"/>
      <c r="E22" s="314"/>
      <c r="F22" s="314"/>
      <c r="G22" s="314">
        <f t="shared" si="2"/>
        <v>0</v>
      </c>
      <c r="J22"/>
      <c r="K22"/>
      <c r="L22"/>
      <c r="M22"/>
      <c r="N22"/>
      <c r="O22"/>
      <c r="P22"/>
      <c r="Q22"/>
      <c r="R22"/>
      <c r="S22"/>
      <c r="T22"/>
    </row>
    <row r="23" spans="1:20">
      <c r="A23" s="312"/>
      <c r="B23" s="315"/>
      <c r="C23" s="304"/>
      <c r="D23" s="304"/>
      <c r="E23" s="314"/>
      <c r="F23" s="314"/>
      <c r="G23" s="314">
        <f t="shared" si="2"/>
        <v>0</v>
      </c>
      <c r="J23"/>
      <c r="K23"/>
      <c r="L23"/>
      <c r="M23"/>
      <c r="N23"/>
      <c r="O23"/>
      <c r="P23"/>
      <c r="Q23"/>
      <c r="R23"/>
      <c r="S23"/>
      <c r="T23"/>
    </row>
    <row r="24" spans="1:20">
      <c r="A24" s="312"/>
      <c r="B24" s="315"/>
      <c r="C24" s="304"/>
      <c r="D24" s="304"/>
      <c r="E24" s="314">
        <f>SUM(E17:E23)</f>
        <v>0</v>
      </c>
      <c r="F24" s="314"/>
      <c r="G24" s="314">
        <f t="shared" si="2"/>
        <v>0</v>
      </c>
      <c r="J24"/>
      <c r="K24"/>
      <c r="L24"/>
      <c r="M24"/>
      <c r="N24"/>
      <c r="O24"/>
      <c r="P24"/>
      <c r="Q24"/>
      <c r="R24"/>
      <c r="S24"/>
      <c r="T24"/>
    </row>
    <row r="25" spans="1:20">
      <c r="J25"/>
      <c r="K25"/>
      <c r="L25"/>
      <c r="M25"/>
      <c r="N25"/>
      <c r="O25"/>
      <c r="P25"/>
      <c r="Q25"/>
      <c r="R25"/>
      <c r="S25"/>
      <c r="T25"/>
    </row>
    <row r="26" spans="1:20">
      <c r="J26"/>
      <c r="K26"/>
      <c r="L26"/>
      <c r="M26"/>
      <c r="N26"/>
      <c r="O26"/>
      <c r="P26"/>
      <c r="Q26"/>
      <c r="R26"/>
      <c r="S26"/>
      <c r="T26"/>
    </row>
    <row r="27" spans="1:20">
      <c r="J27"/>
      <c r="K27"/>
      <c r="L27"/>
      <c r="M27"/>
      <c r="N27"/>
      <c r="O27"/>
      <c r="P27"/>
      <c r="Q27"/>
      <c r="R27"/>
      <c r="S27"/>
      <c r="T27"/>
    </row>
    <row r="28" spans="1:20">
      <c r="A28" s="316" t="s">
        <v>83</v>
      </c>
      <c r="B28" s="317"/>
      <c r="C28" s="134" t="s">
        <v>182</v>
      </c>
      <c r="D28" s="134" t="s">
        <v>183</v>
      </c>
      <c r="E28" s="134" t="s">
        <v>184</v>
      </c>
      <c r="F28" s="134" t="s">
        <v>185</v>
      </c>
      <c r="G28" s="135" t="s">
        <v>50</v>
      </c>
      <c r="J28"/>
      <c r="K28"/>
      <c r="L28"/>
      <c r="M28"/>
      <c r="N28"/>
      <c r="O28"/>
      <c r="P28"/>
      <c r="Q28"/>
      <c r="R28"/>
      <c r="S28"/>
      <c r="T28"/>
    </row>
    <row r="29" spans="1:20">
      <c r="A29" s="275" t="s">
        <v>224</v>
      </c>
      <c r="B29" s="277"/>
      <c r="C29" s="139"/>
      <c r="D29" s="139">
        <f>C9</f>
        <v>0</v>
      </c>
      <c r="E29" s="139">
        <f>D9</f>
        <v>0</v>
      </c>
      <c r="F29" s="139">
        <f>E9</f>
        <v>0</v>
      </c>
      <c r="G29" s="139">
        <f>SUM(C29:F29)</f>
        <v>0</v>
      </c>
      <c r="J29"/>
      <c r="K29"/>
      <c r="L29"/>
      <c r="M29"/>
      <c r="N29"/>
      <c r="O29"/>
      <c r="P29"/>
      <c r="Q29"/>
      <c r="R29"/>
      <c r="S29"/>
      <c r="T29"/>
    </row>
    <row r="30" spans="1:20">
      <c r="A30" s="275" t="s">
        <v>225</v>
      </c>
      <c r="B30" s="277"/>
      <c r="C30" s="139">
        <f>B8+B11</f>
        <v>0</v>
      </c>
      <c r="D30" s="139">
        <f>C8+C11</f>
        <v>0</v>
      </c>
      <c r="E30" s="139">
        <f>D8+D11</f>
        <v>0</v>
      </c>
      <c r="F30" s="139">
        <f>E8+E11</f>
        <v>0</v>
      </c>
      <c r="G30" s="139">
        <f>SUM(C30:F30)</f>
        <v>0</v>
      </c>
      <c r="J30"/>
      <c r="K30"/>
      <c r="L30"/>
      <c r="M30"/>
      <c r="N30"/>
      <c r="O30"/>
      <c r="P30"/>
      <c r="Q30"/>
      <c r="R30"/>
      <c r="S30"/>
      <c r="T30"/>
    </row>
    <row r="31" ht="16" customHeight="1" spans="1:20">
      <c r="A31" s="275" t="s">
        <v>226</v>
      </c>
      <c r="B31" s="277"/>
      <c r="C31" s="139">
        <f>B12</f>
        <v>0</v>
      </c>
      <c r="D31" s="139">
        <f>C12</f>
        <v>0</v>
      </c>
      <c r="E31" s="139">
        <f>D12</f>
        <v>0</v>
      </c>
      <c r="F31" s="139">
        <f>E12</f>
        <v>0</v>
      </c>
      <c r="G31" s="139">
        <f>SUM(C31:F31)</f>
        <v>0</v>
      </c>
      <c r="J31"/>
      <c r="K31"/>
      <c r="L31"/>
      <c r="M31"/>
      <c r="N31"/>
      <c r="O31"/>
      <c r="P31"/>
      <c r="Q31"/>
      <c r="R31"/>
      <c r="S31"/>
      <c r="T31"/>
    </row>
    <row r="32" spans="1:20">
      <c r="J32"/>
      <c r="K32"/>
      <c r="L32"/>
      <c r="M32"/>
      <c r="N32"/>
      <c r="O32"/>
      <c r="P32"/>
      <c r="Q32"/>
      <c r="R32"/>
      <c r="S32"/>
      <c r="T32"/>
    </row>
    <row r="33" spans="10:20">
      <c r="J33"/>
      <c r="K33"/>
      <c r="L33"/>
      <c r="M33"/>
      <c r="N33"/>
      <c r="O33"/>
      <c r="P33"/>
      <c r="Q33"/>
      <c r="R33"/>
      <c r="S33"/>
      <c r="T33"/>
    </row>
    <row r="34" spans="10:20">
      <c r="J34"/>
      <c r="K34"/>
      <c r="L34"/>
      <c r="M34"/>
      <c r="N34"/>
      <c r="O34"/>
      <c r="P34"/>
      <c r="Q34"/>
      <c r="R34"/>
      <c r="S34"/>
      <c r="T34"/>
    </row>
    <row r="35" spans="10:20">
      <c r="J35"/>
      <c r="K35"/>
      <c r="L35"/>
      <c r="M35"/>
      <c r="N35"/>
      <c r="O35"/>
      <c r="P35"/>
      <c r="Q35"/>
      <c r="R35"/>
      <c r="S35"/>
      <c r="T35"/>
    </row>
    <row r="36" spans="10:20">
      <c r="J36"/>
      <c r="K36"/>
      <c r="L36"/>
      <c r="M36"/>
      <c r="N36"/>
      <c r="O36"/>
      <c r="P36"/>
      <c r="Q36"/>
      <c r="R36"/>
      <c r="S36"/>
      <c r="T36"/>
    </row>
    <row r="37" spans="10:20">
      <c r="J37"/>
      <c r="K37"/>
      <c r="L37"/>
      <c r="M37"/>
      <c r="N37"/>
      <c r="O37"/>
      <c r="P37"/>
      <c r="Q37"/>
      <c r="R37"/>
      <c r="S37"/>
      <c r="T37"/>
    </row>
    <row r="38" spans="10:20">
      <c r="J38"/>
      <c r="K38"/>
      <c r="L38"/>
      <c r="M38"/>
      <c r="N38"/>
      <c r="O38"/>
      <c r="P38"/>
      <c r="Q38"/>
      <c r="R38"/>
      <c r="S38"/>
      <c r="T38"/>
    </row>
  </sheetData>
  <mergeCells count="4">
    <mergeCell ref="A1:H1"/>
    <mergeCell ref="A29:B29"/>
    <mergeCell ref="A31:B31"/>
    <mergeCell ref="A17:A24"/>
  </mergeCells>
  <pageMargins left="0.7" right="0.7" top="0.75" bottom="0.75" header="0.3" footer="0.3"/>
  <pageSetup paperSize="1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showGridLines="0" workbookViewId="0">
      <selection activeCell="H15" sqref="H15"/>
    </sheetView>
  </sheetViews>
  <sheetFormatPr defaultColWidth="8.91666666666667" defaultRowHeight="16.5"/>
  <cols>
    <col min="1" max="1" width="13.4166666666667" style="11" customWidth="1"/>
    <col min="2" max="2" width="15.4166666666667" style="11" customWidth="1"/>
    <col min="3" max="3" width="12.75" style="11" customWidth="1"/>
    <col min="4" max="5" width="10.5833333333333" style="11" customWidth="1"/>
    <col min="6" max="6" width="13" style="11" customWidth="1"/>
    <col min="7" max="7" width="13.25" style="11" customWidth="1"/>
    <col min="8" max="8" width="20" style="11" customWidth="1"/>
    <col min="9" max="9" width="12.6666666666667" style="279" customWidth="1"/>
    <col min="10" max="10" width="63" style="11" customWidth="1"/>
    <col min="11" max="25" width="14" style="11" customWidth="1"/>
    <col min="26" max="16384" width="8.91666666666667" style="11"/>
  </cols>
  <sheetData>
    <row r="1" ht="16" customHeight="1" spans="1:11">
      <c r="A1" s="143" t="s">
        <v>227</v>
      </c>
      <c r="B1" s="143"/>
      <c r="C1" s="143"/>
      <c r="D1" s="143"/>
      <c r="E1" s="143"/>
      <c r="F1" s="143"/>
      <c r="G1" s="143"/>
      <c r="H1" s="143"/>
      <c r="I1" s="280"/>
    </row>
    <row r="2" ht="16" customHeight="1" spans="1:11">
      <c r="A2" s="144"/>
      <c r="B2" s="145"/>
      <c r="C2" s="146"/>
      <c r="D2" s="147"/>
      <c r="E2" s="148"/>
      <c r="F2" s="149"/>
      <c r="G2" s="149"/>
      <c r="H2" s="149"/>
      <c r="I2" s="281" t="s">
        <v>228</v>
      </c>
    </row>
    <row r="3" ht="16" customHeight="1" spans="1:11">
      <c r="A3" s="151" t="s">
        <v>229</v>
      </c>
      <c r="B3" s="152"/>
      <c r="C3" s="153" t="s">
        <v>46</v>
      </c>
      <c r="D3" s="153" t="s">
        <v>47</v>
      </c>
      <c r="E3" s="153" t="s">
        <v>48</v>
      </c>
      <c r="F3" s="153" t="s">
        <v>49</v>
      </c>
      <c r="G3" s="160" t="s">
        <v>50</v>
      </c>
      <c r="H3" s="155" t="s">
        <v>45</v>
      </c>
      <c r="I3" s="282">
        <v>0.0104</v>
      </c>
      <c r="J3" s="156" t="s">
        <v>230</v>
      </c>
    </row>
    <row r="4" ht="16" customHeight="1" spans="1:11">
      <c r="A4" s="152"/>
      <c r="B4" s="152"/>
      <c r="C4" s="152"/>
      <c r="D4" s="152"/>
      <c r="E4" s="152"/>
      <c r="F4" s="152"/>
      <c r="G4" s="283"/>
      <c r="H4" s="158"/>
      <c r="I4" s="284"/>
      <c r="J4" s="152"/>
    </row>
    <row r="5" ht="19.75" customHeight="1" spans="1:11">
      <c r="A5" s="162" t="s">
        <v>231</v>
      </c>
      <c r="B5" s="163"/>
      <c r="C5" s="164"/>
      <c r="D5" s="164"/>
      <c r="E5" s="164"/>
      <c r="F5" s="164"/>
      <c r="G5" s="285"/>
      <c r="H5" s="164"/>
      <c r="I5" s="286"/>
      <c r="J5" s="163"/>
    </row>
    <row r="6" ht="19.75" customHeight="1" spans="1:11">
      <c r="A6" s="168" t="s">
        <v>232</v>
      </c>
      <c r="B6" s="163"/>
      <c r="C6" s="169">
        <f t="shared" ref="C6:H6" si="0">SUM(C7:C8)</f>
        <v>100.87</v>
      </c>
      <c r="D6" s="169">
        <f t="shared" si="0"/>
        <v>100.87</v>
      </c>
      <c r="E6" s="169">
        <f t="shared" si="0"/>
        <v>100.87</v>
      </c>
      <c r="F6" s="169">
        <f t="shared" si="0"/>
        <v>100.87</v>
      </c>
      <c r="G6" s="170">
        <f t="shared" si="0"/>
        <v>403.48</v>
      </c>
      <c r="H6" s="169">
        <f t="shared" si="0"/>
        <v>405.765243</v>
      </c>
      <c r="I6" s="185">
        <f t="shared" ref="I6:I30" si="1">IFERROR(G6/H6-1,"")</f>
        <v>-0.00563193383224325</v>
      </c>
      <c r="J6" s="287"/>
      <c r="K6" s="288"/>
    </row>
    <row r="7" ht="19.75" customHeight="1" spans="1:11">
      <c r="A7" s="173" t="s">
        <v>233</v>
      </c>
      <c r="B7" s="163"/>
      <c r="C7" s="169"/>
      <c r="D7" s="169"/>
      <c r="E7" s="169"/>
      <c r="F7" s="169"/>
      <c r="G7" s="170"/>
      <c r="H7" s="169"/>
      <c r="I7" s="185" t="str">
        <f t="shared" si="1"/>
        <v/>
      </c>
      <c r="J7" s="172"/>
    </row>
    <row r="8" ht="19.75" customHeight="1" spans="1:11">
      <c r="A8" s="173" t="s">
        <v>234</v>
      </c>
      <c r="B8" s="163"/>
      <c r="C8" s="169">
        <f t="shared" ref="C8:H8" si="2">SUM(C9:C12)</f>
        <v>100.87</v>
      </c>
      <c r="D8" s="169">
        <f t="shared" si="2"/>
        <v>100.87</v>
      </c>
      <c r="E8" s="169">
        <f t="shared" si="2"/>
        <v>100.87</v>
      </c>
      <c r="F8" s="169">
        <f t="shared" si="2"/>
        <v>100.87</v>
      </c>
      <c r="G8" s="170">
        <f t="shared" si="2"/>
        <v>403.48</v>
      </c>
      <c r="H8" s="169">
        <f t="shared" si="2"/>
        <v>405.765243</v>
      </c>
      <c r="I8" s="185">
        <f t="shared" si="1"/>
        <v>-0.00563193383224325</v>
      </c>
      <c r="J8" s="172"/>
    </row>
    <row r="9" ht="19.75" customHeight="1" spans="1:11">
      <c r="A9" s="175" t="s">
        <v>235</v>
      </c>
      <c r="B9" s="163"/>
      <c r="C9" s="169">
        <f t="shared" ref="C9:H9" si="3">SUM(C45:C51)</f>
        <v>0</v>
      </c>
      <c r="D9" s="169">
        <f t="shared" si="3"/>
        <v>0</v>
      </c>
      <c r="E9" s="169">
        <f t="shared" si="3"/>
        <v>0</v>
      </c>
      <c r="F9" s="169">
        <f t="shared" si="3"/>
        <v>0</v>
      </c>
      <c r="G9" s="170">
        <f t="shared" si="3"/>
        <v>0</v>
      </c>
      <c r="H9" s="169">
        <f t="shared" si="3"/>
        <v>0</v>
      </c>
      <c r="I9" s="185" t="str">
        <f t="shared" si="1"/>
        <v/>
      </c>
      <c r="J9" s="172"/>
    </row>
    <row r="10" ht="19.75" customHeight="1" spans="1:11">
      <c r="A10" s="175" t="s">
        <v>236</v>
      </c>
      <c r="B10" s="163"/>
      <c r="C10" s="169">
        <f t="shared" ref="C10:H10" si="4">SUM(C36:C44)</f>
        <v>0</v>
      </c>
      <c r="D10" s="169">
        <f t="shared" si="4"/>
        <v>0</v>
      </c>
      <c r="E10" s="169">
        <f t="shared" si="4"/>
        <v>0</v>
      </c>
      <c r="F10" s="169">
        <f t="shared" si="4"/>
        <v>0</v>
      </c>
      <c r="G10" s="170">
        <f t="shared" si="4"/>
        <v>0</v>
      </c>
      <c r="H10" s="169">
        <f t="shared" si="4"/>
        <v>59.238034</v>
      </c>
      <c r="I10" s="185">
        <f t="shared" si="1"/>
        <v>-1</v>
      </c>
      <c r="J10" s="172"/>
    </row>
    <row r="11" ht="19.75" customHeight="1" spans="1:11">
      <c r="A11" s="175" t="s">
        <v>237</v>
      </c>
      <c r="B11" s="163"/>
      <c r="C11" s="169">
        <f t="shared" ref="C11:H11" si="5">SUM(C13:C22)</f>
        <v>23.3</v>
      </c>
      <c r="D11" s="169">
        <f t="shared" si="5"/>
        <v>23.3</v>
      </c>
      <c r="E11" s="169">
        <f t="shared" si="5"/>
        <v>23.3</v>
      </c>
      <c r="F11" s="169">
        <f t="shared" si="5"/>
        <v>23.3</v>
      </c>
      <c r="G11" s="170">
        <f t="shared" si="5"/>
        <v>93.2</v>
      </c>
      <c r="H11" s="169">
        <f t="shared" si="5"/>
        <v>96.400884</v>
      </c>
      <c r="I11" s="185">
        <f t="shared" si="1"/>
        <v>-0.0332038863875977</v>
      </c>
      <c r="J11" s="172"/>
    </row>
    <row r="12" ht="19.75" customHeight="1" spans="1:11">
      <c r="A12" s="175" t="s">
        <v>238</v>
      </c>
      <c r="B12" s="163"/>
      <c r="C12" s="169">
        <f t="shared" ref="C12:H12" si="6">SUM(C23:C35)</f>
        <v>77.57</v>
      </c>
      <c r="D12" s="169">
        <f t="shared" si="6"/>
        <v>77.57</v>
      </c>
      <c r="E12" s="169">
        <f t="shared" si="6"/>
        <v>77.57</v>
      </c>
      <c r="F12" s="169">
        <f t="shared" si="6"/>
        <v>77.57</v>
      </c>
      <c r="G12" s="170">
        <f t="shared" si="6"/>
        <v>310.28</v>
      </c>
      <c r="H12" s="169">
        <f t="shared" si="6"/>
        <v>250.126325</v>
      </c>
      <c r="I12" s="185">
        <f t="shared" si="1"/>
        <v>0.240493178796754</v>
      </c>
      <c r="J12" s="172"/>
    </row>
    <row r="13" ht="16" customHeight="1" spans="1:11">
      <c r="A13" s="176" t="s">
        <v>239</v>
      </c>
      <c r="B13" s="177" t="s">
        <v>195</v>
      </c>
      <c r="C13" s="289">
        <f>'附件1.1费用预算（管理）'!C13+'附件1.2费用预算（销售）'!C13</f>
        <v>0.125</v>
      </c>
      <c r="D13" s="289">
        <f>'附件1.1费用预算（管理）'!D13+'附件1.2费用预算（销售）'!D13</f>
        <v>0.125</v>
      </c>
      <c r="E13" s="289">
        <f>'附件1.1费用预算（管理）'!E13+'附件1.2费用预算（销售）'!E13</f>
        <v>0.125</v>
      </c>
      <c r="F13" s="289">
        <f>'附件1.1费用预算（管理）'!F13+'附件1.2费用预算（销售）'!F13</f>
        <v>0.125</v>
      </c>
      <c r="G13" s="179">
        <f t="shared" ref="G13:G29" si="7">SUM(C13:F13)</f>
        <v>0.5</v>
      </c>
      <c r="H13" s="290">
        <f>'附件1.1费用预算（管理）'!H13+'附件1.2费用预算（销售）'!H13</f>
        <v>1.749161</v>
      </c>
      <c r="I13" s="185">
        <f t="shared" si="1"/>
        <v>-0.714148668990447</v>
      </c>
      <c r="J13" s="172"/>
    </row>
    <row r="14" ht="16" customHeight="1" spans="1:11">
      <c r="A14" s="163"/>
      <c r="B14" s="177" t="s">
        <v>31</v>
      </c>
      <c r="C14" s="289">
        <f>'附件1.1费用预算（管理）'!C14+'附件1.2费用预算（销售）'!C14</f>
        <v>1.02</v>
      </c>
      <c r="D14" s="289">
        <f>'附件1.1费用预算（管理）'!D14+'附件1.2费用预算（销售）'!D14</f>
        <v>1.02</v>
      </c>
      <c r="E14" s="289">
        <f>'附件1.1费用预算（管理）'!E14+'附件1.2费用预算（销售）'!E14</f>
        <v>1.02</v>
      </c>
      <c r="F14" s="289">
        <f>'附件1.1费用预算（管理）'!F14+'附件1.2费用预算（销售）'!F14</f>
        <v>1.02</v>
      </c>
      <c r="G14" s="179">
        <f t="shared" si="7"/>
        <v>4.08</v>
      </c>
      <c r="H14" s="290">
        <f>'附件1.1费用预算（管理）'!H14+'附件1.2费用预算（销售）'!H14</f>
        <v>2.621484</v>
      </c>
      <c r="I14" s="185">
        <f t="shared" si="1"/>
        <v>0.556370361215251</v>
      </c>
      <c r="J14" s="172"/>
    </row>
    <row r="15" ht="16" customHeight="1" spans="1:11">
      <c r="A15" s="163"/>
      <c r="B15" s="177" t="s">
        <v>196</v>
      </c>
      <c r="C15" s="289">
        <f>'附件1.1费用预算（管理）'!C15+'附件1.2费用预算（销售）'!C15</f>
        <v>1.605</v>
      </c>
      <c r="D15" s="289">
        <f>'附件1.1费用预算（管理）'!D15+'附件1.2费用预算（销售）'!D15</f>
        <v>1.605</v>
      </c>
      <c r="E15" s="289">
        <f>'附件1.1费用预算（管理）'!E15+'附件1.2费用预算（销售）'!E15</f>
        <v>1.605</v>
      </c>
      <c r="F15" s="289">
        <f>'附件1.1费用预算（管理）'!F15+'附件1.2费用预算（销售）'!F15</f>
        <v>1.605</v>
      </c>
      <c r="G15" s="179">
        <f t="shared" si="7"/>
        <v>6.42</v>
      </c>
      <c r="H15" s="290">
        <f>'附件1.1费用预算（管理）'!H15+'附件1.2费用预算（销售）'!H15</f>
        <v>4.220902</v>
      </c>
      <c r="I15" s="185">
        <f t="shared" si="1"/>
        <v>0.521001909070621</v>
      </c>
      <c r="J15" s="172"/>
    </row>
    <row r="16" ht="16" customHeight="1" spans="1:11">
      <c r="A16" s="163"/>
      <c r="B16" s="177" t="s">
        <v>240</v>
      </c>
      <c r="C16" s="289">
        <f>'附件1.1费用预算（管理）'!C16+'附件1.2费用预算（销售）'!C16</f>
        <v>19.95</v>
      </c>
      <c r="D16" s="289">
        <f>'附件1.1费用预算（管理）'!D16+'附件1.2费用预算（销售）'!D16</f>
        <v>19.95</v>
      </c>
      <c r="E16" s="289">
        <f>'附件1.1费用预算（管理）'!E16+'附件1.2费用预算（销售）'!E16</f>
        <v>19.95</v>
      </c>
      <c r="F16" s="289">
        <f>'附件1.1费用预算（管理）'!F16+'附件1.2费用预算（销售）'!F16</f>
        <v>19.95</v>
      </c>
      <c r="G16" s="179">
        <f t="shared" si="7"/>
        <v>79.8</v>
      </c>
      <c r="H16" s="290">
        <f>'附件1.1费用预算（管理）'!H16+'附件1.2费用预算（销售）'!H16</f>
        <v>75.063253</v>
      </c>
      <c r="I16" s="185">
        <f t="shared" si="1"/>
        <v>0.0631034069360143</v>
      </c>
      <c r="J16" s="172"/>
    </row>
    <row r="17" ht="16" customHeight="1" spans="1:10">
      <c r="A17" s="163"/>
      <c r="B17" s="177" t="s">
        <v>241</v>
      </c>
      <c r="C17" s="289">
        <f>'附件1.1费用预算（管理）'!C17+'附件1.2费用预算（销售）'!C17</f>
        <v>0</v>
      </c>
      <c r="D17" s="289">
        <f>'附件1.1费用预算（管理）'!D17+'附件1.2费用预算（销售）'!D17</f>
        <v>0</v>
      </c>
      <c r="E17" s="289">
        <f>'附件1.1费用预算（管理）'!E17+'附件1.2费用预算（销售）'!E17</f>
        <v>0</v>
      </c>
      <c r="F17" s="289">
        <f>'附件1.1费用预算（管理）'!F17+'附件1.2费用预算（销售）'!F17</f>
        <v>0</v>
      </c>
      <c r="G17" s="179">
        <f t="shared" si="7"/>
        <v>0</v>
      </c>
      <c r="H17" s="290">
        <f>'附件1.1费用预算（管理）'!H17+'附件1.2费用预算（销售）'!H17</f>
        <v>0</v>
      </c>
      <c r="I17" s="185" t="str">
        <f t="shared" si="1"/>
        <v/>
      </c>
      <c r="J17" s="172"/>
    </row>
    <row r="18" ht="16" customHeight="1" spans="1:10">
      <c r="A18" s="163"/>
      <c r="B18" s="177" t="s">
        <v>242</v>
      </c>
      <c r="C18" s="289">
        <f>'附件1.1费用预算（管理）'!C18+'附件1.2费用预算（销售）'!C18</f>
        <v>0</v>
      </c>
      <c r="D18" s="289">
        <f>'附件1.1费用预算（管理）'!D18+'附件1.2费用预算（销售）'!D18</f>
        <v>0</v>
      </c>
      <c r="E18" s="289">
        <f>'附件1.1费用预算（管理）'!E18+'附件1.2费用预算（销售）'!E18</f>
        <v>0</v>
      </c>
      <c r="F18" s="289">
        <f>'附件1.1费用预算（管理）'!F18+'附件1.2费用预算（销售）'!F18</f>
        <v>0</v>
      </c>
      <c r="G18" s="179">
        <f t="shared" si="7"/>
        <v>0</v>
      </c>
      <c r="H18" s="290">
        <f>'附件1.1费用预算（管理）'!H18+'附件1.2费用预算（销售）'!H18</f>
        <v>2.742189</v>
      </c>
      <c r="I18" s="185">
        <f t="shared" si="1"/>
        <v>-1</v>
      </c>
      <c r="J18" s="172"/>
    </row>
    <row r="19" ht="16" customHeight="1" spans="1:10">
      <c r="A19" s="163"/>
      <c r="B19" s="177" t="s">
        <v>243</v>
      </c>
      <c r="C19" s="289">
        <f>'附件1.1费用预算（管理）'!C19+'附件1.2费用预算（销售）'!C19</f>
        <v>0</v>
      </c>
      <c r="D19" s="289">
        <f>'附件1.1费用预算（管理）'!D19+'附件1.2费用预算（销售）'!D19</f>
        <v>0</v>
      </c>
      <c r="E19" s="289">
        <f>'附件1.1费用预算（管理）'!E19+'附件1.2费用预算（销售）'!E19</f>
        <v>0</v>
      </c>
      <c r="F19" s="289">
        <f>'附件1.1费用预算（管理）'!F19+'附件1.2费用预算（销售）'!F19</f>
        <v>0</v>
      </c>
      <c r="G19" s="179">
        <f t="shared" si="7"/>
        <v>0</v>
      </c>
      <c r="H19" s="290">
        <f>'附件1.1费用预算（管理）'!H19+'附件1.2费用预算（销售）'!H19</f>
        <v>2.818129</v>
      </c>
      <c r="I19" s="185">
        <f t="shared" si="1"/>
        <v>-1</v>
      </c>
      <c r="J19" s="172"/>
    </row>
    <row r="20" ht="16" customHeight="1" spans="1:10">
      <c r="A20" s="163"/>
      <c r="B20" s="177" t="s">
        <v>200</v>
      </c>
      <c r="C20" s="289">
        <f>'附件1.1费用预算（管理）'!C20+'附件1.2费用预算（销售）'!C20</f>
        <v>0.6</v>
      </c>
      <c r="D20" s="289">
        <f>'附件1.1费用预算（管理）'!D20+'附件1.2费用预算（销售）'!D20</f>
        <v>0.6</v>
      </c>
      <c r="E20" s="289">
        <f>'附件1.1费用预算（管理）'!E20+'附件1.2费用预算（销售）'!E20</f>
        <v>0.6</v>
      </c>
      <c r="F20" s="289">
        <f>'附件1.1费用预算（管理）'!F20+'附件1.2费用预算（销售）'!F20</f>
        <v>0.6</v>
      </c>
      <c r="G20" s="179">
        <f t="shared" si="7"/>
        <v>2.4</v>
      </c>
      <c r="H20" s="290">
        <f>'附件1.1费用预算（管理）'!H20+'附件1.2费用预算（销售）'!H20</f>
        <v>7.185766</v>
      </c>
      <c r="I20" s="185">
        <f t="shared" si="1"/>
        <v>-0.666006379834801</v>
      </c>
      <c r="J20" s="172"/>
    </row>
    <row r="21" ht="16" customHeight="1" spans="1:10">
      <c r="A21" s="163"/>
      <c r="B21" s="177" t="s">
        <v>244</v>
      </c>
      <c r="C21" s="289">
        <f>'附件1.1费用预算（管理）'!C21+'附件1.2费用预算（销售）'!C21</f>
        <v>0</v>
      </c>
      <c r="D21" s="289">
        <f>'附件1.1费用预算（管理）'!D21+'附件1.2费用预算（销售）'!D21</f>
        <v>0</v>
      </c>
      <c r="E21" s="289">
        <f>'附件1.1费用预算（管理）'!E21+'附件1.2费用预算（销售）'!E21</f>
        <v>0</v>
      </c>
      <c r="F21" s="289">
        <f>'附件1.1费用预算（管理）'!F21+'附件1.2费用预算（销售）'!F21</f>
        <v>0</v>
      </c>
      <c r="G21" s="179">
        <f t="shared" si="7"/>
        <v>0</v>
      </c>
      <c r="H21" s="290">
        <f>'附件1.1费用预算（管理）'!H21+'附件1.2费用预算（销售）'!H21</f>
        <v>0</v>
      </c>
      <c r="I21" s="185" t="str">
        <f t="shared" si="1"/>
        <v/>
      </c>
      <c r="J21" s="172"/>
    </row>
    <row r="22" ht="16" customHeight="1" spans="1:10">
      <c r="A22" s="163"/>
      <c r="B22" s="177" t="s">
        <v>245</v>
      </c>
      <c r="C22" s="289">
        <f>'附件1.1费用预算（管理）'!C22+'附件1.2费用预算（销售）'!C22</f>
        <v>0</v>
      </c>
      <c r="D22" s="289">
        <f>'附件1.1费用预算（管理）'!D22+'附件1.2费用预算（销售）'!D22</f>
        <v>0</v>
      </c>
      <c r="E22" s="289">
        <f>'附件1.1费用预算（管理）'!E22+'附件1.2费用预算（销售）'!E22</f>
        <v>0</v>
      </c>
      <c r="F22" s="289">
        <f>'附件1.1费用预算（管理）'!F22+'附件1.2费用预算（销售）'!F22</f>
        <v>0</v>
      </c>
      <c r="G22" s="179">
        <f t="shared" si="7"/>
        <v>0</v>
      </c>
      <c r="H22" s="290">
        <f>'附件1.1费用预算（管理）'!H22+'附件1.2费用预算（销售）'!H22</f>
        <v>0</v>
      </c>
      <c r="I22" s="185" t="str">
        <f t="shared" si="1"/>
        <v/>
      </c>
      <c r="J22" s="172"/>
    </row>
    <row r="23" ht="16" customHeight="1" spans="1:10">
      <c r="A23" s="176" t="s">
        <v>246</v>
      </c>
      <c r="B23" s="177" t="s">
        <v>247</v>
      </c>
      <c r="C23" s="289">
        <f>'附件1.1费用预算（管理）'!C23+'附件1.2费用预算（销售）'!C23</f>
        <v>0</v>
      </c>
      <c r="D23" s="289">
        <f>'附件1.1费用预算（管理）'!D23+'附件1.2费用预算（销售）'!D23</f>
        <v>0</v>
      </c>
      <c r="E23" s="289">
        <f>'附件1.1费用预算（管理）'!E23+'附件1.2费用预算（销售）'!E23</f>
        <v>0</v>
      </c>
      <c r="F23" s="289">
        <f>'附件1.1费用预算（管理）'!F23+'附件1.2费用预算（销售）'!F23</f>
        <v>0</v>
      </c>
      <c r="G23" s="179">
        <f t="shared" si="7"/>
        <v>0</v>
      </c>
      <c r="H23" s="290">
        <f>'附件1.1费用预算（管理）'!H23+'附件1.2费用预算（销售）'!H23</f>
        <v>0</v>
      </c>
      <c r="I23" s="185" t="str">
        <f t="shared" si="1"/>
        <v/>
      </c>
      <c r="J23" s="172"/>
    </row>
    <row r="24" ht="16" customHeight="1" spans="1:10">
      <c r="A24" s="163"/>
      <c r="B24" s="177" t="s">
        <v>248</v>
      </c>
      <c r="C24" s="289">
        <f>'附件1.1费用预算（管理）'!C24+'附件1.2费用预算（销售）'!C24</f>
        <v>0</v>
      </c>
      <c r="D24" s="289">
        <f>'附件1.1费用预算（管理）'!D24+'附件1.2费用预算（销售）'!D24</f>
        <v>0</v>
      </c>
      <c r="E24" s="289">
        <f>'附件1.1费用预算（管理）'!E24+'附件1.2费用预算（销售）'!E24</f>
        <v>0</v>
      </c>
      <c r="F24" s="289">
        <f>'附件1.1费用预算（管理）'!F24+'附件1.2费用预算（销售）'!F24</f>
        <v>0</v>
      </c>
      <c r="G24" s="179">
        <f t="shared" si="7"/>
        <v>0</v>
      </c>
      <c r="H24" s="290">
        <f>'附件1.1费用预算（管理）'!H24+'附件1.2费用预算（销售）'!H24</f>
        <v>38.517036</v>
      </c>
      <c r="I24" s="185">
        <f t="shared" si="1"/>
        <v>-1</v>
      </c>
      <c r="J24" s="172"/>
    </row>
    <row r="25" ht="16" customHeight="1" spans="1:10">
      <c r="A25" s="163"/>
      <c r="B25" s="177" t="s">
        <v>249</v>
      </c>
      <c r="C25" s="289">
        <f>'附件1.1费用预算（管理）'!C25+'附件1.2费用预算（销售）'!C25</f>
        <v>0</v>
      </c>
      <c r="D25" s="289">
        <f>'附件1.1费用预算（管理）'!D25+'附件1.2费用预算（销售）'!D25</f>
        <v>0</v>
      </c>
      <c r="E25" s="289">
        <f>'附件1.1费用预算（管理）'!E25+'附件1.2费用预算（销售）'!E25</f>
        <v>0</v>
      </c>
      <c r="F25" s="289">
        <f>'附件1.1费用预算（管理）'!F25+'附件1.2费用预算（销售）'!F25</f>
        <v>0</v>
      </c>
      <c r="G25" s="179">
        <f t="shared" si="7"/>
        <v>0</v>
      </c>
      <c r="H25" s="290">
        <f>'附件1.1费用预算（管理）'!H25+'附件1.2费用预算（销售）'!H25</f>
        <v>0.825</v>
      </c>
      <c r="I25" s="185">
        <f t="shared" si="1"/>
        <v>-1</v>
      </c>
      <c r="J25" s="172"/>
    </row>
    <row r="26" ht="16" customHeight="1" spans="1:10">
      <c r="A26" s="176" t="s">
        <v>250</v>
      </c>
      <c r="B26" s="177" t="s">
        <v>33</v>
      </c>
      <c r="C26" s="289">
        <f>'附件1.1费用预算（管理）'!C26+'附件1.2费用预算（销售）'!C26</f>
        <v>5.82</v>
      </c>
      <c r="D26" s="289">
        <f>'附件1.1费用预算（管理）'!D26+'附件1.2费用预算（销售）'!D26</f>
        <v>5.82</v>
      </c>
      <c r="E26" s="289">
        <f>'附件1.1费用预算（管理）'!E26+'附件1.2费用预算（销售）'!E26</f>
        <v>5.82</v>
      </c>
      <c r="F26" s="289">
        <f>'附件1.1费用预算（管理）'!F26+'附件1.2费用预算（销售）'!F26</f>
        <v>5.82</v>
      </c>
      <c r="G26" s="179">
        <f t="shared" si="7"/>
        <v>23.28</v>
      </c>
      <c r="H26" s="290">
        <f>'附件1.1费用预算（管理）'!H26+'附件1.2费用预算（销售）'!H26</f>
        <v>20.760336</v>
      </c>
      <c r="I26" s="185">
        <f t="shared" si="1"/>
        <v>0.121369133909971</v>
      </c>
      <c r="J26" s="172"/>
    </row>
    <row r="27" ht="16" customHeight="1" spans="1:10">
      <c r="A27" s="163"/>
      <c r="B27" s="177" t="s">
        <v>32</v>
      </c>
      <c r="C27" s="289">
        <f>'附件1.1费用预算（管理）'!C27+'附件1.2费用预算（销售）'!C27</f>
        <v>65.25</v>
      </c>
      <c r="D27" s="289">
        <f>'附件1.1费用预算（管理）'!D27+'附件1.2费用预算（销售）'!D27</f>
        <v>65.25</v>
      </c>
      <c r="E27" s="289">
        <f>'附件1.1费用预算（管理）'!E27+'附件1.2费用预算（销售）'!E27</f>
        <v>65.25</v>
      </c>
      <c r="F27" s="289">
        <f>'附件1.1费用预算（管理）'!F27+'附件1.2费用预算（销售）'!F27</f>
        <v>65.25</v>
      </c>
      <c r="G27" s="179">
        <f t="shared" si="7"/>
        <v>261</v>
      </c>
      <c r="H27" s="290">
        <f>'附件1.1费用预算（管理）'!H27+'附件1.2费用预算（销售）'!H27</f>
        <v>181.174323</v>
      </c>
      <c r="I27" s="185">
        <f t="shared" si="1"/>
        <v>0.440601491857099</v>
      </c>
      <c r="J27" s="172"/>
    </row>
    <row r="28" ht="16" customHeight="1" spans="1:10">
      <c r="A28" s="163"/>
      <c r="B28" s="177" t="s">
        <v>251</v>
      </c>
      <c r="C28" s="289">
        <f>'附件1.1费用预算（管理）'!C28+'附件1.2费用预算（销售）'!C28</f>
        <v>0</v>
      </c>
      <c r="D28" s="289">
        <f>'附件1.1费用预算（管理）'!D28+'附件1.2费用预算（销售）'!D28</f>
        <v>0</v>
      </c>
      <c r="E28" s="289">
        <f>'附件1.1费用预算（管理）'!E28+'附件1.2费用预算（销售）'!E28</f>
        <v>0</v>
      </c>
      <c r="F28" s="289">
        <f>'附件1.1费用预算（管理）'!F28+'附件1.2费用预算（销售）'!F28</f>
        <v>0</v>
      </c>
      <c r="G28" s="179">
        <f t="shared" si="7"/>
        <v>0</v>
      </c>
      <c r="H28" s="290">
        <f>'附件1.1费用预算（管理）'!H28+'附件1.2费用预算（销售）'!H28</f>
        <v>0</v>
      </c>
      <c r="I28" s="185" t="str">
        <f t="shared" si="1"/>
        <v/>
      </c>
      <c r="J28" s="172"/>
    </row>
    <row r="29" ht="16" customHeight="1" spans="1:10">
      <c r="A29" s="163"/>
      <c r="B29" s="177" t="s">
        <v>252</v>
      </c>
      <c r="C29" s="289">
        <f>'附件1.1费用预算（管理）'!C29+'附件1.2费用预算（销售）'!C29</f>
        <v>6.5</v>
      </c>
      <c r="D29" s="289">
        <f>'附件1.1费用预算（管理）'!D29+'附件1.2费用预算（销售）'!D29</f>
        <v>6.5</v>
      </c>
      <c r="E29" s="289">
        <f>'附件1.1费用预算（管理）'!E29+'附件1.2费用预算（销售）'!E29</f>
        <v>6.5</v>
      </c>
      <c r="F29" s="289">
        <f>'附件1.1费用预算（管理）'!F29+'附件1.2费用预算（销售）'!F29</f>
        <v>6.5</v>
      </c>
      <c r="G29" s="179">
        <f t="shared" si="7"/>
        <v>26</v>
      </c>
      <c r="H29" s="290">
        <f>'附件1.1费用预算（管理）'!H29+'附件1.2费用预算（销售）'!H29</f>
        <v>5.820356</v>
      </c>
      <c r="I29" s="185">
        <f t="shared" si="1"/>
        <v>3.46708070777801</v>
      </c>
      <c r="J29" s="172"/>
    </row>
    <row r="30" ht="16" customHeight="1" spans="1:10">
      <c r="A30" s="163"/>
      <c r="B30" s="177" t="s">
        <v>253</v>
      </c>
      <c r="C30" s="289">
        <f>'附件1.1费用预算（管理）'!C30+'附件1.2费用预算（销售）'!C30</f>
        <v>0</v>
      </c>
      <c r="D30" s="289">
        <f>'附件1.1费用预算（管理）'!D30+'附件1.2费用预算（销售）'!D30</f>
        <v>0</v>
      </c>
      <c r="E30" s="289">
        <f>'附件1.1费用预算（管理）'!E30+'附件1.2费用预算（销售）'!E30</f>
        <v>0</v>
      </c>
      <c r="F30" s="289">
        <f>'附件1.1费用预算（管理）'!F30+'附件1.2费用预算（销售）'!F30</f>
        <v>0</v>
      </c>
      <c r="G30" s="179">
        <f t="shared" ref="G30:G45" si="8">SUM(C30:F30)</f>
        <v>0</v>
      </c>
      <c r="H30" s="290">
        <f>'附件1.1费用预算（管理）'!H30+'附件1.2费用预算（销售）'!H30</f>
        <v>0</v>
      </c>
      <c r="I30" s="185" t="str">
        <f t="shared" si="1"/>
        <v/>
      </c>
      <c r="J30" s="172"/>
    </row>
    <row r="31" ht="16" customHeight="1" spans="1:10">
      <c r="A31" s="163"/>
      <c r="B31" s="177" t="s">
        <v>254</v>
      </c>
      <c r="C31" s="289">
        <f>'附件1.1费用预算（管理）'!C31+'附件1.2费用预算（销售）'!C31</f>
        <v>0</v>
      </c>
      <c r="D31" s="289">
        <f>'附件1.1费用预算（管理）'!D31+'附件1.2费用预算（销售）'!D31</f>
        <v>0</v>
      </c>
      <c r="E31" s="289">
        <f>'附件1.1费用预算（管理）'!E31+'附件1.2费用预算（销售）'!E31</f>
        <v>0</v>
      </c>
      <c r="F31" s="289">
        <f>'附件1.1费用预算（管理）'!F31+'附件1.2费用预算（销售）'!F31</f>
        <v>0</v>
      </c>
      <c r="G31" s="179">
        <f t="shared" si="8"/>
        <v>0</v>
      </c>
      <c r="H31" s="290">
        <f>'附件1.1费用预算（管理）'!H31+'附件1.2费用预算（销售）'!H31</f>
        <v>2.816</v>
      </c>
      <c r="I31" s="185"/>
      <c r="J31" s="172"/>
    </row>
    <row r="32" ht="16" customHeight="1" spans="1:10">
      <c r="A32" s="163"/>
      <c r="B32" s="177" t="s">
        <v>255</v>
      </c>
      <c r="C32" s="289">
        <f>'附件1.1费用预算（管理）'!C32+'附件1.2费用预算（销售）'!C32</f>
        <v>0</v>
      </c>
      <c r="D32" s="289">
        <f>'附件1.1费用预算（管理）'!D32+'附件1.2费用预算（销售）'!D32</f>
        <v>0</v>
      </c>
      <c r="E32" s="289">
        <f>'附件1.1费用预算（管理）'!E32+'附件1.2费用预算（销售）'!E32</f>
        <v>0</v>
      </c>
      <c r="F32" s="289">
        <f>'附件1.1费用预算（管理）'!F32+'附件1.2费用预算（销售）'!F32</f>
        <v>0</v>
      </c>
      <c r="G32" s="179">
        <f t="shared" si="8"/>
        <v>0</v>
      </c>
      <c r="H32" s="290">
        <f>'附件1.1费用预算（管理）'!H32+'附件1.2费用预算（销售）'!H32</f>
        <v>0</v>
      </c>
      <c r="I32" s="185" t="str">
        <f t="shared" ref="I32:I38" si="9">IFERROR(G32/H32-1,"")</f>
        <v/>
      </c>
      <c r="J32" s="172"/>
    </row>
    <row r="33" ht="16" customHeight="1" spans="1:10">
      <c r="A33" s="176" t="s">
        <v>256</v>
      </c>
      <c r="B33" s="177" t="s">
        <v>257</v>
      </c>
      <c r="C33" s="289">
        <f>'附件1.1费用预算（管理）'!C33+'附件1.2费用预算（销售）'!C33</f>
        <v>0</v>
      </c>
      <c r="D33" s="289">
        <f>'附件1.1费用预算（管理）'!D33+'附件1.2费用预算（销售）'!D33</f>
        <v>0</v>
      </c>
      <c r="E33" s="289">
        <f>'附件1.1费用预算（管理）'!E33+'附件1.2费用预算（销售）'!E33</f>
        <v>0</v>
      </c>
      <c r="F33" s="289">
        <f>'附件1.1费用预算（管理）'!F33+'附件1.2费用预算（销售）'!F33</f>
        <v>0</v>
      </c>
      <c r="G33" s="179">
        <f t="shared" si="8"/>
        <v>0</v>
      </c>
      <c r="H33" s="290">
        <f>'附件1.1费用预算（管理）'!H33+'附件1.2费用预算（销售）'!H33</f>
        <v>0</v>
      </c>
      <c r="I33" s="185" t="str">
        <f t="shared" si="9"/>
        <v/>
      </c>
      <c r="J33" s="172"/>
    </row>
    <row r="34" ht="16" customHeight="1" spans="1:10">
      <c r="A34" s="163"/>
      <c r="B34" s="177" t="s">
        <v>258</v>
      </c>
      <c r="C34" s="289">
        <f>'附件1.1费用预算（管理）'!C34+'附件1.2费用预算（销售）'!C34</f>
        <v>0</v>
      </c>
      <c r="D34" s="289">
        <f>'附件1.1费用预算（管理）'!D34+'附件1.2费用预算（销售）'!D34</f>
        <v>0</v>
      </c>
      <c r="E34" s="289">
        <f>'附件1.1费用预算（管理）'!E34+'附件1.2费用预算（销售）'!E34</f>
        <v>0</v>
      </c>
      <c r="F34" s="289">
        <f>'附件1.1费用预算（管理）'!F34+'附件1.2费用预算（销售）'!F34</f>
        <v>0</v>
      </c>
      <c r="G34" s="179">
        <f t="shared" si="8"/>
        <v>0</v>
      </c>
      <c r="H34" s="290">
        <f>'附件1.1费用预算（管理）'!H34+'附件1.2费用预算（销售）'!H34</f>
        <v>0</v>
      </c>
      <c r="I34" s="185" t="str">
        <f t="shared" si="9"/>
        <v/>
      </c>
      <c r="J34" s="172"/>
    </row>
    <row r="35" ht="16" customHeight="1" spans="1:10">
      <c r="A35" s="163"/>
      <c r="B35" s="177" t="s">
        <v>259</v>
      </c>
      <c r="C35" s="289">
        <f>'附件1.1费用预算（管理）'!C35+'附件1.2费用预算（销售）'!C35</f>
        <v>0</v>
      </c>
      <c r="D35" s="289">
        <f>'附件1.1费用预算（管理）'!D35+'附件1.2费用预算（销售）'!D35</f>
        <v>0</v>
      </c>
      <c r="E35" s="289">
        <f>'附件1.1费用预算（管理）'!E35+'附件1.2费用预算（销售）'!E35</f>
        <v>0</v>
      </c>
      <c r="F35" s="289">
        <f>'附件1.1费用预算（管理）'!F35+'附件1.2费用预算（销售）'!F35</f>
        <v>0</v>
      </c>
      <c r="G35" s="179">
        <f t="shared" si="8"/>
        <v>0</v>
      </c>
      <c r="H35" s="290">
        <f>'附件1.1费用预算（管理）'!H35+'附件1.2费用预算（销售）'!H35</f>
        <v>0.213274</v>
      </c>
      <c r="I35" s="185">
        <f t="shared" si="9"/>
        <v>-1</v>
      </c>
      <c r="J35" s="172"/>
    </row>
    <row r="36" ht="16" customHeight="1" spans="1:10">
      <c r="A36" s="176" t="s">
        <v>39</v>
      </c>
      <c r="B36" s="177" t="s">
        <v>260</v>
      </c>
      <c r="C36" s="289">
        <f>'附件1.1费用预算（管理）'!C36+'附件1.2费用预算（销售）'!C36</f>
        <v>0</v>
      </c>
      <c r="D36" s="289">
        <f>'附件1.1费用预算（管理）'!D36+'附件1.2费用预算（销售）'!D36</f>
        <v>0</v>
      </c>
      <c r="E36" s="289">
        <f>'附件1.1费用预算（管理）'!E36+'附件1.2费用预算（销售）'!E36</f>
        <v>0</v>
      </c>
      <c r="F36" s="289">
        <f>'附件1.1费用预算（管理）'!F36+'附件1.2费用预算（销售）'!F36</f>
        <v>0</v>
      </c>
      <c r="G36" s="179">
        <f t="shared" si="8"/>
        <v>0</v>
      </c>
      <c r="H36" s="290">
        <f>'附件1.1费用预算（管理）'!H36+'附件1.2费用预算（销售）'!H36</f>
        <v>18.007176</v>
      </c>
      <c r="I36" s="185">
        <f t="shared" si="9"/>
        <v>-1</v>
      </c>
      <c r="J36" s="172"/>
    </row>
    <row r="37" ht="16" customHeight="1" spans="1:10">
      <c r="A37" s="163"/>
      <c r="B37" s="177" t="s">
        <v>261</v>
      </c>
      <c r="C37" s="289">
        <f>'附件1.1费用预算（管理）'!C37+'附件1.2费用预算（销售）'!C37</f>
        <v>0</v>
      </c>
      <c r="D37" s="289">
        <f>'附件1.1费用预算（管理）'!D37+'附件1.2费用预算（销售）'!D37</f>
        <v>0</v>
      </c>
      <c r="E37" s="289">
        <f>'附件1.1费用预算（管理）'!E37+'附件1.2费用预算（销售）'!E37</f>
        <v>0</v>
      </c>
      <c r="F37" s="289">
        <f>'附件1.1费用预算（管理）'!F37+'附件1.2费用预算（销售）'!F37</f>
        <v>0</v>
      </c>
      <c r="G37" s="179">
        <f t="shared" si="8"/>
        <v>0</v>
      </c>
      <c r="H37" s="290">
        <f>'附件1.1费用预算（管理）'!H37+'附件1.2费用预算（销售）'!H37</f>
        <v>10.4</v>
      </c>
      <c r="I37" s="185">
        <f t="shared" si="9"/>
        <v>-1</v>
      </c>
      <c r="J37" s="172"/>
    </row>
    <row r="38" ht="16" customHeight="1" spans="1:10">
      <c r="A38" s="163"/>
      <c r="B38" s="177" t="s">
        <v>262</v>
      </c>
      <c r="C38" s="289">
        <f>'附件1.1费用预算（管理）'!C38+'附件1.2费用预算（销售）'!C38</f>
        <v>0</v>
      </c>
      <c r="D38" s="289">
        <f>'附件1.1费用预算（管理）'!D38+'附件1.2费用预算（销售）'!D38</f>
        <v>0</v>
      </c>
      <c r="E38" s="289">
        <f>'附件1.1费用预算（管理）'!E38+'附件1.2费用预算（销售）'!E38</f>
        <v>0</v>
      </c>
      <c r="F38" s="289">
        <f>'附件1.1费用预算（管理）'!F38+'附件1.2费用预算（销售）'!F38</f>
        <v>0</v>
      </c>
      <c r="G38" s="179">
        <f t="shared" si="8"/>
        <v>0</v>
      </c>
      <c r="H38" s="290">
        <f>'附件1.1费用预算（管理）'!H38+'附件1.2费用预算（销售）'!H38</f>
        <v>2.030609</v>
      </c>
      <c r="I38" s="185">
        <f t="shared" si="9"/>
        <v>-1</v>
      </c>
      <c r="J38" s="172"/>
    </row>
    <row r="39" ht="16" customHeight="1" spans="1:10">
      <c r="A39" s="163"/>
      <c r="B39" s="177" t="s">
        <v>19</v>
      </c>
      <c r="C39" s="289">
        <f>'附件1.1费用预算（管理）'!C39+'附件1.2费用预算（销售）'!C39</f>
        <v>0</v>
      </c>
      <c r="D39" s="289">
        <f>'附件1.1费用预算（管理）'!D39+'附件1.2费用预算（销售）'!D39</f>
        <v>0</v>
      </c>
      <c r="E39" s="289">
        <f>'附件1.1费用预算（管理）'!E39+'附件1.2费用预算（销售）'!E39</f>
        <v>0</v>
      </c>
      <c r="F39" s="289">
        <f>'附件1.1费用预算（管理）'!F39+'附件1.2费用预算（销售）'!F39</f>
        <v>0</v>
      </c>
      <c r="G39" s="179">
        <f t="shared" si="8"/>
        <v>0</v>
      </c>
      <c r="H39" s="290">
        <f>'附件1.1费用预算（管理）'!H39+'附件1.2费用预算（销售）'!H39</f>
        <v>0.014399</v>
      </c>
      <c r="I39" s="185"/>
      <c r="J39" s="172"/>
    </row>
    <row r="40" ht="16" customHeight="1" spans="1:10">
      <c r="A40" s="163"/>
      <c r="B40" s="177" t="s">
        <v>263</v>
      </c>
      <c r="C40" s="289">
        <f>'附件1.1费用预算（管理）'!C40+'附件1.2费用预算（销售）'!C40</f>
        <v>0</v>
      </c>
      <c r="D40" s="289">
        <f>'附件1.1费用预算（管理）'!D40+'附件1.2费用预算（销售）'!D40</f>
        <v>0</v>
      </c>
      <c r="E40" s="289">
        <f>'附件1.1费用预算（管理）'!E40+'附件1.2费用预算（销售）'!E40</f>
        <v>0</v>
      </c>
      <c r="F40" s="289">
        <f>'附件1.1费用预算（管理）'!F40+'附件1.2费用预算（销售）'!F40</f>
        <v>0</v>
      </c>
      <c r="G40" s="179">
        <f t="shared" si="8"/>
        <v>0</v>
      </c>
      <c r="H40" s="290">
        <f>'附件1.1费用预算（管理）'!H40+'附件1.2费用预算（销售）'!H40</f>
        <v>0</v>
      </c>
      <c r="I40" s="185" t="str">
        <f>IFERROR(G40/H40-1,"")</f>
        <v/>
      </c>
      <c r="J40" s="172"/>
    </row>
    <row r="41" ht="16" customHeight="1" spans="1:10">
      <c r="A41" s="163"/>
      <c r="B41" s="177" t="s">
        <v>264</v>
      </c>
      <c r="C41" s="289">
        <f>'附件1.1费用预算（管理）'!C41+'附件1.2费用预算（销售）'!C41</f>
        <v>0</v>
      </c>
      <c r="D41" s="289">
        <f>'附件1.1费用预算（管理）'!D41+'附件1.2费用预算（销售）'!D41</f>
        <v>0</v>
      </c>
      <c r="E41" s="289">
        <f>'附件1.1费用预算（管理）'!E41+'附件1.2费用预算（销售）'!E41</f>
        <v>0</v>
      </c>
      <c r="F41" s="289">
        <f>'附件1.1费用预算（管理）'!F41+'附件1.2费用预算（销售）'!F41</f>
        <v>0</v>
      </c>
      <c r="G41" s="179">
        <f t="shared" si="8"/>
        <v>0</v>
      </c>
      <c r="H41" s="290">
        <f>'附件1.1费用预算（管理）'!H41+'附件1.2费用预算（销售）'!H41</f>
        <v>0.05</v>
      </c>
      <c r="I41" s="185">
        <f>IFERROR(G41/H41-1,"")</f>
        <v>-1</v>
      </c>
      <c r="J41" s="172"/>
    </row>
    <row r="42" ht="16" customHeight="1" spans="1:10">
      <c r="A42" s="163"/>
      <c r="B42" s="177" t="s">
        <v>265</v>
      </c>
      <c r="C42" s="289">
        <f>'附件1.1费用预算（管理）'!C42+'附件1.2费用预算（销售）'!C42</f>
        <v>0</v>
      </c>
      <c r="D42" s="289">
        <f>'附件1.1费用预算（管理）'!D42+'附件1.2费用预算（销售）'!D42</f>
        <v>0</v>
      </c>
      <c r="E42" s="289">
        <f>'附件1.1费用预算（管理）'!E42+'附件1.2费用预算（销售）'!E42</f>
        <v>0</v>
      </c>
      <c r="F42" s="289">
        <f>'附件1.1费用预算（管理）'!F42+'附件1.2费用预算（销售）'!F42</f>
        <v>0</v>
      </c>
      <c r="G42" s="179">
        <f t="shared" si="8"/>
        <v>0</v>
      </c>
      <c r="H42" s="290">
        <f>'附件1.1费用预算（管理）'!H42+'附件1.2费用预算（销售）'!H42</f>
        <v>0</v>
      </c>
      <c r="I42" s="185" t="str">
        <f>IFERROR(G42/H42-1,"")</f>
        <v/>
      </c>
      <c r="J42" s="172"/>
    </row>
    <row r="43" ht="16" customHeight="1" spans="1:10">
      <c r="A43" s="163"/>
      <c r="B43" s="177" t="s">
        <v>266</v>
      </c>
      <c r="C43" s="289">
        <f>'附件1.1费用预算（管理）'!C43+'附件1.2费用预算（销售）'!C43</f>
        <v>0</v>
      </c>
      <c r="D43" s="289">
        <f>'附件1.1费用预算（管理）'!D43+'附件1.2费用预算（销售）'!D43</f>
        <v>0</v>
      </c>
      <c r="E43" s="289">
        <f>'附件1.1费用预算（管理）'!E43+'附件1.2费用预算（销售）'!E43</f>
        <v>0</v>
      </c>
      <c r="F43" s="289">
        <f>'附件1.1费用预算（管理）'!F43+'附件1.2费用预算（销售）'!F43</f>
        <v>0</v>
      </c>
      <c r="G43" s="179">
        <f t="shared" si="8"/>
        <v>0</v>
      </c>
      <c r="H43" s="290">
        <f>'附件1.1费用预算（管理）'!H43+'附件1.2费用预算（销售）'!H43</f>
        <v>28.73585</v>
      </c>
      <c r="I43" s="185">
        <f>IFERROR(G43/H43-1,"")</f>
        <v>-1</v>
      </c>
      <c r="J43" s="172"/>
    </row>
    <row r="44" ht="16" customHeight="1" spans="1:10">
      <c r="A44" s="163"/>
      <c r="B44" s="177" t="s">
        <v>203</v>
      </c>
      <c r="C44" s="289">
        <f>'附件1.1费用预算（管理）'!C44+'附件1.2费用预算（销售）'!C44</f>
        <v>0</v>
      </c>
      <c r="D44" s="289">
        <f>'附件1.1费用预算（管理）'!D44+'附件1.2费用预算（销售）'!D44</f>
        <v>0</v>
      </c>
      <c r="E44" s="289">
        <f>'附件1.1费用预算（管理）'!E44+'附件1.2费用预算（销售）'!E44</f>
        <v>0</v>
      </c>
      <c r="F44" s="289">
        <f>'附件1.1费用预算（管理）'!F44+'附件1.2费用预算（销售）'!F44</f>
        <v>0</v>
      </c>
      <c r="G44" s="179">
        <f t="shared" si="8"/>
        <v>0</v>
      </c>
      <c r="H44" s="290">
        <f>'附件1.1费用预算（管理）'!H44+'附件1.2费用预算（销售）'!H44</f>
        <v>0</v>
      </c>
      <c r="I44" s="185" t="str">
        <f>IFERROR(G44/H44-1,"")</f>
        <v/>
      </c>
      <c r="J44" s="172"/>
    </row>
    <row r="45" ht="16" customHeight="1" spans="1:10">
      <c r="A45" s="176" t="s">
        <v>267</v>
      </c>
      <c r="B45" s="177" t="s">
        <v>268</v>
      </c>
      <c r="C45" s="186"/>
      <c r="D45" s="186"/>
      <c r="E45" s="186"/>
      <c r="F45" s="186"/>
      <c r="G45" s="291">
        <f t="shared" si="8"/>
        <v>0</v>
      </c>
      <c r="H45" s="290">
        <f>'附件1.1费用预算（管理）'!H45+'附件1.2费用预算（销售）'!H45</f>
        <v>0</v>
      </c>
      <c r="I45" s="292" t="str">
        <f>IFERROR(G45/(H45+H46+H47+H48+H49+H50+H51)-1,"")</f>
        <v/>
      </c>
      <c r="J45" s="172" t="s">
        <v>269</v>
      </c>
    </row>
    <row r="46" ht="16" customHeight="1" spans="1:10">
      <c r="A46" s="163"/>
      <c r="B46" s="177" t="s">
        <v>270</v>
      </c>
      <c r="C46" s="189"/>
      <c r="D46" s="189"/>
      <c r="E46" s="189"/>
      <c r="F46" s="189"/>
      <c r="G46" s="293"/>
      <c r="H46" s="290">
        <f>'附件1.1费用预算（管理）'!H46+'附件1.2费用预算（销售）'!H46</f>
        <v>0</v>
      </c>
      <c r="I46" s="294"/>
      <c r="J46" s="172" t="s">
        <v>269</v>
      </c>
    </row>
    <row r="47" ht="16" customHeight="1" spans="1:10">
      <c r="A47" s="163"/>
      <c r="B47" s="177" t="s">
        <v>271</v>
      </c>
      <c r="C47" s="189"/>
      <c r="D47" s="189"/>
      <c r="E47" s="189"/>
      <c r="F47" s="189"/>
      <c r="G47" s="293"/>
      <c r="H47" s="290">
        <f>'附件1.1费用预算（管理）'!H47+'附件1.2费用预算（销售）'!H47</f>
        <v>0</v>
      </c>
      <c r="I47" s="294"/>
      <c r="J47" s="172" t="s">
        <v>269</v>
      </c>
    </row>
    <row r="48" ht="16" customHeight="1" spans="1:10">
      <c r="A48" s="163"/>
      <c r="B48" s="177" t="s">
        <v>272</v>
      </c>
      <c r="C48" s="189"/>
      <c r="D48" s="189"/>
      <c r="E48" s="189"/>
      <c r="F48" s="189"/>
      <c r="G48" s="293"/>
      <c r="H48" s="290">
        <f>'附件1.1费用预算（管理）'!H48+'附件1.2费用预算（销售）'!H48</f>
        <v>0</v>
      </c>
      <c r="I48" s="294"/>
      <c r="J48" s="172" t="s">
        <v>269</v>
      </c>
    </row>
    <row r="49" ht="16" customHeight="1" spans="1:10">
      <c r="A49" s="163"/>
      <c r="B49" s="177" t="s">
        <v>273</v>
      </c>
      <c r="C49" s="189"/>
      <c r="D49" s="189"/>
      <c r="E49" s="189"/>
      <c r="F49" s="189"/>
      <c r="G49" s="293"/>
      <c r="H49" s="290">
        <f>'附件1.1费用预算（管理）'!H49+'附件1.2费用预算（销售）'!H49</f>
        <v>0</v>
      </c>
      <c r="I49" s="294"/>
      <c r="J49" s="172" t="s">
        <v>269</v>
      </c>
    </row>
    <row r="50" ht="16" customHeight="1" spans="1:10">
      <c r="A50" s="163"/>
      <c r="B50" s="177" t="s">
        <v>274</v>
      </c>
      <c r="C50" s="189"/>
      <c r="D50" s="189"/>
      <c r="E50" s="189"/>
      <c r="F50" s="189"/>
      <c r="G50" s="293"/>
      <c r="H50" s="290">
        <f>'附件1.1费用预算（管理）'!H50+'附件1.2费用预算（销售）'!H50</f>
        <v>0</v>
      </c>
      <c r="I50" s="294"/>
      <c r="J50" s="172" t="s">
        <v>269</v>
      </c>
    </row>
    <row r="51" ht="16" customHeight="1" spans="1:10">
      <c r="A51" s="163"/>
      <c r="B51" s="177" t="s">
        <v>275</v>
      </c>
      <c r="C51" s="192"/>
      <c r="D51" s="192"/>
      <c r="E51" s="192"/>
      <c r="F51" s="192"/>
      <c r="G51" s="295"/>
      <c r="H51" s="290">
        <f>'附件1.1费用预算（管理）'!H51+'附件1.2费用预算（销售）'!H51</f>
        <v>0</v>
      </c>
      <c r="I51" s="296"/>
      <c r="J51" s="172"/>
    </row>
    <row r="52" spans="1:10">
      <c r="I52" s="11"/>
    </row>
    <row r="53" ht="16" customHeight="1" spans="1:10">
      <c r="A53" s="275" t="s">
        <v>44</v>
      </c>
      <c r="B53" s="277"/>
      <c r="C53" s="134" t="s">
        <v>182</v>
      </c>
      <c r="D53" s="134" t="s">
        <v>183</v>
      </c>
      <c r="E53" s="134" t="s">
        <v>184</v>
      </c>
      <c r="F53" s="134" t="s">
        <v>185</v>
      </c>
      <c r="G53" s="135" t="s">
        <v>207</v>
      </c>
    </row>
    <row r="54" ht="16" customHeight="1" spans="1:10">
      <c r="A54" s="275" t="s">
        <v>190</v>
      </c>
      <c r="B54" s="277"/>
      <c r="C54" s="139">
        <f>C9</f>
        <v>0</v>
      </c>
      <c r="D54" s="139">
        <f>D9</f>
        <v>0</v>
      </c>
      <c r="E54" s="139">
        <f>E9</f>
        <v>0</v>
      </c>
      <c r="F54" s="139">
        <f>F9</f>
        <v>0</v>
      </c>
      <c r="G54" s="139">
        <f>SUM(C54:F54)</f>
        <v>0</v>
      </c>
    </row>
    <row r="55" ht="16" customHeight="1" spans="1:10">
      <c r="A55" s="275" t="s">
        <v>192</v>
      </c>
      <c r="B55" s="277"/>
      <c r="C55" s="139">
        <f>C8-C31-C36-C38-C39-C40-C45</f>
        <v>100.87</v>
      </c>
      <c r="D55" s="139">
        <f>D8-D31-D36-D38-D39-D40-D45</f>
        <v>100.87</v>
      </c>
      <c r="E55" s="139">
        <f>E8-E31-E36-E38-E39-E40-E45</f>
        <v>100.87</v>
      </c>
      <c r="F55" s="139">
        <f>F8-F31-F36-F38-F39-F40-F45</f>
        <v>100.87</v>
      </c>
      <c r="G55" s="139">
        <f>SUM(C55:F55)</f>
        <v>403.48</v>
      </c>
    </row>
    <row r="56" spans="1:10">
      <c r="A56" s="246" t="s">
        <v>194</v>
      </c>
      <c r="B56" s="246"/>
      <c r="C56" s="139">
        <f>C36</f>
        <v>0</v>
      </c>
      <c r="D56" s="139">
        <f>D36</f>
        <v>0</v>
      </c>
      <c r="E56" s="139">
        <f>E36</f>
        <v>0</v>
      </c>
      <c r="F56" s="139">
        <f>F36</f>
        <v>0</v>
      </c>
      <c r="G56" s="139">
        <f>G36</f>
        <v>0</v>
      </c>
    </row>
    <row r="57" spans="1:10">
      <c r="G57" s="195">
        <f>SUM(G53:G56)-G6+G38+G31</f>
        <v>0</v>
      </c>
    </row>
  </sheetData>
  <mergeCells count="35">
    <mergeCell ref="A1:I1"/>
    <mergeCell ref="A2:B2"/>
    <mergeCell ref="A5:B5"/>
    <mergeCell ref="A6:B6"/>
    <mergeCell ref="A7:B7"/>
    <mergeCell ref="A8:B8"/>
    <mergeCell ref="A9:B9"/>
    <mergeCell ref="A10:B10"/>
    <mergeCell ref="A11:B11"/>
    <mergeCell ref="A12:B12"/>
    <mergeCell ref="A53:B53"/>
    <mergeCell ref="A54:B54"/>
    <mergeCell ref="A55:B55"/>
    <mergeCell ref="A56:B56"/>
    <mergeCell ref="A13:A22"/>
    <mergeCell ref="A23:A25"/>
    <mergeCell ref="A26:A32"/>
    <mergeCell ref="A33:A35"/>
    <mergeCell ref="A36:A44"/>
    <mergeCell ref="A45:A51"/>
    <mergeCell ref="C3:C4"/>
    <mergeCell ref="C45:C51"/>
    <mergeCell ref="D3:D4"/>
    <mergeCell ref="D45:D51"/>
    <mergeCell ref="E3:E4"/>
    <mergeCell ref="E45:E51"/>
    <mergeCell ref="F3:F4"/>
    <mergeCell ref="F45:F51"/>
    <mergeCell ref="G3:G4"/>
    <mergeCell ref="G45:G51"/>
    <mergeCell ref="H3:H4"/>
    <mergeCell ref="I3:I4"/>
    <mergeCell ref="I45:I51"/>
    <mergeCell ref="J3:J4"/>
    <mergeCell ref="A3:B4"/>
  </mergeCells>
  <pageMargins left="0.7" right="0.7" top="0.75" bottom="0.75" header="0.3" footer="0.3"/>
  <headerFooter/>
  <ignoredErrors>
    <ignoredError sqref="H9 H1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showGridLines="0" workbookViewId="0">
      <selection activeCell="G30" sqref="G30"/>
    </sheetView>
  </sheetViews>
  <sheetFormatPr defaultColWidth="9" defaultRowHeight="16.5"/>
  <cols>
    <col min="1" max="1" width="5" style="258" customWidth="1"/>
    <col min="2" max="2" width="17.4166666666667" style="259" customWidth="1"/>
    <col min="3" max="4" width="14.3333333333333" style="259" customWidth="1"/>
    <col min="5" max="5" width="11" style="259" customWidth="1"/>
    <col min="6" max="6" width="12.5833333333333" style="260" customWidth="1"/>
    <col min="7" max="7" width="12.4166666666667" style="260" customWidth="1"/>
    <col min="8" max="8" width="7.41666666666667" style="260" customWidth="1"/>
    <col min="9" max="10" width="8.75" style="260" customWidth="1"/>
    <col min="11" max="11" width="8" style="259" customWidth="1"/>
    <col min="12" max="12" width="9.66666666666667" style="259" customWidth="1"/>
    <col min="13" max="13" width="10.9166666666667" style="259" customWidth="1"/>
    <col min="14" max="14" width="10.4166666666667" style="259" customWidth="1"/>
    <col min="15" max="15" width="7" customWidth="1"/>
    <col min="16" max="16" width="9.25" hidden="1" customWidth="1"/>
    <col min="17" max="17" width="19.9166666666667" hidden="1" customWidth="1"/>
    <col min="18" max="18" width="15.9166666666667" style="11" hidden="1" customWidth="1"/>
  </cols>
  <sheetData>
    <row r="1" ht="28.5" customHeight="1" spans="1:18">
      <c r="A1" s="261" t="s">
        <v>276</v>
      </c>
      <c r="B1" s="261"/>
      <c r="C1" s="261"/>
      <c r="D1" s="261"/>
      <c r="E1" s="261"/>
      <c r="F1" s="262"/>
      <c r="G1" s="262"/>
      <c r="H1" s="262"/>
      <c r="I1" s="262"/>
      <c r="J1" s="262"/>
      <c r="K1" s="263"/>
      <c r="L1" s="263"/>
      <c r="M1" s="264" t="s">
        <v>43</v>
      </c>
      <c r="N1" s="264"/>
    </row>
    <row r="2" ht="21.5" customHeight="1" spans="1:18">
      <c r="A2" s="265" t="s">
        <v>277</v>
      </c>
      <c r="B2" s="266" t="s">
        <v>278</v>
      </c>
      <c r="C2" s="266" t="s">
        <v>279</v>
      </c>
      <c r="D2" s="266" t="s">
        <v>12</v>
      </c>
      <c r="E2" s="266" t="s">
        <v>280</v>
      </c>
      <c r="F2" s="267" t="s">
        <v>281</v>
      </c>
      <c r="G2" s="267" t="s">
        <v>282</v>
      </c>
      <c r="H2" s="267" t="s">
        <v>283</v>
      </c>
      <c r="I2" s="267" t="s">
        <v>284</v>
      </c>
      <c r="J2" s="267" t="s">
        <v>285</v>
      </c>
      <c r="K2" s="266" t="s">
        <v>46</v>
      </c>
      <c r="L2" s="266" t="s">
        <v>47</v>
      </c>
      <c r="M2" s="266" t="s">
        <v>48</v>
      </c>
      <c r="N2" s="266" t="s">
        <v>49</v>
      </c>
    </row>
    <row r="3" ht="18.5" customHeight="1" spans="1:18">
      <c r="A3" s="9"/>
      <c r="B3" s="9" t="s">
        <v>205</v>
      </c>
      <c r="C3" s="9"/>
      <c r="D3" s="9"/>
      <c r="E3" s="9"/>
      <c r="F3" s="9"/>
      <c r="G3" s="9"/>
      <c r="H3" s="9"/>
      <c r="I3" s="9"/>
      <c r="J3" s="9">
        <f>SUM(J4:J13)</f>
        <v>0</v>
      </c>
      <c r="K3" s="9">
        <f>SUM(K4:K13)</f>
        <v>0</v>
      </c>
      <c r="L3" s="9">
        <f>SUM(L4:L13)</f>
        <v>0</v>
      </c>
      <c r="M3" s="9">
        <f>SUM(M4:M13)</f>
        <v>0</v>
      </c>
      <c r="N3" s="9">
        <f>SUM(N4:N13)</f>
        <v>0</v>
      </c>
    </row>
    <row r="4" spans="1:18">
      <c r="A4" s="268">
        <f>ROW()-3</f>
        <v>1</v>
      </c>
      <c r="B4" s="269"/>
      <c r="C4" s="269"/>
      <c r="D4" s="269"/>
      <c r="E4" s="269"/>
      <c r="F4" s="270"/>
      <c r="G4" s="270"/>
      <c r="H4" s="271"/>
      <c r="I4" s="272"/>
      <c r="J4" s="272">
        <f>H4*I4</f>
        <v>0</v>
      </c>
      <c r="K4" s="272"/>
      <c r="L4" s="272"/>
      <c r="M4" s="272"/>
      <c r="N4" s="272"/>
      <c r="O4" s="195">
        <f>J4-SUM(K4:N4)</f>
        <v>0</v>
      </c>
      <c r="P4" s="195"/>
      <c r="Q4" s="11" t="s">
        <v>286</v>
      </c>
      <c r="R4" s="11" t="s">
        <v>6</v>
      </c>
    </row>
    <row r="5" spans="1:18">
      <c r="A5" s="268">
        <f>ROW()-3</f>
        <v>2</v>
      </c>
      <c r="B5" s="269"/>
      <c r="C5" s="269"/>
      <c r="D5" s="269"/>
      <c r="E5" s="269"/>
      <c r="F5" s="270"/>
      <c r="G5" s="270"/>
      <c r="H5" s="271"/>
      <c r="I5" s="272"/>
      <c r="J5" s="272">
        <f t="shared" ref="J5:J13" si="0">H5*I5</f>
        <v>0</v>
      </c>
      <c r="K5" s="272"/>
      <c r="L5" s="272"/>
      <c r="M5" s="272"/>
      <c r="N5" s="272"/>
      <c r="O5" s="195">
        <f t="shared" ref="O5:O13" si="1">J5-SUM(K5:N5)</f>
        <v>0</v>
      </c>
      <c r="P5" s="195"/>
      <c r="Q5" s="11" t="s">
        <v>287</v>
      </c>
      <c r="R5" s="11" t="s">
        <v>288</v>
      </c>
    </row>
    <row r="6" spans="1:18">
      <c r="A6" s="268">
        <f>ROW()-3</f>
        <v>3</v>
      </c>
      <c r="B6" s="269"/>
      <c r="C6" s="269"/>
      <c r="D6" s="269"/>
      <c r="E6" s="269"/>
      <c r="F6" s="270"/>
      <c r="G6" s="270"/>
      <c r="H6" s="271"/>
      <c r="I6" s="272"/>
      <c r="J6" s="272">
        <f t="shared" si="0"/>
        <v>0</v>
      </c>
      <c r="K6" s="272"/>
      <c r="L6" s="272"/>
      <c r="M6" s="272"/>
      <c r="N6" s="272"/>
      <c r="O6" s="195">
        <f t="shared" si="1"/>
        <v>0</v>
      </c>
      <c r="P6" s="195"/>
      <c r="Q6" s="11" t="s">
        <v>289</v>
      </c>
      <c r="R6" s="11" t="s">
        <v>290</v>
      </c>
    </row>
    <row r="7" spans="1:18">
      <c r="A7" s="268">
        <f t="shared" ref="A7:A13" si="2">ROW()-3</f>
        <v>4</v>
      </c>
      <c r="B7" s="269"/>
      <c r="C7" s="269"/>
      <c r="D7" s="269"/>
      <c r="E7" s="269"/>
      <c r="F7" s="270"/>
      <c r="G7" s="270"/>
      <c r="H7" s="271"/>
      <c r="I7" s="272"/>
      <c r="J7" s="272">
        <f t="shared" ref="J7" si="3">H7*I7</f>
        <v>0</v>
      </c>
      <c r="K7" s="272"/>
      <c r="L7" s="272"/>
      <c r="M7" s="272"/>
      <c r="N7" s="272"/>
      <c r="O7" s="195">
        <f t="shared" si="1"/>
        <v>0</v>
      </c>
      <c r="P7" s="195"/>
      <c r="Q7" s="11" t="s">
        <v>291</v>
      </c>
      <c r="R7" s="11" t="s">
        <v>292</v>
      </c>
    </row>
    <row r="8" spans="1:18">
      <c r="A8" s="268">
        <f t="shared" si="2"/>
        <v>5</v>
      </c>
      <c r="B8" s="269"/>
      <c r="C8" s="269"/>
      <c r="D8" s="269"/>
      <c r="E8" s="269"/>
      <c r="F8" s="270"/>
      <c r="G8" s="270"/>
      <c r="H8" s="271"/>
      <c r="I8" s="272"/>
      <c r="J8" s="272"/>
      <c r="K8" s="272"/>
      <c r="L8" s="272"/>
      <c r="M8" s="272"/>
      <c r="N8" s="272"/>
      <c r="O8" s="195">
        <f t="shared" si="1"/>
        <v>0</v>
      </c>
      <c r="P8" s="195"/>
      <c r="Q8" s="11" t="s">
        <v>293</v>
      </c>
      <c r="R8" s="11" t="s">
        <v>294</v>
      </c>
    </row>
    <row r="9" spans="1:18">
      <c r="A9" s="268">
        <f t="shared" si="2"/>
        <v>6</v>
      </c>
      <c r="B9" s="269"/>
      <c r="C9" s="269"/>
      <c r="D9" s="269"/>
      <c r="E9" s="269"/>
      <c r="F9" s="270"/>
      <c r="G9" s="270"/>
      <c r="H9" s="271"/>
      <c r="I9" s="272"/>
      <c r="J9" s="272">
        <f t="shared" si="0"/>
        <v>0</v>
      </c>
      <c r="K9" s="272"/>
      <c r="L9" s="272"/>
      <c r="M9" s="272"/>
      <c r="N9" s="272"/>
      <c r="O9" s="195">
        <f t="shared" si="1"/>
        <v>0</v>
      </c>
      <c r="P9" s="195"/>
      <c r="Q9" s="11" t="s">
        <v>295</v>
      </c>
      <c r="R9" s="11" t="s">
        <v>296</v>
      </c>
    </row>
    <row r="10" spans="1:18">
      <c r="A10" s="268">
        <f t="shared" si="2"/>
        <v>7</v>
      </c>
      <c r="B10" s="269"/>
      <c r="C10" s="269"/>
      <c r="D10" s="269"/>
      <c r="E10" s="269"/>
      <c r="F10" s="270"/>
      <c r="G10" s="270"/>
      <c r="H10" s="271"/>
      <c r="I10" s="272"/>
      <c r="J10" s="272">
        <f t="shared" si="0"/>
        <v>0</v>
      </c>
      <c r="K10" s="272"/>
      <c r="L10" s="272"/>
      <c r="M10" s="272"/>
      <c r="N10" s="272"/>
      <c r="O10" s="195">
        <f t="shared" si="1"/>
        <v>0</v>
      </c>
      <c r="P10" s="195"/>
      <c r="Q10" s="11" t="s">
        <v>297</v>
      </c>
      <c r="R10" s="11" t="s">
        <v>298</v>
      </c>
    </row>
    <row r="11" spans="1:18">
      <c r="A11" s="268">
        <f t="shared" si="2"/>
        <v>8</v>
      </c>
      <c r="B11" s="269"/>
      <c r="C11" s="269"/>
      <c r="D11" s="269"/>
      <c r="E11" s="269"/>
      <c r="F11" s="270"/>
      <c r="G11" s="270"/>
      <c r="H11" s="271"/>
      <c r="I11" s="272"/>
      <c r="J11" s="272">
        <f t="shared" si="0"/>
        <v>0</v>
      </c>
      <c r="K11" s="272"/>
      <c r="L11" s="272"/>
      <c r="M11" s="272"/>
      <c r="N11" s="272"/>
      <c r="O11" s="195">
        <f t="shared" si="1"/>
        <v>0</v>
      </c>
      <c r="P11" s="195"/>
      <c r="Q11" s="11"/>
      <c r="R11" s="11" t="s">
        <v>299</v>
      </c>
    </row>
    <row r="12" spans="1:18">
      <c r="A12" s="268">
        <f t="shared" si="2"/>
        <v>9</v>
      </c>
      <c r="B12" s="269"/>
      <c r="C12" s="269"/>
      <c r="D12" s="269"/>
      <c r="E12" s="269"/>
      <c r="F12" s="270"/>
      <c r="G12" s="270"/>
      <c r="H12" s="271"/>
      <c r="I12" s="272"/>
      <c r="J12" s="272">
        <f t="shared" si="0"/>
        <v>0</v>
      </c>
      <c r="K12" s="272"/>
      <c r="L12" s="272"/>
      <c r="M12" s="272"/>
      <c r="N12" s="272"/>
      <c r="O12" s="195">
        <f t="shared" si="1"/>
        <v>0</v>
      </c>
      <c r="P12" s="195"/>
      <c r="Q12" s="11"/>
      <c r="R12" s="11" t="s">
        <v>300</v>
      </c>
    </row>
    <row r="13" spans="1:18">
      <c r="A13" s="268">
        <f t="shared" si="2"/>
        <v>10</v>
      </c>
      <c r="B13" s="269"/>
      <c r="C13" s="269"/>
      <c r="D13" s="269"/>
      <c r="E13" s="269"/>
      <c r="F13" s="270"/>
      <c r="G13" s="270"/>
      <c r="H13" s="271"/>
      <c r="I13" s="272"/>
      <c r="J13" s="272">
        <f t="shared" si="0"/>
        <v>0</v>
      </c>
      <c r="K13" s="272"/>
      <c r="L13" s="272"/>
      <c r="M13" s="272"/>
      <c r="N13" s="272"/>
      <c r="O13" s="195">
        <f t="shared" si="1"/>
        <v>0</v>
      </c>
      <c r="P13" s="195"/>
      <c r="Q13" s="11"/>
    </row>
    <row r="15" spans="1:18">
      <c r="A15" s="261" t="s">
        <v>301</v>
      </c>
    </row>
    <row r="16" spans="1:18">
      <c r="A16" s="265" t="s">
        <v>277</v>
      </c>
      <c r="B16" s="266" t="s">
        <v>302</v>
      </c>
      <c r="C16" s="266" t="s">
        <v>279</v>
      </c>
      <c r="D16" s="266" t="s">
        <v>12</v>
      </c>
      <c r="E16" s="266" t="s">
        <v>280</v>
      </c>
      <c r="F16" s="267" t="s">
        <v>281</v>
      </c>
      <c r="G16" s="267" t="s">
        <v>282</v>
      </c>
      <c r="H16" s="267" t="s">
        <v>283</v>
      </c>
      <c r="I16" s="267" t="s">
        <v>284</v>
      </c>
      <c r="J16" s="267" t="s">
        <v>285</v>
      </c>
      <c r="K16" s="266" t="s">
        <v>46</v>
      </c>
      <c r="L16" s="266" t="s">
        <v>47</v>
      </c>
      <c r="M16" s="266" t="s">
        <v>48</v>
      </c>
      <c r="N16" s="266" t="s">
        <v>49</v>
      </c>
    </row>
    <row r="17" spans="1:14">
      <c r="A17" s="268">
        <v>1</v>
      </c>
      <c r="C17" s="273"/>
      <c r="D17" s="273"/>
      <c r="E17" s="273"/>
      <c r="F17" s="274"/>
      <c r="G17" s="270"/>
      <c r="H17" s="271"/>
      <c r="I17" s="272"/>
      <c r="J17" s="272"/>
      <c r="K17" s="272"/>
      <c r="L17" s="272"/>
      <c r="M17" s="272"/>
      <c r="N17" s="272"/>
    </row>
    <row r="18" spans="1:14">
      <c r="A18" s="268">
        <v>2</v>
      </c>
      <c r="B18" s="269"/>
      <c r="C18" s="269"/>
      <c r="D18" s="269"/>
      <c r="E18" s="269"/>
      <c r="F18" s="270"/>
      <c r="G18" s="270"/>
      <c r="H18" s="271"/>
      <c r="I18" s="272"/>
      <c r="J18" s="272"/>
      <c r="K18" s="272"/>
      <c r="L18" s="272"/>
      <c r="M18" s="272"/>
      <c r="N18" s="272"/>
    </row>
    <row r="19" spans="1:14">
      <c r="A19" s="268">
        <v>3</v>
      </c>
      <c r="B19" s="269"/>
      <c r="C19" s="269"/>
      <c r="D19" s="269"/>
      <c r="E19" s="269"/>
      <c r="F19" s="270"/>
      <c r="G19" s="270"/>
      <c r="H19" s="271"/>
      <c r="I19" s="272"/>
      <c r="J19" s="272"/>
      <c r="K19" s="272"/>
      <c r="L19" s="272"/>
      <c r="M19" s="272"/>
      <c r="N19" s="272"/>
    </row>
    <row r="20" spans="1:14">
      <c r="A20" s="268"/>
      <c r="B20" s="269"/>
      <c r="C20" s="269"/>
      <c r="D20" s="269"/>
      <c r="E20" s="269"/>
      <c r="F20" s="270"/>
      <c r="G20" s="270"/>
      <c r="H20" s="271"/>
      <c r="I20" s="272"/>
      <c r="J20" s="272">
        <f>SUM(J17:J19)</f>
        <v>0</v>
      </c>
      <c r="K20" s="272">
        <f>SUM(K17:K19)</f>
        <v>0</v>
      </c>
      <c r="L20" s="272">
        <f>SUM(L17:L19)</f>
        <v>0</v>
      </c>
      <c r="M20" s="272">
        <f>SUM(M17:M19)</f>
        <v>0</v>
      </c>
      <c r="N20" s="272">
        <f>SUM(N17:N19)</f>
        <v>0</v>
      </c>
    </row>
    <row r="21" spans="1:14">
      <c r="A21" s="261"/>
    </row>
    <row r="22" spans="1:14">
      <c r="A22" s="261"/>
      <c r="F22" s="275" t="s">
        <v>44</v>
      </c>
      <c r="G22" s="276"/>
      <c r="H22" s="276"/>
      <c r="I22" s="277"/>
      <c r="J22" s="135" t="s">
        <v>50</v>
      </c>
      <c r="K22" s="134" t="s">
        <v>182</v>
      </c>
      <c r="L22" s="134" t="s">
        <v>183</v>
      </c>
      <c r="M22" s="134" t="s">
        <v>184</v>
      </c>
      <c r="N22" s="134" t="s">
        <v>185</v>
      </c>
    </row>
    <row r="23" ht="16" customHeight="1" spans="1:14">
      <c r="A23" s="261"/>
      <c r="F23" s="275" t="s">
        <v>192</v>
      </c>
      <c r="G23" s="276"/>
      <c r="H23" s="276"/>
      <c r="I23" s="277"/>
      <c r="J23" s="278">
        <f>J20</f>
        <v>0</v>
      </c>
      <c r="K23" s="278">
        <f>K20</f>
        <v>0</v>
      </c>
      <c r="L23" s="278">
        <f>L20</f>
        <v>0</v>
      </c>
      <c r="M23" s="278">
        <f>M20</f>
        <v>0</v>
      </c>
      <c r="N23" s="278">
        <f>N20</f>
        <v>0</v>
      </c>
    </row>
    <row r="24" ht="16" customHeight="1" spans="1:14">
      <c r="F24" s="275" t="s">
        <v>303</v>
      </c>
      <c r="G24" s="276"/>
      <c r="H24" s="276"/>
      <c r="I24" s="277"/>
      <c r="J24" s="278">
        <f>J3</f>
        <v>0</v>
      </c>
      <c r="K24" s="278">
        <f>K3</f>
        <v>0</v>
      </c>
      <c r="L24" s="278">
        <f>L3</f>
        <v>0</v>
      </c>
      <c r="M24" s="278">
        <f>M3</f>
        <v>0</v>
      </c>
      <c r="N24" s="278">
        <f>N3</f>
        <v>0</v>
      </c>
    </row>
  </sheetData>
  <mergeCells count="4">
    <mergeCell ref="M1:N1"/>
    <mergeCell ref="F22:I22"/>
    <mergeCell ref="F23:I23"/>
    <mergeCell ref="F24:I24"/>
  </mergeCells>
  <dataValidations count="2">
    <dataValidation type="list" allowBlank="1" showInputMessage="1" showErrorMessage="1" sqref="C4:C13">
      <formula1>$Q$4:$Q$13</formula1>
    </dataValidation>
    <dataValidation type="list" allowBlank="1" showInputMessage="1" showErrorMessage="1" sqref="D4:D6 D9:D13">
      <formula1>$R$4:$R$10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Y186"/>
  <sheetViews>
    <sheetView showGridLines="0" tabSelected="1" workbookViewId="0">
      <selection activeCell="A1" sqref="A1"/>
    </sheetView>
  </sheetViews>
  <sheetFormatPr defaultColWidth="9" defaultRowHeight="14.25"/>
  <cols>
    <col min="1" max="1" width="22.3333333333333" customWidth="1"/>
    <col min="2" max="2" width="9.41666666666667" customWidth="1"/>
    <col min="3" max="9" width="8.58333333333333" customWidth="1"/>
    <col min="10" max="13" width="8.58333333333333" customWidth="1" outlineLevel="1"/>
    <col min="14" max="14" width="8.58333333333333" customWidth="1"/>
    <col min="15" max="18" width="8.58333333333333" customWidth="1" outlineLevel="1"/>
    <col min="19" max="19" width="8.58333333333333" customWidth="1"/>
    <col min="20" max="23" width="8.58333333333333" customWidth="1" outlineLevel="1"/>
    <col min="24" max="24" width="8.58333333333333" customWidth="1"/>
    <col min="25" max="28" width="8.58333333333333" customWidth="1" outlineLevel="1"/>
    <col min="29" max="29" width="8.58333333333333" customWidth="1"/>
    <col min="30" max="33" width="8.58333333333333" customWidth="1" outlineLevel="1"/>
    <col min="34" max="34" width="8.58333333333333" customWidth="1"/>
    <col min="35" max="38" width="8.58333333333333" hidden="1" customWidth="1" outlineLevel="1"/>
    <col min="39" max="39" width="8.58333333333333" customWidth="1" collapsed="1"/>
    <col min="40" max="42" width="8.58333333333333" hidden="1" customWidth="1" outlineLevel="1"/>
    <col min="43" max="43" width="9" hidden="1" customWidth="1" outlineLevel="1"/>
    <col min="44" max="44" width="8.66666666666667" customWidth="1" collapsed="1"/>
    <col min="49" max="49" width="10" customWidth="1"/>
  </cols>
  <sheetData>
    <row r="1" ht="22" customHeight="1" spans="1:51">
      <c r="A1" s="201" t="s">
        <v>304</v>
      </c>
      <c r="B1" s="201"/>
      <c r="C1" s="202"/>
      <c r="D1" s="203"/>
      <c r="E1" s="203"/>
      <c r="F1" s="203"/>
      <c r="G1" s="203"/>
      <c r="H1" s="204" t="s">
        <v>305</v>
      </c>
      <c r="I1" s="205" t="str">
        <f>A35</f>
        <v>RD1202</v>
      </c>
      <c r="J1" s="206"/>
      <c r="K1" s="207"/>
      <c r="L1" s="207"/>
      <c r="M1" s="207"/>
      <c r="N1" s="205" t="str">
        <f>A36</f>
        <v>RD1204</v>
      </c>
      <c r="O1" s="206"/>
      <c r="P1" s="207"/>
      <c r="Q1" s="207"/>
      <c r="R1" s="207"/>
      <c r="S1" s="205" t="str">
        <f>A37</f>
        <v>RD1205</v>
      </c>
      <c r="T1" s="206"/>
      <c r="U1" s="207"/>
      <c r="V1" s="207"/>
      <c r="W1" s="207"/>
      <c r="X1" s="205" t="str">
        <f>A38</f>
        <v>RD1206</v>
      </c>
      <c r="Y1" s="206"/>
      <c r="Z1" s="207"/>
      <c r="AA1" s="207"/>
      <c r="AB1" s="207"/>
      <c r="AC1" s="205" t="str">
        <f>A39</f>
        <v>RD1207</v>
      </c>
      <c r="AD1" s="206"/>
      <c r="AE1" s="207"/>
      <c r="AF1" s="207"/>
      <c r="AG1" s="207"/>
      <c r="AH1" s="205"/>
      <c r="AI1" s="206"/>
      <c r="AJ1" s="207"/>
      <c r="AK1" s="207"/>
      <c r="AL1" s="207"/>
      <c r="AM1" s="205"/>
      <c r="AN1" s="206"/>
      <c r="AO1" s="207"/>
      <c r="AP1" s="207"/>
      <c r="AQ1" s="207"/>
    </row>
    <row r="2" s="199" customFormat="1" spans="1:51">
      <c r="A2" s="208" t="s">
        <v>306</v>
      </c>
      <c r="B2" s="209" t="s">
        <v>207</v>
      </c>
      <c r="C2" s="210" t="s">
        <v>50</v>
      </c>
      <c r="D2" s="211" t="s">
        <v>46</v>
      </c>
      <c r="E2" s="211" t="s">
        <v>47</v>
      </c>
      <c r="F2" s="211" t="s">
        <v>48</v>
      </c>
      <c r="G2" s="211" t="s">
        <v>49</v>
      </c>
      <c r="H2" s="211" t="s">
        <v>230</v>
      </c>
      <c r="I2" s="210" t="s">
        <v>207</v>
      </c>
      <c r="J2" s="212" t="s">
        <v>46</v>
      </c>
      <c r="K2" s="212" t="s">
        <v>47</v>
      </c>
      <c r="L2" s="212" t="s">
        <v>48</v>
      </c>
      <c r="M2" s="212" t="s">
        <v>49</v>
      </c>
      <c r="N2" s="210" t="s">
        <v>207</v>
      </c>
      <c r="O2" s="212" t="s">
        <v>46</v>
      </c>
      <c r="P2" s="212" t="s">
        <v>47</v>
      </c>
      <c r="Q2" s="212" t="s">
        <v>48</v>
      </c>
      <c r="R2" s="212" t="s">
        <v>49</v>
      </c>
      <c r="S2" s="210" t="s">
        <v>207</v>
      </c>
      <c r="T2" s="212" t="s">
        <v>46</v>
      </c>
      <c r="U2" s="212" t="s">
        <v>47</v>
      </c>
      <c r="V2" s="212" t="s">
        <v>48</v>
      </c>
      <c r="W2" s="212" t="s">
        <v>49</v>
      </c>
      <c r="X2" s="210" t="s">
        <v>50</v>
      </c>
      <c r="Y2" s="211" t="s">
        <v>46</v>
      </c>
      <c r="Z2" s="211" t="s">
        <v>47</v>
      </c>
      <c r="AA2" s="211" t="s">
        <v>48</v>
      </c>
      <c r="AB2" s="211" t="s">
        <v>49</v>
      </c>
      <c r="AC2" s="213" t="s">
        <v>50</v>
      </c>
      <c r="AD2" s="211" t="s">
        <v>46</v>
      </c>
      <c r="AE2" s="211" t="s">
        <v>47</v>
      </c>
      <c r="AF2" s="211" t="s">
        <v>48</v>
      </c>
      <c r="AG2" s="211" t="s">
        <v>49</v>
      </c>
      <c r="AH2" s="213" t="s">
        <v>50</v>
      </c>
      <c r="AI2" s="211" t="s">
        <v>46</v>
      </c>
      <c r="AJ2" s="211" t="s">
        <v>47</v>
      </c>
      <c r="AK2" s="211" t="s">
        <v>48</v>
      </c>
      <c r="AL2" s="211" t="s">
        <v>49</v>
      </c>
      <c r="AM2" s="213" t="s">
        <v>50</v>
      </c>
      <c r="AN2" s="211" t="s">
        <v>46</v>
      </c>
      <c r="AO2" s="211" t="s">
        <v>47</v>
      </c>
      <c r="AP2" s="211" t="s">
        <v>48</v>
      </c>
      <c r="AQ2" s="211" t="s">
        <v>49</v>
      </c>
      <c r="AW2"/>
      <c r="AX2"/>
      <c r="AY2" s="38"/>
    </row>
    <row r="3" s="200" customFormat="1" spans="1:51">
      <c r="A3" s="214" t="s">
        <v>307</v>
      </c>
      <c r="B3" s="215">
        <f>SUM(B6:B27)-B16-B19-B21</f>
        <v>429.836824</v>
      </c>
      <c r="C3" s="216">
        <f>SUM(D3:G3)</f>
        <v>0</v>
      </c>
      <c r="D3" s="216">
        <f>SUM(D6:D27)-D16-D19-D21</f>
        <v>0</v>
      </c>
      <c r="E3" s="216">
        <f>SUM(E6:E27)-E16-E19-E21</f>
        <v>0</v>
      </c>
      <c r="F3" s="216">
        <f>SUM(F6:F27)-F16-F19-F21</f>
        <v>0</v>
      </c>
      <c r="G3" s="216">
        <f>SUM(G6:G27)-G16-G19-G21</f>
        <v>0</v>
      </c>
      <c r="H3" s="216"/>
      <c r="I3" s="216" t="e">
        <f t="shared" ref="I3:AM3" si="0">SUM(I6:I27)-I16-I19-I21</f>
        <v>#DIV/0!</v>
      </c>
      <c r="J3" s="216" t="e">
        <f t="shared" si="0"/>
        <v>#DIV/0!</v>
      </c>
      <c r="K3" s="216" t="e">
        <f t="shared" si="0"/>
        <v>#DIV/0!</v>
      </c>
      <c r="L3" s="216" t="e">
        <f t="shared" si="0"/>
        <v>#DIV/0!</v>
      </c>
      <c r="M3" s="216" t="e">
        <f t="shared" si="0"/>
        <v>#DIV/0!</v>
      </c>
      <c r="N3" s="216" t="e">
        <f t="shared" si="0"/>
        <v>#DIV/0!</v>
      </c>
      <c r="O3" s="216" t="e">
        <f t="shared" si="0"/>
        <v>#DIV/0!</v>
      </c>
      <c r="P3" s="216" t="e">
        <f t="shared" si="0"/>
        <v>#DIV/0!</v>
      </c>
      <c r="Q3" s="216" t="e">
        <f t="shared" si="0"/>
        <v>#DIV/0!</v>
      </c>
      <c r="R3" s="216" t="e">
        <f t="shared" si="0"/>
        <v>#DIV/0!</v>
      </c>
      <c r="S3" s="216" t="e">
        <f t="shared" si="0"/>
        <v>#DIV/0!</v>
      </c>
      <c r="T3" s="216" t="e">
        <f t="shared" si="0"/>
        <v>#DIV/0!</v>
      </c>
      <c r="U3" s="216" t="e">
        <f t="shared" si="0"/>
        <v>#DIV/0!</v>
      </c>
      <c r="V3" s="216" t="e">
        <f t="shared" si="0"/>
        <v>#DIV/0!</v>
      </c>
      <c r="W3" s="216" t="e">
        <f t="shared" si="0"/>
        <v>#DIV/0!</v>
      </c>
      <c r="X3" s="216" t="e">
        <f t="shared" si="0"/>
        <v>#DIV/0!</v>
      </c>
      <c r="Y3" s="216" t="e">
        <f t="shared" si="0"/>
        <v>#DIV/0!</v>
      </c>
      <c r="Z3" s="216" t="e">
        <f t="shared" si="0"/>
        <v>#DIV/0!</v>
      </c>
      <c r="AA3" s="216" t="e">
        <f t="shared" si="0"/>
        <v>#DIV/0!</v>
      </c>
      <c r="AB3" s="216" t="e">
        <f t="shared" si="0"/>
        <v>#DIV/0!</v>
      </c>
      <c r="AC3" s="216" t="e">
        <f t="shared" si="0"/>
        <v>#DIV/0!</v>
      </c>
      <c r="AD3" s="216" t="e">
        <f t="shared" si="0"/>
        <v>#DIV/0!</v>
      </c>
      <c r="AE3" s="216" t="e">
        <f t="shared" si="0"/>
        <v>#DIV/0!</v>
      </c>
      <c r="AF3" s="216" t="e">
        <f t="shared" si="0"/>
        <v>#DIV/0!</v>
      </c>
      <c r="AG3" s="216" t="e">
        <f t="shared" si="0"/>
        <v>#DIV/0!</v>
      </c>
      <c r="AH3" s="216">
        <f t="shared" si="0"/>
        <v>0</v>
      </c>
      <c r="AI3" s="216">
        <f t="shared" si="0"/>
        <v>0</v>
      </c>
      <c r="AJ3" s="216">
        <f t="shared" si="0"/>
        <v>0</v>
      </c>
      <c r="AK3" s="216">
        <f t="shared" si="0"/>
        <v>0</v>
      </c>
      <c r="AL3" s="216">
        <f t="shared" si="0"/>
        <v>0</v>
      </c>
      <c r="AM3" s="216">
        <f t="shared" si="0"/>
        <v>0</v>
      </c>
      <c r="AN3" s="216">
        <f t="shared" ref="AN3:AQ3" si="1">SUM(AN6:AN24)-AN17-AN22</f>
        <v>0</v>
      </c>
      <c r="AO3" s="216">
        <f t="shared" si="1"/>
        <v>0</v>
      </c>
      <c r="AP3" s="216">
        <f t="shared" si="1"/>
        <v>0</v>
      </c>
      <c r="AQ3" s="216">
        <f t="shared" si="1"/>
        <v>0</v>
      </c>
      <c r="AR3" s="217" t="e">
        <f>SUM(I3:AQ3)/2-C3</f>
        <v>#DIV/0!</v>
      </c>
      <c r="AW3"/>
      <c r="AX3"/>
    </row>
    <row r="4" s="200" customFormat="1" spans="1:51">
      <c r="A4" s="218" t="s">
        <v>308</v>
      </c>
      <c r="B4" s="215">
        <f>SUM(B6:B23)-B15-B18-B20</f>
        <v>457.983543</v>
      </c>
      <c r="C4" s="216">
        <f t="shared" ref="C4:C27" si="2">SUM(D4:G4)</f>
        <v>0</v>
      </c>
      <c r="D4" s="216">
        <f>SUM(D6:D23)-D15-D18-D20</f>
        <v>0</v>
      </c>
      <c r="E4" s="216">
        <f t="shared" ref="E4:AM4" si="3">SUM(E6:E23)-E15-E18-E20</f>
        <v>0</v>
      </c>
      <c r="F4" s="216">
        <f t="shared" si="3"/>
        <v>0</v>
      </c>
      <c r="G4" s="216">
        <f t="shared" si="3"/>
        <v>0</v>
      </c>
      <c r="H4" s="216"/>
      <c r="I4" s="216" t="e">
        <f t="shared" si="3"/>
        <v>#DIV/0!</v>
      </c>
      <c r="J4" s="216" t="e">
        <f t="shared" si="3"/>
        <v>#DIV/0!</v>
      </c>
      <c r="K4" s="216" t="e">
        <f t="shared" si="3"/>
        <v>#DIV/0!</v>
      </c>
      <c r="L4" s="216" t="e">
        <f t="shared" si="3"/>
        <v>#DIV/0!</v>
      </c>
      <c r="M4" s="216" t="e">
        <f t="shared" si="3"/>
        <v>#DIV/0!</v>
      </c>
      <c r="N4" s="216" t="e">
        <f t="shared" si="3"/>
        <v>#DIV/0!</v>
      </c>
      <c r="O4" s="216" t="e">
        <f t="shared" si="3"/>
        <v>#DIV/0!</v>
      </c>
      <c r="P4" s="216" t="e">
        <f t="shared" si="3"/>
        <v>#DIV/0!</v>
      </c>
      <c r="Q4" s="216" t="e">
        <f t="shared" si="3"/>
        <v>#DIV/0!</v>
      </c>
      <c r="R4" s="216" t="e">
        <f t="shared" si="3"/>
        <v>#DIV/0!</v>
      </c>
      <c r="S4" s="216" t="e">
        <f t="shared" si="3"/>
        <v>#DIV/0!</v>
      </c>
      <c r="T4" s="216" t="e">
        <f t="shared" si="3"/>
        <v>#DIV/0!</v>
      </c>
      <c r="U4" s="216" t="e">
        <f t="shared" si="3"/>
        <v>#DIV/0!</v>
      </c>
      <c r="V4" s="216" t="e">
        <f t="shared" si="3"/>
        <v>#DIV/0!</v>
      </c>
      <c r="W4" s="216" t="e">
        <f t="shared" si="3"/>
        <v>#DIV/0!</v>
      </c>
      <c r="X4" s="216" t="e">
        <f t="shared" si="3"/>
        <v>#DIV/0!</v>
      </c>
      <c r="Y4" s="216" t="e">
        <f t="shared" si="3"/>
        <v>#DIV/0!</v>
      </c>
      <c r="Z4" s="216" t="e">
        <f t="shared" si="3"/>
        <v>#DIV/0!</v>
      </c>
      <c r="AA4" s="216" t="e">
        <f t="shared" si="3"/>
        <v>#DIV/0!</v>
      </c>
      <c r="AB4" s="216" t="e">
        <f t="shared" si="3"/>
        <v>#DIV/0!</v>
      </c>
      <c r="AC4" s="216" t="e">
        <f t="shared" si="3"/>
        <v>#DIV/0!</v>
      </c>
      <c r="AD4" s="216" t="e">
        <f t="shared" si="3"/>
        <v>#DIV/0!</v>
      </c>
      <c r="AE4" s="216" t="e">
        <f t="shared" si="3"/>
        <v>#DIV/0!</v>
      </c>
      <c r="AF4" s="216" t="e">
        <f t="shared" si="3"/>
        <v>#DIV/0!</v>
      </c>
      <c r="AG4" s="216" t="e">
        <f t="shared" si="3"/>
        <v>#DIV/0!</v>
      </c>
      <c r="AH4" s="216">
        <f t="shared" si="3"/>
        <v>0</v>
      </c>
      <c r="AI4" s="216">
        <f t="shared" si="3"/>
        <v>0</v>
      </c>
      <c r="AJ4" s="216">
        <f t="shared" si="3"/>
        <v>0</v>
      </c>
      <c r="AK4" s="216">
        <f t="shared" si="3"/>
        <v>0</v>
      </c>
      <c r="AL4" s="216">
        <f t="shared" si="3"/>
        <v>0</v>
      </c>
      <c r="AM4" s="216">
        <f t="shared" si="3"/>
        <v>0</v>
      </c>
      <c r="AN4" s="216">
        <f t="shared" ref="AN4:AQ4" si="4">SUM(AN6:AN24)-AN8-AN16-AN19-AN21</f>
        <v>0</v>
      </c>
      <c r="AO4" s="216">
        <f t="shared" si="4"/>
        <v>0</v>
      </c>
      <c r="AP4" s="216">
        <f t="shared" si="4"/>
        <v>0</v>
      </c>
      <c r="AQ4" s="216">
        <f t="shared" si="4"/>
        <v>0</v>
      </c>
      <c r="AR4" s="217" t="e">
        <f t="shared" ref="AR4:AR27" si="5">SUM(I4:AQ4)/2-C4</f>
        <v>#DIV/0!</v>
      </c>
      <c r="AW4"/>
      <c r="AX4"/>
    </row>
    <row r="5" s="200" customFormat="1" spans="1:51">
      <c r="A5" s="218" t="s">
        <v>309</v>
      </c>
      <c r="B5" s="215">
        <f>SUM(B24:B27)</f>
        <v>34.675891</v>
      </c>
      <c r="C5" s="216">
        <f t="shared" si="2"/>
        <v>0</v>
      </c>
      <c r="D5" s="219">
        <f>SUM(D24:D27)</f>
        <v>0</v>
      </c>
      <c r="E5" s="219">
        <f t="shared" ref="E5:AM5" si="6">SUM(E24:E27)</f>
        <v>0</v>
      </c>
      <c r="F5" s="219">
        <f t="shared" si="6"/>
        <v>0</v>
      </c>
      <c r="G5" s="219">
        <f t="shared" si="6"/>
        <v>0</v>
      </c>
      <c r="H5" s="219"/>
      <c r="I5" s="219">
        <f t="shared" si="6"/>
        <v>0</v>
      </c>
      <c r="J5" s="219">
        <f t="shared" si="6"/>
        <v>0</v>
      </c>
      <c r="K5" s="219">
        <f t="shared" si="6"/>
        <v>0</v>
      </c>
      <c r="L5" s="219">
        <f t="shared" si="6"/>
        <v>0</v>
      </c>
      <c r="M5" s="219">
        <f t="shared" si="6"/>
        <v>0</v>
      </c>
      <c r="N5" s="219">
        <f t="shared" si="6"/>
        <v>0</v>
      </c>
      <c r="O5" s="219">
        <f t="shared" si="6"/>
        <v>0</v>
      </c>
      <c r="P5" s="219">
        <f t="shared" si="6"/>
        <v>0</v>
      </c>
      <c r="Q5" s="219">
        <f t="shared" si="6"/>
        <v>0</v>
      </c>
      <c r="R5" s="219">
        <f t="shared" si="6"/>
        <v>0</v>
      </c>
      <c r="S5" s="219">
        <f t="shared" si="6"/>
        <v>0</v>
      </c>
      <c r="T5" s="219">
        <f t="shared" si="6"/>
        <v>0</v>
      </c>
      <c r="U5" s="219">
        <f t="shared" si="6"/>
        <v>0</v>
      </c>
      <c r="V5" s="219">
        <f t="shared" si="6"/>
        <v>0</v>
      </c>
      <c r="W5" s="219">
        <f t="shared" si="6"/>
        <v>0</v>
      </c>
      <c r="X5" s="219">
        <f t="shared" si="6"/>
        <v>0</v>
      </c>
      <c r="Y5" s="219">
        <f t="shared" si="6"/>
        <v>0</v>
      </c>
      <c r="Z5" s="219">
        <f t="shared" si="6"/>
        <v>0</v>
      </c>
      <c r="AA5" s="219">
        <f t="shared" si="6"/>
        <v>0</v>
      </c>
      <c r="AB5" s="219">
        <f t="shared" si="6"/>
        <v>0</v>
      </c>
      <c r="AC5" s="220">
        <f t="shared" si="6"/>
        <v>0</v>
      </c>
      <c r="AD5" s="219">
        <f t="shared" si="6"/>
        <v>0</v>
      </c>
      <c r="AE5" s="219">
        <f t="shared" si="6"/>
        <v>0</v>
      </c>
      <c r="AF5" s="219">
        <f t="shared" si="6"/>
        <v>0</v>
      </c>
      <c r="AG5" s="219">
        <f t="shared" si="6"/>
        <v>0</v>
      </c>
      <c r="AH5" s="219">
        <f t="shared" si="6"/>
        <v>0</v>
      </c>
      <c r="AI5" s="219">
        <f t="shared" si="6"/>
        <v>0</v>
      </c>
      <c r="AJ5" s="219">
        <f t="shared" si="6"/>
        <v>0</v>
      </c>
      <c r="AK5" s="219">
        <f t="shared" si="6"/>
        <v>0</v>
      </c>
      <c r="AL5" s="219">
        <f t="shared" si="6"/>
        <v>0</v>
      </c>
      <c r="AM5" s="219">
        <f t="shared" si="6"/>
        <v>0</v>
      </c>
      <c r="AN5" s="221">
        <f t="shared" ref="AN5:AQ5" si="7">AN8</f>
        <v>0</v>
      </c>
      <c r="AO5" s="221">
        <f t="shared" si="7"/>
        <v>0</v>
      </c>
      <c r="AP5" s="221">
        <f t="shared" si="7"/>
        <v>0</v>
      </c>
      <c r="AQ5" s="221">
        <f t="shared" si="7"/>
        <v>0</v>
      </c>
      <c r="AR5" s="217">
        <f t="shared" si="5"/>
        <v>0</v>
      </c>
      <c r="AW5"/>
      <c r="AX5"/>
    </row>
    <row r="6" s="200" customFormat="1" spans="1:51">
      <c r="A6" s="222" t="s">
        <v>310</v>
      </c>
      <c r="B6" s="223">
        <v>23.493631</v>
      </c>
      <c r="C6" s="224">
        <f t="shared" si="2"/>
        <v>0</v>
      </c>
      <c r="D6" s="225">
        <f>J6+O6+T6+Y6+AD6</f>
        <v>0</v>
      </c>
      <c r="E6" s="225">
        <f>K6+P6+U6+Z6+AE6</f>
        <v>0</v>
      </c>
      <c r="F6" s="225">
        <f>L6+Q6+V6+AA6+AF6</f>
        <v>0</v>
      </c>
      <c r="G6" s="225">
        <f>M6+R6+W6+AB6+AG6</f>
        <v>0</v>
      </c>
      <c r="H6" s="226" t="s">
        <v>311</v>
      </c>
      <c r="I6" s="227">
        <f>SUM(J6:M6)</f>
        <v>0</v>
      </c>
      <c r="J6" s="225"/>
      <c r="K6" s="225"/>
      <c r="L6" s="225"/>
      <c r="M6" s="225"/>
      <c r="N6" s="227">
        <f>SUM(O6:R6)</f>
        <v>0</v>
      </c>
      <c r="O6" s="225"/>
      <c r="P6" s="225"/>
      <c r="Q6" s="225"/>
      <c r="R6" s="225"/>
      <c r="S6" s="227">
        <f>SUM(T6:W6)</f>
        <v>0</v>
      </c>
      <c r="T6" s="225"/>
      <c r="U6" s="225"/>
      <c r="V6" s="225"/>
      <c r="W6" s="225"/>
      <c r="X6" s="228">
        <f>SUM(Y6:AB6)</f>
        <v>0</v>
      </c>
      <c r="Y6" s="229"/>
      <c r="Z6" s="229"/>
      <c r="AA6" s="229"/>
      <c r="AB6" s="229"/>
      <c r="AC6" s="230">
        <f>SUM(AD6:AG6)</f>
        <v>0</v>
      </c>
      <c r="AD6" s="229"/>
      <c r="AE6" s="229"/>
      <c r="AF6" s="229"/>
      <c r="AG6" s="229"/>
      <c r="AH6" s="231">
        <f>SUM(AI6:AL6)</f>
        <v>0</v>
      </c>
      <c r="AI6" s="229"/>
      <c r="AJ6" s="229"/>
      <c r="AK6" s="229"/>
      <c r="AL6" s="229"/>
      <c r="AM6" s="231">
        <f>SUM(AN6:AQ6)</f>
        <v>0</v>
      </c>
      <c r="AN6" s="229"/>
      <c r="AO6" s="229"/>
      <c r="AP6" s="229"/>
      <c r="AQ6" s="229"/>
      <c r="AR6" s="217">
        <f t="shared" si="5"/>
        <v>0</v>
      </c>
      <c r="AW6"/>
      <c r="AX6"/>
    </row>
    <row r="7" s="200" customFormat="1" spans="1:51">
      <c r="A7" s="232" t="s">
        <v>312</v>
      </c>
      <c r="B7" s="233">
        <v>2.630694</v>
      </c>
      <c r="C7" s="224">
        <f t="shared" si="2"/>
        <v>0</v>
      </c>
      <c r="D7" s="225">
        <f>'附件3（公共费用分摊表）'!G17*3</f>
        <v>0</v>
      </c>
      <c r="E7" s="225">
        <f>D7</f>
        <v>0</v>
      </c>
      <c r="F7" s="225">
        <f>D7</f>
        <v>0</v>
      </c>
      <c r="G7" s="225">
        <f>D7</f>
        <v>0</v>
      </c>
      <c r="H7" s="226" t="s">
        <v>311</v>
      </c>
      <c r="I7" s="227" t="e">
        <f t="shared" ref="I7:I27" si="8">SUM(J7:M7)</f>
        <v>#DIV/0!</v>
      </c>
      <c r="J7" s="225" t="e">
        <f>D7*D35</f>
        <v>#DIV/0!</v>
      </c>
      <c r="K7" s="225" t="e">
        <f>E7*E35</f>
        <v>#DIV/0!</v>
      </c>
      <c r="L7" s="225" t="e">
        <f>F7*F35</f>
        <v>#DIV/0!</v>
      </c>
      <c r="M7" s="225" t="e">
        <f>G7*G35</f>
        <v>#DIV/0!</v>
      </c>
      <c r="N7" s="227" t="e">
        <f t="shared" ref="N7:N27" si="9">SUM(O7:R7)</f>
        <v>#DIV/0!</v>
      </c>
      <c r="O7" s="225" t="e">
        <f>D7*D36</f>
        <v>#DIV/0!</v>
      </c>
      <c r="P7" s="225" t="e">
        <f>E7*E36</f>
        <v>#DIV/0!</v>
      </c>
      <c r="Q7" s="225" t="e">
        <f>F7*F36</f>
        <v>#DIV/0!</v>
      </c>
      <c r="R7" s="225" t="e">
        <f>G7*G36</f>
        <v>#DIV/0!</v>
      </c>
      <c r="S7" s="227" t="e">
        <f t="shared" ref="S7:S27" si="10">SUM(T7:W7)</f>
        <v>#DIV/0!</v>
      </c>
      <c r="T7" s="225" t="e">
        <f>D37*D7</f>
        <v>#DIV/0!</v>
      </c>
      <c r="U7" s="225" t="e">
        <f>E37*E7</f>
        <v>#DIV/0!</v>
      </c>
      <c r="V7" s="225" t="e">
        <f>F37*F7</f>
        <v>#DIV/0!</v>
      </c>
      <c r="W7" s="225" t="e">
        <f>G37*G7</f>
        <v>#DIV/0!</v>
      </c>
      <c r="X7" s="228" t="e">
        <f t="shared" ref="X7:X27" si="11">SUM(Y7:AB7)</f>
        <v>#DIV/0!</v>
      </c>
      <c r="Y7" s="229" t="e">
        <f>D7*D38</f>
        <v>#DIV/0!</v>
      </c>
      <c r="Z7" s="229" t="e">
        <f>E7*E38</f>
        <v>#DIV/0!</v>
      </c>
      <c r="AA7" s="229" t="e">
        <f>F7*F38</f>
        <v>#DIV/0!</v>
      </c>
      <c r="AB7" s="229" t="e">
        <f>G7*G38</f>
        <v>#DIV/0!</v>
      </c>
      <c r="AC7" s="230" t="e">
        <f t="shared" ref="AC7:AC27" si="12">SUM(AD7:AG7)</f>
        <v>#DIV/0!</v>
      </c>
      <c r="AD7" s="229" t="e">
        <f>D7*D39</f>
        <v>#DIV/0!</v>
      </c>
      <c r="AE7" s="229" t="e">
        <f>E7*E39</f>
        <v>#DIV/0!</v>
      </c>
      <c r="AF7" s="229" t="e">
        <f>F7*F39</f>
        <v>#DIV/0!</v>
      </c>
      <c r="AG7" s="229" t="e">
        <f>G7*G39</f>
        <v>#DIV/0!</v>
      </c>
      <c r="AH7" s="231">
        <f t="shared" ref="AH7:AH27" si="13">SUM(AI7:AL7)</f>
        <v>0</v>
      </c>
      <c r="AI7" s="229"/>
      <c r="AJ7" s="229"/>
      <c r="AK7" s="229"/>
      <c r="AL7" s="229"/>
      <c r="AM7" s="231">
        <f t="shared" ref="AM7:AM27" si="14">SUM(AN7:AQ7)</f>
        <v>0</v>
      </c>
      <c r="AN7" s="229"/>
      <c r="AO7" s="229"/>
      <c r="AP7" s="229"/>
      <c r="AQ7" s="229"/>
      <c r="AR7" s="217" t="e">
        <f t="shared" si="5"/>
        <v>#DIV/0!</v>
      </c>
      <c r="AW7"/>
      <c r="AX7"/>
    </row>
    <row r="8" s="200" customFormat="1" spans="1:51">
      <c r="A8" s="222" t="s">
        <v>313</v>
      </c>
      <c r="B8" s="223">
        <v>16.119022</v>
      </c>
      <c r="C8" s="224">
        <f t="shared" si="2"/>
        <v>0</v>
      </c>
      <c r="D8" s="225">
        <f>J8+O8+T8+Y8+AC8</f>
        <v>0</v>
      </c>
      <c r="E8" s="225">
        <f t="shared" ref="E8:G8" si="15">K8+P8+U8+Z8+AD8</f>
        <v>0</v>
      </c>
      <c r="F8" s="225">
        <f t="shared" si="15"/>
        <v>0</v>
      </c>
      <c r="G8" s="225">
        <f t="shared" si="15"/>
        <v>0</v>
      </c>
      <c r="H8" s="226" t="s">
        <v>311</v>
      </c>
      <c r="I8" s="227">
        <f t="shared" si="8"/>
        <v>0</v>
      </c>
      <c r="J8" s="225"/>
      <c r="K8" s="225"/>
      <c r="L8" s="225"/>
      <c r="M8" s="225"/>
      <c r="N8" s="227">
        <f t="shared" si="9"/>
        <v>0</v>
      </c>
      <c r="O8" s="225"/>
      <c r="P8" s="225"/>
      <c r="Q8" s="225"/>
      <c r="R8" s="225"/>
      <c r="S8" s="227">
        <f t="shared" si="10"/>
        <v>0</v>
      </c>
      <c r="T8" s="225"/>
      <c r="U8" s="225"/>
      <c r="V8" s="225"/>
      <c r="W8" s="225"/>
      <c r="X8" s="228">
        <f t="shared" si="11"/>
        <v>0</v>
      </c>
      <c r="Y8" s="229"/>
      <c r="Z8" s="229"/>
      <c r="AA8" s="229"/>
      <c r="AB8" s="229"/>
      <c r="AC8" s="230">
        <f t="shared" si="12"/>
        <v>0</v>
      </c>
      <c r="AD8" s="229"/>
      <c r="AE8" s="229"/>
      <c r="AF8" s="229"/>
      <c r="AG8" s="229"/>
      <c r="AH8" s="231">
        <f t="shared" si="13"/>
        <v>0</v>
      </c>
      <c r="AI8" s="229"/>
      <c r="AJ8" s="229"/>
      <c r="AK8" s="229"/>
      <c r="AL8" s="229"/>
      <c r="AM8" s="231">
        <f t="shared" si="14"/>
        <v>0</v>
      </c>
      <c r="AN8" s="229"/>
      <c r="AO8" s="229"/>
      <c r="AP8" s="229"/>
      <c r="AQ8" s="229"/>
      <c r="AR8" s="217">
        <f t="shared" si="5"/>
        <v>0</v>
      </c>
      <c r="AW8"/>
      <c r="AX8"/>
    </row>
    <row r="9" s="200" customFormat="1" spans="1:51">
      <c r="A9" s="222" t="s">
        <v>314</v>
      </c>
      <c r="B9" s="223"/>
      <c r="C9" s="224">
        <f t="shared" si="2"/>
        <v>0</v>
      </c>
      <c r="D9" s="225">
        <f t="shared" ref="D9:D10" si="16">J9+O9+T9+Y9+AC9</f>
        <v>0</v>
      </c>
      <c r="E9" s="225">
        <f t="shared" ref="E9:E10" si="17">K9+P9+U9+Z9+AD9</f>
        <v>0</v>
      </c>
      <c r="F9" s="225">
        <f t="shared" ref="F9:F10" si="18">L9+Q9+V9+AA9+AE9</f>
        <v>0</v>
      </c>
      <c r="G9" s="225">
        <f t="shared" ref="G9:G10" si="19">M9+R9+W9+AB9+AF9</f>
        <v>0</v>
      </c>
      <c r="H9" s="226" t="s">
        <v>311</v>
      </c>
      <c r="I9" s="227">
        <f t="shared" si="8"/>
        <v>0</v>
      </c>
      <c r="J9" s="225"/>
      <c r="K9" s="225"/>
      <c r="L9" s="225"/>
      <c r="M9" s="225"/>
      <c r="N9" s="227">
        <f t="shared" si="9"/>
        <v>0</v>
      </c>
      <c r="O9" s="225"/>
      <c r="P9" s="225"/>
      <c r="Q9" s="225"/>
      <c r="R9" s="225"/>
      <c r="S9" s="227">
        <f t="shared" si="10"/>
        <v>0</v>
      </c>
      <c r="T9" s="225"/>
      <c r="U9" s="225"/>
      <c r="V9" s="225"/>
      <c r="W9" s="225"/>
      <c r="X9" s="228">
        <f t="shared" si="11"/>
        <v>0</v>
      </c>
      <c r="Y9" s="229"/>
      <c r="Z9" s="229"/>
      <c r="AA9" s="229"/>
      <c r="AB9" s="229"/>
      <c r="AC9" s="230">
        <f t="shared" si="12"/>
        <v>0</v>
      </c>
      <c r="AD9" s="229"/>
      <c r="AE9" s="229"/>
      <c r="AF9" s="229"/>
      <c r="AG9" s="229"/>
      <c r="AH9" s="231">
        <f t="shared" si="13"/>
        <v>0</v>
      </c>
      <c r="AI9" s="229"/>
      <c r="AJ9" s="229"/>
      <c r="AK9" s="229"/>
      <c r="AL9" s="229"/>
      <c r="AM9" s="231">
        <f t="shared" si="14"/>
        <v>0</v>
      </c>
      <c r="AN9" s="229"/>
      <c r="AO9" s="229"/>
      <c r="AP9" s="229"/>
      <c r="AQ9" s="229"/>
      <c r="AR9" s="217">
        <f t="shared" si="5"/>
        <v>0</v>
      </c>
      <c r="AW9"/>
      <c r="AX9"/>
    </row>
    <row r="10" s="200" customFormat="1" spans="1:51">
      <c r="A10" s="222" t="s">
        <v>315</v>
      </c>
      <c r="B10" s="223">
        <v>2.178963</v>
      </c>
      <c r="C10" s="224">
        <f t="shared" si="2"/>
        <v>0</v>
      </c>
      <c r="D10" s="225">
        <f t="shared" si="16"/>
        <v>0</v>
      </c>
      <c r="E10" s="225">
        <f t="shared" si="17"/>
        <v>0</v>
      </c>
      <c r="F10" s="225">
        <f t="shared" si="18"/>
        <v>0</v>
      </c>
      <c r="G10" s="225">
        <f t="shared" si="19"/>
        <v>0</v>
      </c>
      <c r="H10" s="226" t="s">
        <v>311</v>
      </c>
      <c r="I10" s="227">
        <f t="shared" si="8"/>
        <v>0</v>
      </c>
      <c r="J10" s="225"/>
      <c r="K10" s="225"/>
      <c r="L10" s="225"/>
      <c r="M10" s="225"/>
      <c r="N10" s="227">
        <f t="shared" si="9"/>
        <v>0</v>
      </c>
      <c r="O10" s="225"/>
      <c r="P10" s="225"/>
      <c r="Q10" s="225"/>
      <c r="R10" s="225"/>
      <c r="S10" s="227">
        <f t="shared" si="10"/>
        <v>0</v>
      </c>
      <c r="T10" s="225"/>
      <c r="U10" s="225"/>
      <c r="V10" s="225"/>
      <c r="W10" s="225"/>
      <c r="X10" s="228">
        <f t="shared" si="11"/>
        <v>0</v>
      </c>
      <c r="Y10" s="229"/>
      <c r="Z10" s="229"/>
      <c r="AA10" s="229"/>
      <c r="AB10" s="229"/>
      <c r="AC10" s="230">
        <f t="shared" si="12"/>
        <v>0</v>
      </c>
      <c r="AD10" s="229"/>
      <c r="AE10" s="229"/>
      <c r="AF10" s="229"/>
      <c r="AG10" s="229"/>
      <c r="AH10" s="231">
        <f t="shared" si="13"/>
        <v>0</v>
      </c>
      <c r="AI10" s="229"/>
      <c r="AJ10" s="229"/>
      <c r="AK10" s="229"/>
      <c r="AL10" s="229"/>
      <c r="AM10" s="231">
        <f t="shared" si="14"/>
        <v>0</v>
      </c>
      <c r="AN10" s="229"/>
      <c r="AO10" s="229"/>
      <c r="AP10" s="229"/>
      <c r="AQ10" s="229"/>
      <c r="AR10" s="217">
        <f t="shared" si="5"/>
        <v>0</v>
      </c>
      <c r="AW10"/>
      <c r="AX10"/>
    </row>
    <row r="11" s="200" customFormat="1" ht="12" customHeight="1" spans="1:51">
      <c r="A11" s="222" t="s">
        <v>316</v>
      </c>
      <c r="B11" s="223"/>
      <c r="C11" s="224">
        <f t="shared" si="2"/>
        <v>0</v>
      </c>
      <c r="D11" s="225">
        <f t="shared" ref="D11" si="20">J11+O11+T11+Y11</f>
        <v>0</v>
      </c>
      <c r="E11" s="225">
        <f t="shared" ref="E11:G11" si="21">K11+P11+U11+Z11</f>
        <v>0</v>
      </c>
      <c r="F11" s="225">
        <f t="shared" si="21"/>
        <v>0</v>
      </c>
      <c r="G11" s="225">
        <f t="shared" si="21"/>
        <v>0</v>
      </c>
      <c r="H11" s="226" t="s">
        <v>311</v>
      </c>
      <c r="I11" s="227">
        <f t="shared" si="8"/>
        <v>0</v>
      </c>
      <c r="J11" s="225"/>
      <c r="K11" s="225"/>
      <c r="L11" s="225"/>
      <c r="M11" s="225"/>
      <c r="N11" s="227">
        <f t="shared" si="9"/>
        <v>0</v>
      </c>
      <c r="O11" s="225"/>
      <c r="P11" s="225"/>
      <c r="Q11" s="225"/>
      <c r="R11" s="225"/>
      <c r="S11" s="227">
        <f t="shared" si="10"/>
        <v>0</v>
      </c>
      <c r="T11" s="225"/>
      <c r="U11" s="225"/>
      <c r="V11" s="225"/>
      <c r="W11" s="225"/>
      <c r="X11" s="228">
        <f t="shared" si="11"/>
        <v>0</v>
      </c>
      <c r="Y11" s="229"/>
      <c r="Z11" s="229"/>
      <c r="AA11" s="229"/>
      <c r="AB11" s="229"/>
      <c r="AC11" s="230">
        <f t="shared" si="12"/>
        <v>0</v>
      </c>
      <c r="AD11" s="229"/>
      <c r="AE11" s="229"/>
      <c r="AF11" s="229"/>
      <c r="AG11" s="229"/>
      <c r="AH11" s="231">
        <f t="shared" si="13"/>
        <v>0</v>
      </c>
      <c r="AI11" s="229"/>
      <c r="AJ11" s="229"/>
      <c r="AK11" s="229"/>
      <c r="AL11" s="229"/>
      <c r="AM11" s="231">
        <f t="shared" si="14"/>
        <v>0</v>
      </c>
      <c r="AN11" s="229"/>
      <c r="AO11" s="229"/>
      <c r="AP11" s="229"/>
      <c r="AQ11" s="229"/>
      <c r="AR11" s="217">
        <f t="shared" si="5"/>
        <v>0</v>
      </c>
    </row>
    <row r="12" ht="14" customHeight="1" spans="1:51">
      <c r="A12" s="234" t="s">
        <v>204</v>
      </c>
      <c r="B12" s="223">
        <v>25.322055</v>
      </c>
      <c r="C12" s="224">
        <f t="shared" si="2"/>
        <v>0</v>
      </c>
      <c r="D12" s="225">
        <f>'附件3（公共费用分摊表）'!G12*3</f>
        <v>0</v>
      </c>
      <c r="E12" s="225">
        <f>D12</f>
        <v>0</v>
      </c>
      <c r="F12" s="225">
        <f>D12</f>
        <v>0</v>
      </c>
      <c r="G12" s="225">
        <f>D12</f>
        <v>0</v>
      </c>
      <c r="H12" s="226" t="s">
        <v>317</v>
      </c>
      <c r="I12" s="227" t="e">
        <f t="shared" si="8"/>
        <v>#DIV/0!</v>
      </c>
      <c r="J12" s="225" t="e">
        <f>D12*D35</f>
        <v>#DIV/0!</v>
      </c>
      <c r="K12" s="225" t="e">
        <f>E12*E35</f>
        <v>#DIV/0!</v>
      </c>
      <c r="L12" s="225" t="e">
        <f>F12*F35</f>
        <v>#DIV/0!</v>
      </c>
      <c r="M12" s="225" t="e">
        <f>G12*G35</f>
        <v>#DIV/0!</v>
      </c>
      <c r="N12" s="227" t="e">
        <f t="shared" si="9"/>
        <v>#DIV/0!</v>
      </c>
      <c r="O12" s="225" t="e">
        <f>D12*D36</f>
        <v>#DIV/0!</v>
      </c>
      <c r="P12" s="225" t="e">
        <f>E12*E36</f>
        <v>#DIV/0!</v>
      </c>
      <c r="Q12" s="225" t="e">
        <f>F12*F36</f>
        <v>#DIV/0!</v>
      </c>
      <c r="R12" s="225" t="e">
        <f>G12*G36</f>
        <v>#DIV/0!</v>
      </c>
      <c r="S12" s="227" t="e">
        <f t="shared" si="10"/>
        <v>#DIV/0!</v>
      </c>
      <c r="T12" s="225" t="e">
        <f>D12*D37</f>
        <v>#DIV/0!</v>
      </c>
      <c r="U12" s="225" t="e">
        <f>E12*E37</f>
        <v>#DIV/0!</v>
      </c>
      <c r="V12" s="225" t="e">
        <f>F12*F37</f>
        <v>#DIV/0!</v>
      </c>
      <c r="W12" s="225" t="e">
        <f>G12*G37</f>
        <v>#DIV/0!</v>
      </c>
      <c r="X12" s="228" t="e">
        <f t="shared" si="11"/>
        <v>#DIV/0!</v>
      </c>
      <c r="Y12" s="229" t="e">
        <f>D12*D38</f>
        <v>#DIV/0!</v>
      </c>
      <c r="Z12" s="229" t="e">
        <f>E12*E38</f>
        <v>#DIV/0!</v>
      </c>
      <c r="AA12" s="229" t="e">
        <f>F12*F38</f>
        <v>#DIV/0!</v>
      </c>
      <c r="AB12" s="229" t="e">
        <f>G12*G38</f>
        <v>#DIV/0!</v>
      </c>
      <c r="AC12" s="230" t="e">
        <f t="shared" si="12"/>
        <v>#DIV/0!</v>
      </c>
      <c r="AD12" s="229" t="e">
        <f>D12*D39</f>
        <v>#DIV/0!</v>
      </c>
      <c r="AE12" s="229" t="e">
        <f>E12*E39</f>
        <v>#DIV/0!</v>
      </c>
      <c r="AF12" s="229" t="e">
        <f>F12*F39</f>
        <v>#DIV/0!</v>
      </c>
      <c r="AG12" s="229" t="e">
        <f>G12*G39</f>
        <v>#DIV/0!</v>
      </c>
      <c r="AH12" s="231">
        <f t="shared" si="13"/>
        <v>0</v>
      </c>
      <c r="AI12" s="229"/>
      <c r="AJ12" s="229"/>
      <c r="AK12" s="229"/>
      <c r="AL12" s="229"/>
      <c r="AM12" s="231">
        <f t="shared" si="14"/>
        <v>0</v>
      </c>
      <c r="AN12" s="37"/>
      <c r="AO12" s="37"/>
      <c r="AP12" s="37"/>
      <c r="AQ12" s="37"/>
      <c r="AR12" s="217" t="e">
        <f t="shared" si="5"/>
        <v>#DIV/0!</v>
      </c>
      <c r="AS12" s="200"/>
    </row>
    <row r="13" s="200" customFormat="1" spans="1:51">
      <c r="A13" s="222" t="s">
        <v>318</v>
      </c>
      <c r="B13" s="223"/>
      <c r="C13" s="224">
        <f t="shared" si="2"/>
        <v>0</v>
      </c>
      <c r="D13" s="225">
        <f>J13+O13+T13+Y13</f>
        <v>0</v>
      </c>
      <c r="E13" s="225">
        <f t="shared" ref="E13:G13" si="22">K13+P13+U13+Z13</f>
        <v>0</v>
      </c>
      <c r="F13" s="225">
        <f t="shared" si="22"/>
        <v>0</v>
      </c>
      <c r="G13" s="225">
        <f t="shared" si="22"/>
        <v>0</v>
      </c>
      <c r="H13" s="226" t="s">
        <v>311</v>
      </c>
      <c r="I13" s="227">
        <f t="shared" si="8"/>
        <v>0</v>
      </c>
      <c r="J13" s="225"/>
      <c r="K13" s="225"/>
      <c r="L13" s="225"/>
      <c r="M13" s="225"/>
      <c r="N13" s="227">
        <f t="shared" si="9"/>
        <v>0</v>
      </c>
      <c r="O13" s="225"/>
      <c r="P13" s="225"/>
      <c r="Q13" s="225"/>
      <c r="R13" s="225"/>
      <c r="S13" s="227">
        <f t="shared" si="10"/>
        <v>0</v>
      </c>
      <c r="T13" s="225"/>
      <c r="U13" s="225"/>
      <c r="V13" s="225"/>
      <c r="W13" s="225"/>
      <c r="X13" s="228">
        <f t="shared" si="11"/>
        <v>0</v>
      </c>
      <c r="Y13" s="229"/>
      <c r="Z13" s="229"/>
      <c r="AA13" s="229"/>
      <c r="AB13" s="229"/>
      <c r="AC13" s="230">
        <f t="shared" si="12"/>
        <v>0</v>
      </c>
      <c r="AD13" s="229"/>
      <c r="AE13" s="229"/>
      <c r="AF13" s="229"/>
      <c r="AG13" s="229"/>
      <c r="AH13" s="231">
        <f t="shared" si="13"/>
        <v>0</v>
      </c>
      <c r="AI13" s="229"/>
      <c r="AJ13" s="229"/>
      <c r="AK13" s="229"/>
      <c r="AL13" s="229"/>
      <c r="AM13" s="231">
        <f t="shared" si="14"/>
        <v>0</v>
      </c>
      <c r="AN13" s="229"/>
      <c r="AO13" s="229"/>
      <c r="AP13" s="229"/>
      <c r="AQ13" s="229"/>
      <c r="AR13" s="217">
        <f t="shared" si="5"/>
        <v>0</v>
      </c>
    </row>
    <row r="14" s="200" customFormat="1" spans="1:51">
      <c r="A14" s="235" t="s">
        <v>16</v>
      </c>
      <c r="B14" s="236">
        <v>318.363785</v>
      </c>
      <c r="C14" s="224">
        <f>'附件2（人员预算)'!H12</f>
        <v>0</v>
      </c>
      <c r="D14" s="225">
        <f>C14/4</f>
        <v>0</v>
      </c>
      <c r="E14" s="225">
        <f>D14</f>
        <v>0</v>
      </c>
      <c r="F14" s="225">
        <f>D14</f>
        <v>0</v>
      </c>
      <c r="G14" s="225">
        <f>D14</f>
        <v>0</v>
      </c>
      <c r="H14" s="226" t="s">
        <v>317</v>
      </c>
      <c r="I14" s="227">
        <f t="shared" si="8"/>
        <v>0</v>
      </c>
      <c r="J14" s="225">
        <f>'附件2（人员预算)'!C21/10000/4</f>
        <v>0</v>
      </c>
      <c r="K14" s="225">
        <f>J14</f>
        <v>0</v>
      </c>
      <c r="L14" s="225">
        <f>J14</f>
        <v>0</v>
      </c>
      <c r="M14" s="225">
        <f>J14</f>
        <v>0</v>
      </c>
      <c r="N14" s="227">
        <f t="shared" si="9"/>
        <v>0</v>
      </c>
      <c r="O14" s="225">
        <f>'附件2（人员预算)'!D21/10000/4</f>
        <v>0</v>
      </c>
      <c r="P14" s="225">
        <f>O14</f>
        <v>0</v>
      </c>
      <c r="Q14" s="225">
        <f>O14</f>
        <v>0</v>
      </c>
      <c r="R14" s="225">
        <f>O14</f>
        <v>0</v>
      </c>
      <c r="S14" s="227">
        <f t="shared" si="10"/>
        <v>0</v>
      </c>
      <c r="T14" s="225">
        <f>'附件2（人员预算)'!E21/10000/4</f>
        <v>0</v>
      </c>
      <c r="U14" s="225">
        <f>T14</f>
        <v>0</v>
      </c>
      <c r="V14" s="225">
        <f>T14</f>
        <v>0</v>
      </c>
      <c r="W14" s="225">
        <f>T14</f>
        <v>0</v>
      </c>
      <c r="X14" s="228">
        <f t="shared" si="11"/>
        <v>0</v>
      </c>
      <c r="Y14" s="229">
        <f>'附件2（人员预算)'!F21/10000/4</f>
        <v>0</v>
      </c>
      <c r="Z14" s="229">
        <f>Y14</f>
        <v>0</v>
      </c>
      <c r="AA14" s="229">
        <f>Y14</f>
        <v>0</v>
      </c>
      <c r="AB14" s="229">
        <f>Y14</f>
        <v>0</v>
      </c>
      <c r="AC14" s="230">
        <f t="shared" si="12"/>
        <v>0</v>
      </c>
      <c r="AD14" s="229">
        <f>'附件2（人员预算)'!G21/10000/4</f>
        <v>0</v>
      </c>
      <c r="AE14" s="229">
        <f>AD14</f>
        <v>0</v>
      </c>
      <c r="AF14" s="229">
        <f>AD14</f>
        <v>0</v>
      </c>
      <c r="AG14" s="229">
        <f>AD14</f>
        <v>0</v>
      </c>
      <c r="AH14" s="231">
        <f t="shared" si="13"/>
        <v>0</v>
      </c>
      <c r="AI14" s="229"/>
      <c r="AJ14" s="229"/>
      <c r="AK14" s="229"/>
      <c r="AL14" s="229"/>
      <c r="AM14" s="231">
        <f t="shared" si="14"/>
        <v>0</v>
      </c>
      <c r="AN14" s="229"/>
      <c r="AO14" s="229"/>
      <c r="AP14" s="229"/>
      <c r="AQ14" s="229"/>
      <c r="AR14" s="217">
        <f t="shared" si="5"/>
        <v>0</v>
      </c>
    </row>
    <row r="15" s="200" customFormat="1" spans="1:51">
      <c r="A15" s="222" t="s">
        <v>319</v>
      </c>
      <c r="B15" s="236"/>
      <c r="C15" s="224">
        <f t="shared" si="2"/>
        <v>0</v>
      </c>
      <c r="D15" s="225"/>
      <c r="E15" s="225"/>
      <c r="F15" s="225"/>
      <c r="G15" s="225"/>
      <c r="H15" s="226" t="s">
        <v>311</v>
      </c>
      <c r="I15" s="227">
        <f t="shared" si="8"/>
        <v>0</v>
      </c>
      <c r="J15" s="225"/>
      <c r="K15" s="225"/>
      <c r="L15" s="225"/>
      <c r="M15" s="225"/>
      <c r="N15" s="227">
        <f t="shared" si="9"/>
        <v>0</v>
      </c>
      <c r="O15" s="225"/>
      <c r="P15" s="225"/>
      <c r="Q15" s="225"/>
      <c r="R15" s="225"/>
      <c r="S15" s="227">
        <f t="shared" si="10"/>
        <v>0</v>
      </c>
      <c r="T15" s="225"/>
      <c r="U15" s="225"/>
      <c r="V15" s="225"/>
      <c r="W15" s="225"/>
      <c r="X15" s="228">
        <f t="shared" si="11"/>
        <v>0</v>
      </c>
      <c r="Y15" s="229"/>
      <c r="Z15" s="229"/>
      <c r="AA15" s="229"/>
      <c r="AB15" s="229"/>
      <c r="AC15" s="230">
        <f t="shared" si="12"/>
        <v>0</v>
      </c>
      <c r="AD15" s="229"/>
      <c r="AE15" s="229"/>
      <c r="AF15" s="229"/>
      <c r="AG15" s="229"/>
      <c r="AH15" s="231">
        <f t="shared" si="13"/>
        <v>0</v>
      </c>
      <c r="AI15" s="229"/>
      <c r="AJ15" s="229"/>
      <c r="AK15" s="229"/>
      <c r="AL15" s="229"/>
      <c r="AM15" s="231">
        <f t="shared" si="14"/>
        <v>0</v>
      </c>
      <c r="AN15" s="229"/>
      <c r="AO15" s="229"/>
      <c r="AP15" s="229"/>
      <c r="AQ15" s="229"/>
      <c r="AR15" s="217">
        <f t="shared" si="5"/>
        <v>0</v>
      </c>
    </row>
    <row r="16" s="200" customFormat="1" spans="1:51">
      <c r="A16" s="234" t="s">
        <v>320</v>
      </c>
      <c r="B16" s="236">
        <v>61.198287</v>
      </c>
      <c r="C16" s="224">
        <f t="shared" si="2"/>
        <v>0</v>
      </c>
      <c r="D16" s="225">
        <f>'附件3（公共费用分摊表）'!F22</f>
        <v>0</v>
      </c>
      <c r="E16" s="225">
        <f>'附件3（公共费用分摊表）'!G22</f>
        <v>0</v>
      </c>
      <c r="F16" s="225">
        <f>'附件3（公共费用分摊表）'!H22</f>
        <v>0</v>
      </c>
      <c r="G16" s="225">
        <f>'附件3（公共费用分摊表）'!I22</f>
        <v>0</v>
      </c>
      <c r="H16" s="226" t="s">
        <v>317</v>
      </c>
      <c r="I16" s="227" t="e">
        <f t="shared" si="8"/>
        <v>#DIV/0!</v>
      </c>
      <c r="J16" s="225" t="e">
        <f>D16*D44</f>
        <v>#DIV/0!</v>
      </c>
      <c r="K16" s="225" t="e">
        <f>E16*E44</f>
        <v>#DIV/0!</v>
      </c>
      <c r="L16" s="225" t="e">
        <f>F16*F44</f>
        <v>#DIV/0!</v>
      </c>
      <c r="M16" s="225" t="e">
        <f>G16*G44</f>
        <v>#DIV/0!</v>
      </c>
      <c r="N16" s="227" t="e">
        <f t="shared" si="9"/>
        <v>#DIV/0!</v>
      </c>
      <c r="O16" s="225" t="e">
        <f>D16*D45</f>
        <v>#DIV/0!</v>
      </c>
      <c r="P16" s="225" t="e">
        <f>E16*E45</f>
        <v>#DIV/0!</v>
      </c>
      <c r="Q16" s="225" t="e">
        <f>F16*F45</f>
        <v>#DIV/0!</v>
      </c>
      <c r="R16" s="225" t="e">
        <f>G16*G45</f>
        <v>#DIV/0!</v>
      </c>
      <c r="S16" s="227" t="e">
        <f t="shared" si="10"/>
        <v>#DIV/0!</v>
      </c>
      <c r="T16" s="225" t="e">
        <f>D16*D37</f>
        <v>#DIV/0!</v>
      </c>
      <c r="U16" s="225" t="e">
        <f>E16*E37</f>
        <v>#DIV/0!</v>
      </c>
      <c r="V16" s="225" t="e">
        <f>F16*F37</f>
        <v>#DIV/0!</v>
      </c>
      <c r="W16" s="225" t="e">
        <f>G16*G37</f>
        <v>#DIV/0!</v>
      </c>
      <c r="X16" s="228" t="e">
        <f t="shared" si="11"/>
        <v>#DIV/0!</v>
      </c>
      <c r="Y16" s="229" t="e">
        <f>D47*D16</f>
        <v>#DIV/0!</v>
      </c>
      <c r="Z16" s="229" t="e">
        <f>E47*E16</f>
        <v>#DIV/0!</v>
      </c>
      <c r="AA16" s="229" t="e">
        <f>F47*F16</f>
        <v>#DIV/0!</v>
      </c>
      <c r="AB16" s="229" t="e">
        <f>G47*G16</f>
        <v>#DIV/0!</v>
      </c>
      <c r="AC16" s="230" t="e">
        <f t="shared" si="12"/>
        <v>#DIV/0!</v>
      </c>
      <c r="AD16" s="229" t="e">
        <f>D16*D48</f>
        <v>#DIV/0!</v>
      </c>
      <c r="AE16" s="229" t="e">
        <f>E16*E48</f>
        <v>#DIV/0!</v>
      </c>
      <c r="AF16" s="229" t="e">
        <f>F16*F48</f>
        <v>#DIV/0!</v>
      </c>
      <c r="AG16" s="229" t="e">
        <f>G16*G48</f>
        <v>#DIV/0!</v>
      </c>
      <c r="AH16" s="231">
        <f t="shared" si="13"/>
        <v>0</v>
      </c>
      <c r="AI16" s="229"/>
      <c r="AJ16" s="229"/>
      <c r="AK16" s="229"/>
      <c r="AL16" s="229"/>
      <c r="AM16" s="231">
        <f t="shared" si="14"/>
        <v>0</v>
      </c>
      <c r="AN16" s="229"/>
      <c r="AO16" s="229"/>
      <c r="AP16" s="229"/>
      <c r="AQ16" s="229"/>
      <c r="AR16" s="217" t="e">
        <f t="shared" si="5"/>
        <v>#DIV/0!</v>
      </c>
    </row>
    <row r="17" s="200" customFormat="1" spans="1:44">
      <c r="A17" s="222" t="s">
        <v>321</v>
      </c>
      <c r="B17" s="236"/>
      <c r="C17" s="224">
        <f t="shared" si="2"/>
        <v>0</v>
      </c>
      <c r="D17" s="225">
        <f>J17+O17+T17+Y17</f>
        <v>0</v>
      </c>
      <c r="E17" s="225">
        <f t="shared" ref="E17:G21" si="23">K17+P17+U17+Z17</f>
        <v>0</v>
      </c>
      <c r="F17" s="225">
        <f t="shared" si="23"/>
        <v>0</v>
      </c>
      <c r="G17" s="225">
        <f t="shared" si="23"/>
        <v>0</v>
      </c>
      <c r="H17" s="226" t="s">
        <v>311</v>
      </c>
      <c r="I17" s="227">
        <f t="shared" si="8"/>
        <v>0</v>
      </c>
      <c r="J17" s="225"/>
      <c r="K17" s="225"/>
      <c r="L17" s="225"/>
      <c r="M17" s="225"/>
      <c r="N17" s="227">
        <f t="shared" si="9"/>
        <v>0</v>
      </c>
      <c r="O17" s="225"/>
      <c r="P17" s="225"/>
      <c r="Q17" s="225"/>
      <c r="R17" s="225"/>
      <c r="S17" s="227">
        <f t="shared" si="10"/>
        <v>0</v>
      </c>
      <c r="T17" s="225"/>
      <c r="U17" s="225"/>
      <c r="V17" s="225"/>
      <c r="W17" s="225"/>
      <c r="X17" s="228">
        <f t="shared" si="11"/>
        <v>0</v>
      </c>
      <c r="Y17" s="229"/>
      <c r="Z17" s="229"/>
      <c r="AA17" s="229"/>
      <c r="AB17" s="229"/>
      <c r="AC17" s="230">
        <f t="shared" si="12"/>
        <v>0</v>
      </c>
      <c r="AD17" s="229"/>
      <c r="AE17" s="229"/>
      <c r="AF17" s="229"/>
      <c r="AG17" s="229"/>
      <c r="AH17" s="231">
        <f t="shared" si="13"/>
        <v>0</v>
      </c>
      <c r="AI17" s="229"/>
      <c r="AJ17" s="229"/>
      <c r="AK17" s="229"/>
      <c r="AL17" s="229"/>
      <c r="AM17" s="231">
        <f t="shared" si="14"/>
        <v>0</v>
      </c>
      <c r="AN17" s="229"/>
      <c r="AO17" s="229"/>
      <c r="AP17" s="229"/>
      <c r="AQ17" s="229"/>
      <c r="AR17" s="217">
        <f t="shared" si="5"/>
        <v>0</v>
      </c>
    </row>
    <row r="18" s="200" customFormat="1" spans="1:44">
      <c r="A18" s="222" t="s">
        <v>297</v>
      </c>
      <c r="B18" s="236"/>
      <c r="C18" s="224">
        <f t="shared" si="2"/>
        <v>0</v>
      </c>
      <c r="D18" s="225">
        <f t="shared" ref="D18:D21" si="24">J18+O18+T18+Y18</f>
        <v>0</v>
      </c>
      <c r="E18" s="225">
        <f t="shared" si="23"/>
        <v>0</v>
      </c>
      <c r="F18" s="225">
        <f t="shared" si="23"/>
        <v>0</v>
      </c>
      <c r="G18" s="225">
        <f t="shared" si="23"/>
        <v>0</v>
      </c>
      <c r="H18" s="226" t="s">
        <v>311</v>
      </c>
      <c r="I18" s="227">
        <f t="shared" si="8"/>
        <v>0</v>
      </c>
      <c r="J18" s="225"/>
      <c r="K18" s="225"/>
      <c r="L18" s="225"/>
      <c r="M18" s="225"/>
      <c r="N18" s="227">
        <f t="shared" si="9"/>
        <v>0</v>
      </c>
      <c r="O18" s="225"/>
      <c r="P18" s="225"/>
      <c r="Q18" s="225"/>
      <c r="R18" s="225"/>
      <c r="S18" s="227">
        <f t="shared" si="10"/>
        <v>0</v>
      </c>
      <c r="T18" s="225"/>
      <c r="U18" s="225"/>
      <c r="V18" s="225"/>
      <c r="W18" s="225"/>
      <c r="X18" s="228">
        <f t="shared" si="11"/>
        <v>0</v>
      </c>
      <c r="Y18" s="229"/>
      <c r="Z18" s="229"/>
      <c r="AA18" s="229"/>
      <c r="AB18" s="229"/>
      <c r="AC18" s="230">
        <f t="shared" si="12"/>
        <v>0</v>
      </c>
      <c r="AD18" s="229"/>
      <c r="AE18" s="229"/>
      <c r="AF18" s="229"/>
      <c r="AG18" s="229"/>
      <c r="AH18" s="231">
        <f t="shared" si="13"/>
        <v>0</v>
      </c>
      <c r="AI18" s="229"/>
      <c r="AJ18" s="229"/>
      <c r="AK18" s="229"/>
      <c r="AL18" s="229"/>
      <c r="AM18" s="231">
        <f t="shared" si="14"/>
        <v>0</v>
      </c>
      <c r="AN18" s="229"/>
      <c r="AO18" s="229"/>
      <c r="AP18" s="229"/>
      <c r="AQ18" s="229"/>
      <c r="AR18" s="217">
        <f t="shared" si="5"/>
        <v>0</v>
      </c>
    </row>
    <row r="19" s="200" customFormat="1" spans="1:44">
      <c r="A19" s="237" t="s">
        <v>19</v>
      </c>
      <c r="B19" s="236">
        <v>1.624323</v>
      </c>
      <c r="C19" s="224">
        <f t="shared" si="2"/>
        <v>0</v>
      </c>
      <c r="D19" s="225">
        <f t="shared" si="24"/>
        <v>0</v>
      </c>
      <c r="E19" s="225">
        <f t="shared" si="23"/>
        <v>0</v>
      </c>
      <c r="F19" s="225">
        <f t="shared" si="23"/>
        <v>0</v>
      </c>
      <c r="G19" s="225">
        <f t="shared" si="23"/>
        <v>0</v>
      </c>
      <c r="H19" s="226" t="s">
        <v>317</v>
      </c>
      <c r="I19" s="227">
        <f t="shared" si="8"/>
        <v>0</v>
      </c>
      <c r="J19" s="225"/>
      <c r="K19" s="225"/>
      <c r="L19" s="225"/>
      <c r="M19" s="225"/>
      <c r="N19" s="227">
        <f t="shared" si="9"/>
        <v>0</v>
      </c>
      <c r="O19" s="225"/>
      <c r="P19" s="225"/>
      <c r="Q19" s="225"/>
      <c r="R19" s="225"/>
      <c r="S19" s="227">
        <f t="shared" si="10"/>
        <v>0</v>
      </c>
      <c r="T19" s="225"/>
      <c r="U19" s="225"/>
      <c r="V19" s="225"/>
      <c r="W19" s="225"/>
      <c r="X19" s="228">
        <f t="shared" si="11"/>
        <v>0</v>
      </c>
      <c r="Y19" s="229"/>
      <c r="Z19" s="229"/>
      <c r="AA19" s="229"/>
      <c r="AB19" s="229"/>
      <c r="AC19" s="230">
        <f t="shared" si="12"/>
        <v>0</v>
      </c>
      <c r="AD19" s="229"/>
      <c r="AE19" s="229"/>
      <c r="AF19" s="229"/>
      <c r="AG19" s="229"/>
      <c r="AH19" s="231">
        <f t="shared" si="13"/>
        <v>0</v>
      </c>
      <c r="AI19" s="229"/>
      <c r="AJ19" s="229"/>
      <c r="AK19" s="229"/>
      <c r="AL19" s="229"/>
      <c r="AM19" s="231">
        <f t="shared" si="14"/>
        <v>0</v>
      </c>
      <c r="AN19" s="229"/>
      <c r="AO19" s="229"/>
      <c r="AP19" s="229"/>
      <c r="AQ19" s="229"/>
      <c r="AR19" s="217">
        <f t="shared" si="5"/>
        <v>0</v>
      </c>
    </row>
    <row r="20" s="200" customFormat="1" spans="1:44">
      <c r="A20" s="222" t="s">
        <v>322</v>
      </c>
      <c r="B20" s="236"/>
      <c r="C20" s="224">
        <f t="shared" si="2"/>
        <v>0</v>
      </c>
      <c r="D20" s="225">
        <f t="shared" si="24"/>
        <v>0</v>
      </c>
      <c r="E20" s="225">
        <f t="shared" si="23"/>
        <v>0</v>
      </c>
      <c r="F20" s="225">
        <f t="shared" si="23"/>
        <v>0</v>
      </c>
      <c r="G20" s="225">
        <f t="shared" si="23"/>
        <v>0</v>
      </c>
      <c r="H20" s="226" t="s">
        <v>317</v>
      </c>
      <c r="I20" s="227">
        <f t="shared" si="8"/>
        <v>0</v>
      </c>
      <c r="J20" s="225"/>
      <c r="K20" s="225"/>
      <c r="L20" s="225"/>
      <c r="M20" s="225"/>
      <c r="N20" s="227">
        <f t="shared" si="9"/>
        <v>0</v>
      </c>
      <c r="O20" s="225"/>
      <c r="P20" s="225"/>
      <c r="Q20" s="225"/>
      <c r="R20" s="225"/>
      <c r="S20" s="227">
        <f t="shared" si="10"/>
        <v>0</v>
      </c>
      <c r="T20" s="225"/>
      <c r="U20" s="225"/>
      <c r="V20" s="225"/>
      <c r="W20" s="225"/>
      <c r="X20" s="228">
        <f t="shared" si="11"/>
        <v>0</v>
      </c>
      <c r="Y20" s="229"/>
      <c r="Z20" s="229"/>
      <c r="AA20" s="229"/>
      <c r="AB20" s="229"/>
      <c r="AC20" s="230">
        <f t="shared" si="12"/>
        <v>0</v>
      </c>
      <c r="AD20" s="229"/>
      <c r="AE20" s="229"/>
      <c r="AF20" s="229"/>
      <c r="AG20" s="229"/>
      <c r="AH20" s="231">
        <f t="shared" si="13"/>
        <v>0</v>
      </c>
      <c r="AI20" s="229"/>
      <c r="AJ20" s="229"/>
      <c r="AK20" s="229"/>
      <c r="AL20" s="229"/>
      <c r="AM20" s="231">
        <f t="shared" si="14"/>
        <v>0</v>
      </c>
      <c r="AN20" s="229"/>
      <c r="AO20" s="229"/>
      <c r="AP20" s="229"/>
      <c r="AQ20" s="229"/>
      <c r="AR20" s="217">
        <f t="shared" si="5"/>
        <v>0</v>
      </c>
    </row>
    <row r="21" s="200" customFormat="1" spans="1:44">
      <c r="A21" s="234" t="s">
        <v>323</v>
      </c>
      <c r="B21" s="236"/>
      <c r="C21" s="224">
        <f t="shared" si="2"/>
        <v>0</v>
      </c>
      <c r="D21" s="225">
        <f t="shared" si="24"/>
        <v>0</v>
      </c>
      <c r="E21" s="225">
        <f t="shared" si="23"/>
        <v>0</v>
      </c>
      <c r="F21" s="225">
        <f t="shared" si="23"/>
        <v>0</v>
      </c>
      <c r="G21" s="225">
        <f t="shared" si="23"/>
        <v>0</v>
      </c>
      <c r="H21" s="226" t="s">
        <v>317</v>
      </c>
      <c r="I21" s="227">
        <f t="shared" si="8"/>
        <v>0</v>
      </c>
      <c r="J21" s="225"/>
      <c r="K21" s="225"/>
      <c r="L21" s="225"/>
      <c r="M21" s="225"/>
      <c r="N21" s="227">
        <f t="shared" si="9"/>
        <v>0</v>
      </c>
      <c r="O21" s="225"/>
      <c r="P21" s="225"/>
      <c r="Q21" s="225"/>
      <c r="R21" s="225"/>
      <c r="S21" s="227">
        <f t="shared" si="10"/>
        <v>0</v>
      </c>
      <c r="T21" s="225"/>
      <c r="U21" s="225"/>
      <c r="V21" s="225"/>
      <c r="W21" s="225"/>
      <c r="X21" s="228">
        <f t="shared" si="11"/>
        <v>0</v>
      </c>
      <c r="Y21" s="229"/>
      <c r="Z21" s="229"/>
      <c r="AA21" s="229"/>
      <c r="AB21" s="229"/>
      <c r="AC21" s="230">
        <f t="shared" si="12"/>
        <v>0</v>
      </c>
      <c r="AD21" s="229"/>
      <c r="AE21" s="229"/>
      <c r="AF21" s="229"/>
      <c r="AG21" s="229"/>
      <c r="AH21" s="231">
        <f t="shared" si="13"/>
        <v>0</v>
      </c>
      <c r="AI21" s="229"/>
      <c r="AJ21" s="229"/>
      <c r="AK21" s="229"/>
      <c r="AL21" s="229"/>
      <c r="AM21" s="231">
        <f t="shared" si="14"/>
        <v>0</v>
      </c>
      <c r="AN21" s="229"/>
      <c r="AO21" s="229"/>
      <c r="AP21" s="229"/>
      <c r="AQ21" s="229"/>
      <c r="AR21" s="217">
        <f t="shared" si="5"/>
        <v>0</v>
      </c>
    </row>
    <row r="22" s="200" customFormat="1" spans="1:44">
      <c r="A22" s="222" t="s">
        <v>324</v>
      </c>
      <c r="B22" s="236">
        <v>7.052783</v>
      </c>
      <c r="C22" s="224">
        <f t="shared" si="2"/>
        <v>0</v>
      </c>
      <c r="D22" s="225">
        <f t="shared" ref="D22:D27" si="25">J22+O22+T22+Y22</f>
        <v>0</v>
      </c>
      <c r="E22" s="225">
        <f t="shared" ref="E22:E27" si="26">K22+P22+U22+Z22</f>
        <v>0</v>
      </c>
      <c r="F22" s="225">
        <f t="shared" ref="F22:F27" si="27">L22+Q22+V22+AA22</f>
        <v>0</v>
      </c>
      <c r="G22" s="225">
        <f t="shared" ref="G22:G27" si="28">M22+R22+W22+AB22</f>
        <v>0</v>
      </c>
      <c r="H22" s="226" t="s">
        <v>311</v>
      </c>
      <c r="I22" s="227">
        <f t="shared" si="8"/>
        <v>0</v>
      </c>
      <c r="J22" s="225"/>
      <c r="K22" s="225"/>
      <c r="L22" s="225"/>
      <c r="M22" s="225"/>
      <c r="N22" s="227">
        <f t="shared" si="9"/>
        <v>0</v>
      </c>
      <c r="O22" s="225"/>
      <c r="P22" s="225"/>
      <c r="Q22" s="225"/>
      <c r="R22" s="225"/>
      <c r="S22" s="227">
        <f t="shared" si="10"/>
        <v>0</v>
      </c>
      <c r="T22" s="225"/>
      <c r="U22" s="225"/>
      <c r="V22" s="225"/>
      <c r="W22" s="225"/>
      <c r="X22" s="228">
        <f t="shared" si="11"/>
        <v>0</v>
      </c>
      <c r="Y22" s="229"/>
      <c r="Z22" s="229"/>
      <c r="AA22" s="229"/>
      <c r="AB22" s="229"/>
      <c r="AC22" s="230">
        <f t="shared" si="12"/>
        <v>0</v>
      </c>
      <c r="AD22" s="229"/>
      <c r="AE22" s="229"/>
      <c r="AF22" s="229"/>
      <c r="AG22" s="229"/>
      <c r="AH22" s="231">
        <f t="shared" si="13"/>
        <v>0</v>
      </c>
      <c r="AI22" s="229"/>
      <c r="AJ22" s="229"/>
      <c r="AK22" s="229"/>
      <c r="AL22" s="229"/>
      <c r="AM22" s="231">
        <f t="shared" si="14"/>
        <v>0</v>
      </c>
      <c r="AN22" s="229"/>
      <c r="AO22" s="229"/>
      <c r="AP22" s="229"/>
      <c r="AQ22" s="229"/>
      <c r="AR22" s="217">
        <f t="shared" si="5"/>
        <v>0</v>
      </c>
    </row>
    <row r="23" s="200" customFormat="1" spans="1:44">
      <c r="A23" s="222" t="s">
        <v>325</v>
      </c>
      <c r="B23" s="236"/>
      <c r="C23" s="224">
        <f t="shared" si="2"/>
        <v>0</v>
      </c>
      <c r="D23" s="225">
        <f t="shared" si="25"/>
        <v>0</v>
      </c>
      <c r="E23" s="225">
        <f t="shared" si="26"/>
        <v>0</v>
      </c>
      <c r="F23" s="225">
        <f t="shared" si="27"/>
        <v>0</v>
      </c>
      <c r="G23" s="225">
        <f t="shared" si="28"/>
        <v>0</v>
      </c>
      <c r="H23" s="226" t="s">
        <v>311</v>
      </c>
      <c r="I23" s="227">
        <f t="shared" si="8"/>
        <v>0</v>
      </c>
      <c r="J23" s="225"/>
      <c r="K23" s="225"/>
      <c r="L23" s="225"/>
      <c r="M23" s="225"/>
      <c r="N23" s="227">
        <f t="shared" si="9"/>
        <v>0</v>
      </c>
      <c r="O23" s="225"/>
      <c r="P23" s="225"/>
      <c r="Q23" s="225"/>
      <c r="R23" s="225"/>
      <c r="S23" s="227">
        <f t="shared" si="10"/>
        <v>0</v>
      </c>
      <c r="T23" s="225"/>
      <c r="U23" s="225"/>
      <c r="V23" s="225"/>
      <c r="W23" s="225"/>
      <c r="X23" s="228">
        <f t="shared" si="11"/>
        <v>0</v>
      </c>
      <c r="Y23" s="229"/>
      <c r="Z23" s="229"/>
      <c r="AA23" s="229"/>
      <c r="AB23" s="229"/>
      <c r="AC23" s="230">
        <f t="shared" si="12"/>
        <v>0</v>
      </c>
      <c r="AD23" s="229"/>
      <c r="AE23" s="229"/>
      <c r="AF23" s="229"/>
      <c r="AG23" s="229"/>
      <c r="AH23" s="231">
        <f t="shared" si="13"/>
        <v>0</v>
      </c>
      <c r="AI23" s="229"/>
      <c r="AJ23" s="229"/>
      <c r="AK23" s="229"/>
      <c r="AL23" s="229"/>
      <c r="AM23" s="231">
        <f t="shared" si="14"/>
        <v>0</v>
      </c>
      <c r="AN23" s="229"/>
      <c r="AO23" s="229"/>
      <c r="AP23" s="229"/>
      <c r="AQ23" s="229"/>
      <c r="AR23" s="217">
        <f t="shared" si="5"/>
        <v>0</v>
      </c>
    </row>
    <row r="24" ht="15" customHeight="1" spans="1:44">
      <c r="A24" s="222" t="s">
        <v>254</v>
      </c>
      <c r="B24" s="236"/>
      <c r="C24" s="224">
        <f t="shared" si="2"/>
        <v>0</v>
      </c>
      <c r="D24" s="225">
        <f t="shared" si="25"/>
        <v>0</v>
      </c>
      <c r="E24" s="225">
        <f t="shared" si="26"/>
        <v>0</v>
      </c>
      <c r="F24" s="225">
        <f t="shared" si="27"/>
        <v>0</v>
      </c>
      <c r="G24" s="225">
        <f t="shared" si="28"/>
        <v>0</v>
      </c>
      <c r="H24" s="226" t="s">
        <v>311</v>
      </c>
      <c r="I24" s="227">
        <f t="shared" si="8"/>
        <v>0</v>
      </c>
      <c r="J24" s="225"/>
      <c r="K24" s="225"/>
      <c r="L24" s="225"/>
      <c r="M24" s="225"/>
      <c r="N24" s="227">
        <f t="shared" si="9"/>
        <v>0</v>
      </c>
      <c r="O24" s="225"/>
      <c r="P24" s="225"/>
      <c r="Q24" s="225"/>
      <c r="R24" s="225"/>
      <c r="S24" s="227">
        <f t="shared" si="10"/>
        <v>0</v>
      </c>
      <c r="T24" s="225"/>
      <c r="U24" s="225"/>
      <c r="V24" s="225"/>
      <c r="W24" s="225"/>
      <c r="X24" s="228">
        <f t="shared" si="11"/>
        <v>0</v>
      </c>
      <c r="Y24" s="229"/>
      <c r="Z24" s="229"/>
      <c r="AA24" s="229"/>
      <c r="AB24" s="229"/>
      <c r="AC24" s="230">
        <f t="shared" si="12"/>
        <v>0</v>
      </c>
      <c r="AD24" s="229"/>
      <c r="AE24" s="229"/>
      <c r="AF24" s="229"/>
      <c r="AG24" s="229"/>
      <c r="AH24" s="231">
        <f t="shared" si="13"/>
        <v>0</v>
      </c>
      <c r="AI24" s="229"/>
      <c r="AJ24" s="229"/>
      <c r="AK24" s="229"/>
      <c r="AL24" s="229"/>
      <c r="AM24" s="231">
        <f t="shared" si="14"/>
        <v>0</v>
      </c>
      <c r="AN24" s="229"/>
      <c r="AO24" s="229"/>
      <c r="AP24" s="229"/>
      <c r="AQ24" s="229"/>
      <c r="AR24" s="217">
        <f t="shared" si="5"/>
        <v>0</v>
      </c>
    </row>
    <row r="25" ht="15" customHeight="1" spans="1:44">
      <c r="A25" s="234" t="s">
        <v>326</v>
      </c>
      <c r="B25" s="238">
        <v>34.675891</v>
      </c>
      <c r="C25" s="224">
        <f t="shared" si="2"/>
        <v>0</v>
      </c>
      <c r="D25" s="225">
        <f t="shared" si="25"/>
        <v>0</v>
      </c>
      <c r="E25" s="225">
        <f t="shared" si="26"/>
        <v>0</v>
      </c>
      <c r="F25" s="225">
        <f t="shared" si="27"/>
        <v>0</v>
      </c>
      <c r="G25" s="225">
        <f t="shared" si="28"/>
        <v>0</v>
      </c>
      <c r="H25" s="226" t="s">
        <v>311</v>
      </c>
      <c r="I25" s="227">
        <f t="shared" si="8"/>
        <v>0</v>
      </c>
      <c r="J25" s="225"/>
      <c r="K25" s="225"/>
      <c r="L25" s="225"/>
      <c r="M25" s="225"/>
      <c r="N25" s="227">
        <f t="shared" si="9"/>
        <v>0</v>
      </c>
      <c r="O25" s="225"/>
      <c r="P25" s="225"/>
      <c r="Q25" s="225"/>
      <c r="R25" s="225"/>
      <c r="S25" s="227">
        <f t="shared" si="10"/>
        <v>0</v>
      </c>
      <c r="T25" s="225"/>
      <c r="U25" s="225"/>
      <c r="V25" s="225"/>
      <c r="W25" s="225"/>
      <c r="X25" s="228">
        <f t="shared" si="11"/>
        <v>0</v>
      </c>
      <c r="Y25" s="229"/>
      <c r="Z25" s="229"/>
      <c r="AA25" s="229"/>
      <c r="AB25" s="229"/>
      <c r="AC25" s="230">
        <f t="shared" si="12"/>
        <v>0</v>
      </c>
      <c r="AD25" s="229"/>
      <c r="AE25" s="229"/>
      <c r="AF25" s="229"/>
      <c r="AG25" s="229"/>
      <c r="AH25" s="231">
        <f t="shared" si="13"/>
        <v>0</v>
      </c>
      <c r="AI25" s="229"/>
      <c r="AJ25" s="229"/>
      <c r="AK25" s="229"/>
      <c r="AL25" s="229"/>
      <c r="AM25" s="231">
        <f t="shared" si="14"/>
        <v>0</v>
      </c>
      <c r="AN25" s="229"/>
      <c r="AO25" s="229"/>
      <c r="AP25" s="229"/>
      <c r="AQ25" s="229"/>
      <c r="AR25" s="217">
        <f t="shared" si="5"/>
        <v>0</v>
      </c>
    </row>
    <row r="26" ht="15" customHeight="1" spans="1:44">
      <c r="A26" s="239" t="s">
        <v>327</v>
      </c>
      <c r="B26" s="238"/>
      <c r="C26" s="240">
        <f t="shared" si="2"/>
        <v>0</v>
      </c>
      <c r="D26" s="225">
        <f t="shared" si="25"/>
        <v>0</v>
      </c>
      <c r="E26" s="225">
        <f t="shared" si="26"/>
        <v>0</v>
      </c>
      <c r="F26" s="225">
        <f t="shared" si="27"/>
        <v>0</v>
      </c>
      <c r="G26" s="225">
        <f t="shared" si="28"/>
        <v>0</v>
      </c>
      <c r="H26" s="226" t="s">
        <v>311</v>
      </c>
      <c r="I26" s="227">
        <f t="shared" si="8"/>
        <v>0</v>
      </c>
      <c r="J26" s="225"/>
      <c r="K26" s="225"/>
      <c r="L26" s="225"/>
      <c r="M26" s="225"/>
      <c r="N26" s="227">
        <f t="shared" si="9"/>
        <v>0</v>
      </c>
      <c r="O26" s="225"/>
      <c r="P26" s="225"/>
      <c r="Q26" s="225"/>
      <c r="R26" s="225"/>
      <c r="S26" s="227">
        <f t="shared" si="10"/>
        <v>0</v>
      </c>
      <c r="T26" s="225"/>
      <c r="U26" s="225"/>
      <c r="V26" s="225"/>
      <c r="W26" s="225"/>
      <c r="X26" s="228">
        <f t="shared" si="11"/>
        <v>0</v>
      </c>
      <c r="Y26" s="229"/>
      <c r="Z26" s="229"/>
      <c r="AA26" s="229"/>
      <c r="AB26" s="229"/>
      <c r="AC26" s="230">
        <f t="shared" si="12"/>
        <v>0</v>
      </c>
      <c r="AD26" s="229"/>
      <c r="AE26" s="229"/>
      <c r="AF26" s="229"/>
      <c r="AG26" s="229"/>
      <c r="AH26" s="231">
        <f t="shared" si="13"/>
        <v>0</v>
      </c>
      <c r="AI26" s="229"/>
      <c r="AJ26" s="229"/>
      <c r="AK26" s="229"/>
      <c r="AL26" s="229"/>
      <c r="AM26" s="231">
        <f t="shared" si="14"/>
        <v>0</v>
      </c>
      <c r="AN26" s="229"/>
      <c r="AO26" s="229"/>
      <c r="AP26" s="229"/>
      <c r="AQ26" s="229"/>
      <c r="AR26" s="217">
        <f t="shared" si="5"/>
        <v>0</v>
      </c>
    </row>
    <row r="27" ht="15" customHeight="1" spans="1:44">
      <c r="A27" s="234" t="s">
        <v>328</v>
      </c>
      <c r="B27" s="238"/>
      <c r="C27" s="241">
        <f t="shared" si="2"/>
        <v>0</v>
      </c>
      <c r="D27" s="225">
        <f t="shared" si="25"/>
        <v>0</v>
      </c>
      <c r="E27" s="225">
        <f t="shared" si="26"/>
        <v>0</v>
      </c>
      <c r="F27" s="225">
        <f t="shared" si="27"/>
        <v>0</v>
      </c>
      <c r="G27" s="225">
        <f t="shared" si="28"/>
        <v>0</v>
      </c>
      <c r="H27" s="226" t="s">
        <v>311</v>
      </c>
      <c r="I27" s="227">
        <f t="shared" si="8"/>
        <v>0</v>
      </c>
      <c r="J27" s="225"/>
      <c r="K27" s="225"/>
      <c r="L27" s="225"/>
      <c r="M27" s="225"/>
      <c r="N27" s="227">
        <f t="shared" si="9"/>
        <v>0</v>
      </c>
      <c r="O27" s="225"/>
      <c r="P27" s="225"/>
      <c r="Q27" s="225"/>
      <c r="R27" s="225"/>
      <c r="S27" s="227">
        <f t="shared" si="10"/>
        <v>0</v>
      </c>
      <c r="T27" s="225"/>
      <c r="U27" s="225"/>
      <c r="V27" s="225"/>
      <c r="W27" s="225"/>
      <c r="X27" s="228">
        <f t="shared" si="11"/>
        <v>0</v>
      </c>
      <c r="Y27" s="229"/>
      <c r="Z27" s="229"/>
      <c r="AA27" s="229"/>
      <c r="AB27" s="229"/>
      <c r="AC27" s="230">
        <f t="shared" si="12"/>
        <v>0</v>
      </c>
      <c r="AD27" s="229"/>
      <c r="AE27" s="229"/>
      <c r="AF27" s="229"/>
      <c r="AG27" s="229"/>
      <c r="AH27" s="231">
        <f t="shared" si="13"/>
        <v>0</v>
      </c>
      <c r="AI27" s="229"/>
      <c r="AJ27" s="229"/>
      <c r="AK27" s="229"/>
      <c r="AL27" s="229"/>
      <c r="AM27" s="231">
        <f t="shared" si="14"/>
        <v>0</v>
      </c>
      <c r="AN27" s="229"/>
      <c r="AO27" s="229"/>
      <c r="AP27" s="229"/>
      <c r="AQ27" s="229"/>
      <c r="AR27" s="217">
        <f t="shared" si="5"/>
        <v>0</v>
      </c>
    </row>
    <row r="28" ht="15" customHeight="1" spans="1:44">
      <c r="A28" s="242" t="s">
        <v>188</v>
      </c>
      <c r="B28" s="242"/>
      <c r="C28" s="243">
        <f>C6</f>
        <v>0</v>
      </c>
      <c r="D28" s="243">
        <f>D6</f>
        <v>0</v>
      </c>
      <c r="E28" s="243">
        <f>E6</f>
        <v>0</v>
      </c>
      <c r="F28" s="243">
        <f>F6</f>
        <v>0</v>
      </c>
      <c r="G28" s="243">
        <f>G6</f>
        <v>0</v>
      </c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5"/>
      <c r="AE28" s="245"/>
      <c r="AF28" s="245"/>
      <c r="AG28" s="245"/>
      <c r="AH28" s="244"/>
      <c r="AI28" s="245"/>
      <c r="AJ28" s="245"/>
      <c r="AK28" s="245"/>
      <c r="AL28" s="245"/>
      <c r="AM28" s="244"/>
      <c r="AN28" s="245"/>
      <c r="AO28" s="245"/>
      <c r="AP28" s="245"/>
      <c r="AQ28" s="245"/>
      <c r="AR28" s="200"/>
    </row>
    <row r="29" ht="15" customHeight="1" spans="1:44">
      <c r="A29" s="246" t="s">
        <v>190</v>
      </c>
      <c r="B29" s="246"/>
      <c r="C29" s="247">
        <f>C14</f>
        <v>0</v>
      </c>
      <c r="D29" s="247">
        <f>D14</f>
        <v>0</v>
      </c>
      <c r="E29" s="247">
        <f>E14</f>
        <v>0</v>
      </c>
      <c r="F29" s="247">
        <f>F14</f>
        <v>0</v>
      </c>
      <c r="G29" s="247">
        <f>G14</f>
        <v>0</v>
      </c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5"/>
      <c r="AE29" s="245"/>
      <c r="AF29" s="245"/>
      <c r="AG29" s="245"/>
      <c r="AH29" s="244"/>
      <c r="AI29" s="245"/>
      <c r="AJ29" s="245"/>
      <c r="AK29" s="245"/>
      <c r="AL29" s="245"/>
      <c r="AM29" s="244"/>
      <c r="AN29" s="245"/>
      <c r="AO29" s="245"/>
      <c r="AP29" s="245"/>
      <c r="AQ29" s="245"/>
      <c r="AR29" s="200"/>
    </row>
    <row r="30" ht="15" customHeight="1" spans="1:44">
      <c r="A30" s="246" t="s">
        <v>192</v>
      </c>
      <c r="B30" s="246"/>
      <c r="C30" s="247">
        <f>C7+C8+C9+C10+C11+C13+C17+C22+C23+C24</f>
        <v>0</v>
      </c>
      <c r="D30" s="247">
        <f>D7+D8+D9+D10+D11+D13+D17+D22+D23+D24</f>
        <v>0</v>
      </c>
      <c r="E30" s="247">
        <f>E7+E8+E9+E10+E11+E13+E17+E22+E23+E24</f>
        <v>0</v>
      </c>
      <c r="F30" s="247">
        <f>F7+F8+F9+F10+F11+F13+F17+F22+F23+F24</f>
        <v>0</v>
      </c>
      <c r="G30" s="247">
        <f>G7+G8+G9+G10+G11+G13+G17+G22+G23+G24</f>
        <v>0</v>
      </c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5"/>
      <c r="AE30" s="245"/>
      <c r="AF30" s="245"/>
      <c r="AG30" s="245"/>
      <c r="AH30" s="244"/>
      <c r="AI30" s="245"/>
      <c r="AJ30" s="245"/>
      <c r="AK30" s="245"/>
      <c r="AL30" s="245"/>
      <c r="AM30" s="244"/>
      <c r="AN30" s="245"/>
      <c r="AO30" s="245"/>
      <c r="AP30" s="245"/>
      <c r="AQ30" s="245"/>
      <c r="AR30" s="200"/>
    </row>
    <row r="31" ht="21" customHeight="1" spans="1:44">
      <c r="A31" s="246" t="s">
        <v>303</v>
      </c>
      <c r="B31" s="246"/>
      <c r="C31" s="247">
        <f>C15+C25+C26+C27</f>
        <v>0</v>
      </c>
      <c r="D31" s="247">
        <f>D15+D25+D26+D27</f>
        <v>0</v>
      </c>
      <c r="E31" s="247">
        <f>E15+E25+E26+E27</f>
        <v>0</v>
      </c>
      <c r="F31" s="247">
        <f>F15+F25+F26+F27</f>
        <v>0</v>
      </c>
      <c r="G31" s="247">
        <f>G15+G25+G26+G27</f>
        <v>0</v>
      </c>
      <c r="AC31" s="248"/>
      <c r="AD31" s="245"/>
      <c r="AE31" s="245"/>
      <c r="AF31" s="245"/>
      <c r="AG31" s="245"/>
      <c r="AH31" s="248"/>
      <c r="AI31" s="245"/>
      <c r="AJ31" s="245"/>
      <c r="AK31" s="245"/>
      <c r="AL31" s="245"/>
      <c r="AM31" s="248"/>
      <c r="AN31" s="245"/>
      <c r="AO31" s="245"/>
      <c r="AP31" s="245"/>
      <c r="AQ31" s="245"/>
      <c r="AR31" s="200"/>
    </row>
    <row r="32" spans="1:44">
      <c r="A32" s="246" t="s">
        <v>194</v>
      </c>
      <c r="B32" s="246"/>
      <c r="C32" s="247">
        <f>C12</f>
        <v>0</v>
      </c>
      <c r="D32" s="247">
        <f>D12</f>
        <v>0</v>
      </c>
      <c r="E32" s="247">
        <f>E12</f>
        <v>0</v>
      </c>
      <c r="F32" s="247">
        <f>F12</f>
        <v>0</v>
      </c>
      <c r="G32" s="247">
        <f>G12</f>
        <v>0</v>
      </c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249"/>
    </row>
    <row r="33" ht="15" spans="1:8">
      <c r="A33" s="201" t="s">
        <v>329</v>
      </c>
      <c r="B33" s="250">
        <f>SUM(C28:C32)-C4-C25+C16</f>
        <v>0</v>
      </c>
      <c r="C33" s="251"/>
      <c r="D33" s="251"/>
      <c r="E33" s="251"/>
      <c r="F33" s="251"/>
      <c r="G33" s="251"/>
      <c r="H33" s="251"/>
    </row>
    <row r="34" ht="16.5" spans="1:8">
      <c r="A34" s="252" t="s">
        <v>302</v>
      </c>
      <c r="B34" s="252" t="s">
        <v>330</v>
      </c>
      <c r="C34" s="253" t="s">
        <v>50</v>
      </c>
      <c r="D34" s="253" t="s">
        <v>182</v>
      </c>
      <c r="E34" s="253" t="s">
        <v>183</v>
      </c>
      <c r="F34" s="253" t="s">
        <v>184</v>
      </c>
      <c r="G34" s="253" t="s">
        <v>185</v>
      </c>
      <c r="H34" s="251"/>
    </row>
    <row r="35" spans="1:8">
      <c r="A35" s="12" t="s">
        <v>289</v>
      </c>
      <c r="B35" s="12" t="s">
        <v>331</v>
      </c>
      <c r="C35" s="254"/>
      <c r="D35" s="254" t="e">
        <f>'附件2（人员预算)'!C22</f>
        <v>#DIV/0!</v>
      </c>
      <c r="E35" s="254" t="e">
        <f>D35</f>
        <v>#DIV/0!</v>
      </c>
      <c r="F35" s="254" t="e">
        <f>D35</f>
        <v>#DIV/0!</v>
      </c>
      <c r="G35" s="254" t="e">
        <f>D35</f>
        <v>#DIV/0!</v>
      </c>
      <c r="H35" s="251"/>
    </row>
    <row r="36" spans="1:8">
      <c r="A36" s="12" t="s">
        <v>291</v>
      </c>
      <c r="B36" s="12" t="s">
        <v>151</v>
      </c>
      <c r="C36" s="254"/>
      <c r="D36" s="254" t="e">
        <f>'附件2（人员预算)'!D22</f>
        <v>#DIV/0!</v>
      </c>
      <c r="E36" s="254" t="e">
        <f t="shared" ref="E36:E39" si="29">D36</f>
        <v>#DIV/0!</v>
      </c>
      <c r="F36" s="254" t="e">
        <f t="shared" ref="F36:F39" si="30">D36</f>
        <v>#DIV/0!</v>
      </c>
      <c r="G36" s="254" t="e">
        <f t="shared" ref="G36:G39" si="31">D36</f>
        <v>#DIV/0!</v>
      </c>
      <c r="H36" s="251"/>
    </row>
    <row r="37" spans="1:8">
      <c r="A37" s="12" t="s">
        <v>293</v>
      </c>
      <c r="B37" s="12" t="s">
        <v>332</v>
      </c>
      <c r="C37" s="254"/>
      <c r="D37" s="254" t="e">
        <f>'附件2（人员预算)'!E22</f>
        <v>#DIV/0!</v>
      </c>
      <c r="E37" s="254" t="e">
        <f t="shared" si="29"/>
        <v>#DIV/0!</v>
      </c>
      <c r="F37" s="254" t="e">
        <f t="shared" si="30"/>
        <v>#DIV/0!</v>
      </c>
      <c r="G37" s="254" t="e">
        <f t="shared" si="31"/>
        <v>#DIV/0!</v>
      </c>
      <c r="H37" s="251"/>
    </row>
    <row r="38" spans="1:8">
      <c r="A38" s="12" t="s">
        <v>295</v>
      </c>
      <c r="B38" s="12" t="s">
        <v>333</v>
      </c>
      <c r="C38" s="254"/>
      <c r="D38" s="254" t="e">
        <f>'附件2（人员预算)'!F22</f>
        <v>#DIV/0!</v>
      </c>
      <c r="E38" s="254" t="e">
        <f t="shared" si="29"/>
        <v>#DIV/0!</v>
      </c>
      <c r="F38" s="254" t="e">
        <f t="shared" si="30"/>
        <v>#DIV/0!</v>
      </c>
      <c r="G38" s="254" t="e">
        <f t="shared" si="31"/>
        <v>#DIV/0!</v>
      </c>
      <c r="H38" s="251"/>
    </row>
    <row r="39" spans="1:8">
      <c r="A39" s="12" t="s">
        <v>334</v>
      </c>
      <c r="B39" s="12" t="s">
        <v>335</v>
      </c>
      <c r="C39" s="254"/>
      <c r="D39" s="254" t="e">
        <f>'附件2（人员预算)'!G22</f>
        <v>#DIV/0!</v>
      </c>
      <c r="E39" s="254" t="e">
        <f t="shared" si="29"/>
        <v>#DIV/0!</v>
      </c>
      <c r="F39" s="254" t="e">
        <f t="shared" si="30"/>
        <v>#DIV/0!</v>
      </c>
      <c r="G39" s="254" t="e">
        <f t="shared" si="31"/>
        <v>#DIV/0!</v>
      </c>
      <c r="H39" s="251"/>
    </row>
    <row r="40" spans="1:8">
      <c r="A40" s="255"/>
      <c r="B40" s="255" t="s">
        <v>153</v>
      </c>
      <c r="C40" s="254"/>
      <c r="D40" s="254" t="e">
        <f>SUM(D35:D39)</f>
        <v>#DIV/0!</v>
      </c>
      <c r="E40" s="254" t="e">
        <f>SUM(E35:E39)</f>
        <v>#DIV/0!</v>
      </c>
      <c r="F40" s="254" t="e">
        <f>SUM(F35:F39)</f>
        <v>#DIV/0!</v>
      </c>
      <c r="G40" s="254" t="e">
        <f>SUM(G35:G39)</f>
        <v>#DIV/0!</v>
      </c>
      <c r="H40" s="251"/>
    </row>
    <row r="41" spans="1:8">
      <c r="A41" s="251"/>
      <c r="B41" s="251"/>
      <c r="C41" s="251"/>
      <c r="D41" s="251"/>
      <c r="E41" s="251"/>
      <c r="F41" s="251"/>
      <c r="G41" s="251"/>
      <c r="H41" s="251"/>
    </row>
    <row r="42" ht="15" spans="1:8">
      <c r="A42" s="201" t="s">
        <v>336</v>
      </c>
      <c r="B42" s="201"/>
      <c r="C42" s="251"/>
      <c r="D42" s="251"/>
      <c r="E42" s="251"/>
      <c r="F42" s="251"/>
      <c r="G42" s="251"/>
      <c r="H42" s="251"/>
    </row>
    <row r="43" ht="16.5" spans="1:8">
      <c r="A43" s="256" t="s">
        <v>302</v>
      </c>
      <c r="B43" s="256" t="s">
        <v>330</v>
      </c>
      <c r="C43" s="253" t="s">
        <v>50</v>
      </c>
      <c r="D43" s="253" t="s">
        <v>182</v>
      </c>
      <c r="E43" s="253" t="s">
        <v>183</v>
      </c>
      <c r="F43" s="253" t="s">
        <v>184</v>
      </c>
      <c r="G43" s="253" t="s">
        <v>185</v>
      </c>
      <c r="H43" s="251"/>
    </row>
    <row r="44" spans="1:8">
      <c r="A44" s="12" t="s">
        <v>289</v>
      </c>
      <c r="B44" s="12" t="s">
        <v>331</v>
      </c>
      <c r="C44" s="254"/>
      <c r="D44" s="254" t="e">
        <f>D35</f>
        <v>#DIV/0!</v>
      </c>
      <c r="E44" s="254" t="e">
        <f t="shared" ref="E44:G44" si="32">E35</f>
        <v>#DIV/0!</v>
      </c>
      <c r="F44" s="254" t="e">
        <f t="shared" si="32"/>
        <v>#DIV/0!</v>
      </c>
      <c r="G44" s="254" t="e">
        <f t="shared" si="32"/>
        <v>#DIV/0!</v>
      </c>
      <c r="H44" s="251"/>
    </row>
    <row r="45" spans="1:8">
      <c r="A45" s="12" t="s">
        <v>291</v>
      </c>
      <c r="B45" s="12" t="s">
        <v>151</v>
      </c>
      <c r="C45" s="254"/>
      <c r="D45" s="254" t="e">
        <f t="shared" ref="D45:G48" si="33">D36</f>
        <v>#DIV/0!</v>
      </c>
      <c r="E45" s="254" t="e">
        <f t="shared" si="33"/>
        <v>#DIV/0!</v>
      </c>
      <c r="F45" s="254" t="e">
        <f t="shared" si="33"/>
        <v>#DIV/0!</v>
      </c>
      <c r="G45" s="254" t="e">
        <f t="shared" si="33"/>
        <v>#DIV/0!</v>
      </c>
      <c r="H45" s="251"/>
    </row>
    <row r="46" spans="1:8">
      <c r="A46" s="12" t="s">
        <v>293</v>
      </c>
      <c r="B46" s="12" t="s">
        <v>332</v>
      </c>
      <c r="C46" s="254"/>
      <c r="D46" s="254" t="e">
        <f t="shared" si="33"/>
        <v>#DIV/0!</v>
      </c>
      <c r="E46" s="254" t="e">
        <f t="shared" si="33"/>
        <v>#DIV/0!</v>
      </c>
      <c r="F46" s="254" t="e">
        <f t="shared" si="33"/>
        <v>#DIV/0!</v>
      </c>
      <c r="G46" s="254" t="e">
        <f t="shared" si="33"/>
        <v>#DIV/0!</v>
      </c>
      <c r="H46" s="251"/>
    </row>
    <row r="47" spans="1:8">
      <c r="A47" s="12" t="s">
        <v>295</v>
      </c>
      <c r="B47" s="12" t="s">
        <v>333</v>
      </c>
      <c r="C47" s="254"/>
      <c r="D47" s="254" t="e">
        <f t="shared" si="33"/>
        <v>#DIV/0!</v>
      </c>
      <c r="E47" s="254" t="e">
        <f t="shared" si="33"/>
        <v>#DIV/0!</v>
      </c>
      <c r="F47" s="254" t="e">
        <f t="shared" si="33"/>
        <v>#DIV/0!</v>
      </c>
      <c r="G47" s="254" t="e">
        <f t="shared" si="33"/>
        <v>#DIV/0!</v>
      </c>
      <c r="H47" s="251"/>
    </row>
    <row r="48" spans="1:8">
      <c r="A48" s="12" t="s">
        <v>334</v>
      </c>
      <c r="B48" s="12" t="s">
        <v>335</v>
      </c>
      <c r="C48" s="254"/>
      <c r="D48" s="254" t="e">
        <f t="shared" si="33"/>
        <v>#DIV/0!</v>
      </c>
      <c r="E48" s="254" t="e">
        <f t="shared" si="33"/>
        <v>#DIV/0!</v>
      </c>
      <c r="F48" s="254" t="e">
        <f t="shared" si="33"/>
        <v>#DIV/0!</v>
      </c>
      <c r="G48" s="254" t="e">
        <f t="shared" si="33"/>
        <v>#DIV/0!</v>
      </c>
      <c r="H48" s="251"/>
    </row>
    <row r="49" spans="1:8">
      <c r="A49" s="255"/>
      <c r="B49" s="255" t="s">
        <v>153</v>
      </c>
      <c r="C49" s="254"/>
      <c r="D49" s="254" t="e">
        <f>SUM(D44:D48)</f>
        <v>#DIV/0!</v>
      </c>
      <c r="E49" s="254" t="e">
        <f>SUM(E44:E48)</f>
        <v>#DIV/0!</v>
      </c>
      <c r="F49" s="254" t="e">
        <f>SUM(F44:F48)</f>
        <v>#DIV/0!</v>
      </c>
      <c r="G49" s="254" t="e">
        <f>SUM(G44:G48)</f>
        <v>#DIV/0!</v>
      </c>
      <c r="H49" s="251"/>
    </row>
    <row r="50" spans="1:8">
      <c r="A50" s="251"/>
      <c r="B50" s="251"/>
      <c r="C50" s="251"/>
      <c r="D50" s="251"/>
      <c r="E50" s="251"/>
      <c r="F50" s="251"/>
      <c r="G50" s="251"/>
      <c r="H50" s="251"/>
    </row>
    <row r="51" spans="1:8">
      <c r="A51" s="251"/>
      <c r="B51" s="251"/>
      <c r="C51" s="251"/>
      <c r="D51" s="251"/>
      <c r="E51" s="251"/>
      <c r="F51" s="251"/>
      <c r="G51" s="251"/>
      <c r="H51" s="251"/>
    </row>
    <row r="52" spans="1:8">
      <c r="A52" s="251"/>
      <c r="B52" s="251"/>
      <c r="C52" s="251"/>
      <c r="D52" s="251"/>
      <c r="E52" s="251"/>
      <c r="F52" s="251"/>
      <c r="G52" s="251"/>
      <c r="H52" s="251"/>
    </row>
    <row r="53" spans="1:8">
      <c r="A53" s="257" t="s">
        <v>337</v>
      </c>
      <c r="B53" s="251"/>
      <c r="C53" s="251"/>
      <c r="D53" s="251"/>
      <c r="E53" s="251"/>
      <c r="F53" s="251"/>
      <c r="G53" s="251"/>
      <c r="H53" s="251"/>
    </row>
    <row r="54" spans="1:8">
      <c r="A54" s="251"/>
      <c r="B54" s="251"/>
      <c r="C54" s="251"/>
      <c r="D54" s="251"/>
      <c r="E54" s="251"/>
      <c r="F54" s="251"/>
      <c r="G54" s="251"/>
      <c r="H54" s="251"/>
    </row>
    <row r="55" spans="1:8">
      <c r="A55" s="251"/>
      <c r="B55" s="251"/>
      <c r="C55" s="251"/>
      <c r="D55" s="251"/>
      <c r="E55" s="251"/>
      <c r="F55" s="251"/>
      <c r="G55" s="251"/>
      <c r="H55" s="251"/>
    </row>
    <row r="56" spans="1:8">
      <c r="A56" s="251"/>
      <c r="B56" s="251"/>
      <c r="C56" s="251"/>
      <c r="D56" s="251"/>
      <c r="E56" s="251"/>
      <c r="F56" s="251"/>
      <c r="G56" s="251"/>
      <c r="H56" s="251"/>
    </row>
    <row r="57" spans="1:8">
      <c r="A57" s="251"/>
      <c r="B57" s="251"/>
      <c r="C57" s="251"/>
      <c r="D57" s="251"/>
      <c r="E57" s="251"/>
      <c r="F57" s="251"/>
      <c r="G57" s="251"/>
      <c r="H57" s="251"/>
    </row>
    <row r="58" spans="1:8">
      <c r="A58" s="251"/>
      <c r="B58" s="251"/>
      <c r="C58" s="251"/>
      <c r="D58" s="251"/>
      <c r="E58" s="251"/>
      <c r="F58" s="251"/>
      <c r="G58" s="251"/>
      <c r="H58" s="251"/>
    </row>
    <row r="59" spans="1:8">
      <c r="A59" s="251"/>
      <c r="B59" s="251"/>
      <c r="C59" s="251"/>
      <c r="D59" s="251"/>
      <c r="E59" s="251"/>
      <c r="F59" s="251"/>
      <c r="G59" s="251"/>
      <c r="H59" s="251"/>
    </row>
    <row r="60" spans="1:8">
      <c r="A60" s="251"/>
      <c r="B60" s="251"/>
      <c r="C60" s="251"/>
      <c r="D60" s="251"/>
      <c r="E60" s="251"/>
      <c r="F60" s="251"/>
      <c r="G60" s="251"/>
      <c r="H60" s="251"/>
    </row>
    <row r="61" spans="1:8">
      <c r="A61" s="251"/>
      <c r="B61" s="251"/>
      <c r="C61" s="251"/>
      <c r="D61" s="251"/>
      <c r="E61" s="251"/>
      <c r="F61" s="251"/>
      <c r="G61" s="251"/>
      <c r="H61" s="251"/>
    </row>
    <row r="62" spans="1:8">
      <c r="A62" s="251"/>
      <c r="B62" s="251"/>
      <c r="C62" s="251"/>
      <c r="D62" s="251"/>
      <c r="E62" s="251"/>
      <c r="F62" s="251"/>
      <c r="G62" s="251"/>
      <c r="H62" s="251"/>
    </row>
    <row r="63" spans="1:8">
      <c r="A63" s="251"/>
      <c r="B63" s="251"/>
      <c r="C63" s="251"/>
      <c r="D63" s="251"/>
      <c r="E63" s="251"/>
      <c r="F63" s="251"/>
      <c r="G63" s="251"/>
      <c r="H63" s="251"/>
    </row>
    <row r="64" spans="1:8">
      <c r="A64" s="251"/>
      <c r="B64" s="251"/>
      <c r="C64" s="251"/>
      <c r="D64" s="251"/>
      <c r="E64" s="251"/>
      <c r="F64" s="251"/>
      <c r="G64" s="251"/>
      <c r="H64" s="251"/>
    </row>
    <row r="65" spans="1:8">
      <c r="A65" s="251"/>
      <c r="B65" s="251"/>
      <c r="C65" s="251"/>
      <c r="D65" s="251"/>
      <c r="E65" s="251"/>
      <c r="F65" s="251"/>
      <c r="G65" s="251"/>
      <c r="H65" s="251"/>
    </row>
    <row r="66" spans="1:8">
      <c r="A66" s="251"/>
      <c r="B66" s="251"/>
      <c r="C66" s="251"/>
      <c r="D66" s="251"/>
      <c r="E66" s="251"/>
      <c r="F66" s="251"/>
      <c r="G66" s="251"/>
      <c r="H66" s="251"/>
    </row>
    <row r="67" spans="1:8">
      <c r="A67" s="251"/>
      <c r="B67" s="251"/>
      <c r="C67" s="251"/>
      <c r="D67" s="251"/>
      <c r="E67" s="251"/>
      <c r="F67" s="251"/>
      <c r="G67" s="251"/>
      <c r="H67" s="251"/>
    </row>
    <row r="68" spans="1:8">
      <c r="A68" s="251"/>
      <c r="B68" s="251"/>
      <c r="C68" s="251"/>
      <c r="D68" s="251"/>
      <c r="E68" s="251"/>
      <c r="F68" s="251"/>
      <c r="G68" s="251"/>
      <c r="H68" s="251"/>
    </row>
    <row r="69" spans="1:8">
      <c r="A69" s="251"/>
      <c r="B69" s="251"/>
      <c r="C69" s="251"/>
      <c r="D69" s="251"/>
      <c r="E69" s="251"/>
      <c r="F69" s="251"/>
      <c r="G69" s="251"/>
      <c r="H69" s="251"/>
    </row>
    <row r="70" spans="1:8">
      <c r="A70" s="251"/>
      <c r="B70" s="251"/>
      <c r="C70" s="251"/>
      <c r="D70" s="251"/>
      <c r="E70" s="251"/>
      <c r="F70" s="251"/>
      <c r="G70" s="251"/>
      <c r="H70" s="251"/>
    </row>
    <row r="71" spans="1:8">
      <c r="A71" s="251"/>
      <c r="B71" s="251"/>
      <c r="C71" s="251"/>
      <c r="D71" s="251"/>
      <c r="E71" s="251"/>
      <c r="F71" s="251"/>
      <c r="G71" s="251"/>
      <c r="H71" s="251"/>
    </row>
    <row r="72" spans="1:8">
      <c r="A72" s="251"/>
      <c r="B72" s="251"/>
      <c r="C72" s="251"/>
      <c r="D72" s="251"/>
      <c r="E72" s="251"/>
      <c r="F72" s="251"/>
      <c r="G72" s="251"/>
      <c r="H72" s="251"/>
    </row>
    <row r="73" spans="1:8">
      <c r="A73" s="251"/>
      <c r="B73" s="251"/>
      <c r="C73" s="251"/>
      <c r="D73" s="251"/>
      <c r="E73" s="251"/>
      <c r="F73" s="251"/>
      <c r="G73" s="251"/>
      <c r="H73" s="251"/>
    </row>
    <row r="74" spans="1:8">
      <c r="A74" s="251"/>
      <c r="B74" s="251"/>
      <c r="C74" s="251"/>
      <c r="D74" s="251"/>
      <c r="E74" s="251"/>
      <c r="F74" s="251"/>
      <c r="G74" s="251"/>
      <c r="H74" s="251"/>
    </row>
    <row r="75" spans="1:8">
      <c r="A75" s="251"/>
      <c r="B75" s="251"/>
      <c r="C75" s="251"/>
      <c r="D75" s="251"/>
      <c r="E75" s="251"/>
      <c r="F75" s="251"/>
      <c r="G75" s="251"/>
      <c r="H75" s="251"/>
    </row>
    <row r="76" spans="1:8">
      <c r="A76" s="251"/>
      <c r="B76" s="251"/>
      <c r="C76" s="251"/>
      <c r="D76" s="251"/>
      <c r="E76" s="251"/>
      <c r="F76" s="251"/>
      <c r="G76" s="251"/>
      <c r="H76" s="251"/>
    </row>
    <row r="77" spans="1:8">
      <c r="A77" s="251"/>
      <c r="B77" s="251"/>
      <c r="C77" s="251"/>
      <c r="D77" s="251"/>
      <c r="E77" s="251"/>
      <c r="F77" s="251"/>
      <c r="G77" s="251"/>
      <c r="H77" s="251"/>
    </row>
    <row r="78" spans="1:8">
      <c r="A78" s="251"/>
      <c r="B78" s="251"/>
      <c r="C78" s="251"/>
      <c r="D78" s="251"/>
      <c r="E78" s="251"/>
      <c r="F78" s="251"/>
      <c r="G78" s="251"/>
      <c r="H78" s="251"/>
    </row>
    <row r="79" spans="1:8">
      <c r="A79" s="251"/>
      <c r="B79" s="251"/>
      <c r="C79" s="251"/>
      <c r="D79" s="251"/>
      <c r="E79" s="251"/>
      <c r="F79" s="251"/>
      <c r="G79" s="251"/>
      <c r="H79" s="251"/>
    </row>
    <row r="80" spans="1:8">
      <c r="A80" s="251"/>
      <c r="B80" s="251"/>
      <c r="C80" s="251"/>
      <c r="D80" s="251"/>
      <c r="E80" s="251"/>
      <c r="F80" s="251"/>
      <c r="G80" s="251"/>
      <c r="H80" s="251"/>
    </row>
    <row r="81" spans="1:8">
      <c r="A81" s="251"/>
      <c r="B81" s="251"/>
      <c r="C81" s="251"/>
      <c r="D81" s="251"/>
      <c r="E81" s="251"/>
      <c r="F81" s="251"/>
      <c r="G81" s="251"/>
      <c r="H81" s="251"/>
    </row>
    <row r="82" spans="1:8">
      <c r="A82" s="251"/>
      <c r="B82" s="251"/>
      <c r="C82" s="251"/>
      <c r="D82" s="251"/>
      <c r="E82" s="251"/>
      <c r="F82" s="251"/>
      <c r="G82" s="251"/>
      <c r="H82" s="251"/>
    </row>
    <row r="83" spans="1:8">
      <c r="A83" s="251"/>
      <c r="B83" s="251"/>
      <c r="C83" s="251"/>
      <c r="D83" s="251"/>
      <c r="E83" s="251"/>
      <c r="F83" s="251"/>
      <c r="G83" s="251"/>
      <c r="H83" s="251"/>
    </row>
    <row r="84" spans="1:8">
      <c r="A84" s="251"/>
      <c r="B84" s="251"/>
      <c r="C84" s="251"/>
      <c r="D84" s="251"/>
      <c r="E84" s="251"/>
      <c r="F84" s="251"/>
      <c r="G84" s="251"/>
      <c r="H84" s="251"/>
    </row>
    <row r="85" spans="1:8">
      <c r="A85" s="251"/>
      <c r="B85" s="251"/>
      <c r="C85" s="251"/>
      <c r="D85" s="251"/>
      <c r="E85" s="251"/>
      <c r="F85" s="251"/>
      <c r="G85" s="251"/>
      <c r="H85" s="251"/>
    </row>
    <row r="86" spans="1:8">
      <c r="A86" s="251"/>
      <c r="B86" s="251"/>
      <c r="C86" s="251"/>
      <c r="D86" s="251"/>
      <c r="E86" s="251"/>
      <c r="F86" s="251"/>
      <c r="G86" s="251"/>
      <c r="H86" s="251"/>
    </row>
    <row r="87" spans="1:8">
      <c r="A87" s="251"/>
      <c r="B87" s="251"/>
      <c r="C87" s="251"/>
      <c r="D87" s="251"/>
      <c r="E87" s="251"/>
      <c r="F87" s="251"/>
      <c r="G87" s="251"/>
      <c r="H87" s="251"/>
    </row>
    <row r="88" spans="1:8">
      <c r="A88" s="251"/>
      <c r="B88" s="251"/>
      <c r="C88" s="251"/>
      <c r="D88" s="251"/>
      <c r="E88" s="251"/>
      <c r="F88" s="251"/>
      <c r="G88" s="251"/>
      <c r="H88" s="251"/>
    </row>
    <row r="89" spans="1:8">
      <c r="A89" s="251"/>
      <c r="B89" s="251"/>
      <c r="C89" s="251"/>
      <c r="D89" s="251"/>
      <c r="E89" s="251"/>
      <c r="F89" s="251"/>
      <c r="G89" s="251"/>
      <c r="H89" s="251"/>
    </row>
    <row r="90" spans="1:8">
      <c r="A90" s="251"/>
      <c r="B90" s="251"/>
      <c r="C90" s="251"/>
      <c r="D90" s="251"/>
      <c r="E90" s="251"/>
      <c r="F90" s="251"/>
      <c r="G90" s="251"/>
      <c r="H90" s="251"/>
    </row>
    <row r="91" spans="1:8">
      <c r="A91" s="251"/>
      <c r="B91" s="251"/>
      <c r="C91" s="251"/>
      <c r="D91" s="251"/>
      <c r="E91" s="251"/>
      <c r="F91" s="251"/>
      <c r="G91" s="251"/>
      <c r="H91" s="251"/>
    </row>
    <row r="92" spans="1:8">
      <c r="A92" s="251"/>
      <c r="B92" s="251"/>
      <c r="C92" s="251"/>
      <c r="D92" s="251"/>
      <c r="E92" s="251"/>
      <c r="F92" s="251"/>
      <c r="G92" s="251"/>
      <c r="H92" s="251"/>
    </row>
    <row r="93" spans="1:8">
      <c r="A93" s="251"/>
      <c r="B93" s="251"/>
      <c r="C93" s="251"/>
      <c r="D93" s="251"/>
      <c r="E93" s="251"/>
      <c r="F93" s="251"/>
      <c r="G93" s="251"/>
      <c r="H93" s="251"/>
    </row>
    <row r="94" spans="1:8">
      <c r="A94" s="251"/>
      <c r="B94" s="251"/>
      <c r="C94" s="251"/>
      <c r="D94" s="251"/>
      <c r="E94" s="251"/>
      <c r="F94" s="251"/>
      <c r="G94" s="251"/>
      <c r="H94" s="251"/>
    </row>
    <row r="95" spans="1:8">
      <c r="A95" s="251"/>
      <c r="B95" s="251"/>
      <c r="C95" s="251"/>
      <c r="D95" s="251"/>
      <c r="E95" s="251"/>
      <c r="F95" s="251"/>
      <c r="G95" s="251"/>
      <c r="H95" s="251"/>
    </row>
    <row r="96" spans="1:8">
      <c r="A96" s="251"/>
      <c r="B96" s="251"/>
      <c r="C96" s="251"/>
      <c r="D96" s="251"/>
      <c r="E96" s="251"/>
      <c r="F96" s="251"/>
      <c r="G96" s="251"/>
      <c r="H96" s="251"/>
    </row>
    <row r="97" spans="1:8">
      <c r="A97" s="251"/>
      <c r="B97" s="251"/>
      <c r="C97" s="251"/>
      <c r="D97" s="251"/>
      <c r="E97" s="251"/>
      <c r="F97" s="251"/>
      <c r="G97" s="251"/>
      <c r="H97" s="251"/>
    </row>
    <row r="98" spans="1:8">
      <c r="A98" s="251"/>
      <c r="B98" s="251"/>
      <c r="C98" s="251"/>
      <c r="D98" s="251"/>
      <c r="E98" s="251"/>
      <c r="F98" s="251"/>
      <c r="G98" s="251"/>
      <c r="H98" s="251"/>
    </row>
    <row r="99" spans="1:8">
      <c r="A99" s="251"/>
      <c r="B99" s="251"/>
      <c r="C99" s="251"/>
      <c r="D99" s="251"/>
      <c r="E99" s="251"/>
      <c r="F99" s="251"/>
      <c r="G99" s="251"/>
      <c r="H99" s="251"/>
    </row>
    <row r="100" spans="1:8">
      <c r="A100" s="251"/>
      <c r="B100" s="251"/>
      <c r="C100" s="251"/>
      <c r="D100" s="251"/>
      <c r="E100" s="251"/>
      <c r="F100" s="251"/>
      <c r="G100" s="251"/>
      <c r="H100" s="251"/>
    </row>
    <row r="101" spans="1:8">
      <c r="A101" s="251"/>
      <c r="B101" s="251"/>
      <c r="C101" s="251"/>
      <c r="D101" s="251"/>
      <c r="E101" s="251"/>
      <c r="F101" s="251"/>
      <c r="G101" s="251"/>
      <c r="H101" s="251"/>
    </row>
    <row r="102" spans="1:8">
      <c r="A102" s="251"/>
      <c r="B102" s="251"/>
      <c r="C102" s="251"/>
      <c r="D102" s="251"/>
      <c r="E102" s="251"/>
      <c r="F102" s="251"/>
      <c r="G102" s="251"/>
      <c r="H102" s="251"/>
    </row>
    <row r="103" spans="1:8">
      <c r="A103" s="251"/>
      <c r="B103" s="251"/>
      <c r="C103" s="251"/>
      <c r="D103" s="251"/>
      <c r="E103" s="251"/>
      <c r="F103" s="251"/>
      <c r="G103" s="251"/>
      <c r="H103" s="251"/>
    </row>
    <row r="104" spans="1:8">
      <c r="A104" s="251"/>
      <c r="B104" s="251"/>
      <c r="C104" s="251"/>
      <c r="D104" s="251"/>
      <c r="E104" s="251"/>
      <c r="F104" s="251"/>
      <c r="G104" s="251"/>
      <c r="H104" s="251"/>
    </row>
    <row r="105" spans="1:8">
      <c r="A105" s="251"/>
      <c r="B105" s="251"/>
      <c r="C105" s="251"/>
      <c r="D105" s="251"/>
      <c r="E105" s="251"/>
      <c r="F105" s="251"/>
      <c r="G105" s="251"/>
      <c r="H105" s="251"/>
    </row>
    <row r="106" spans="1:8">
      <c r="A106" s="251"/>
      <c r="B106" s="251"/>
      <c r="C106" s="251"/>
      <c r="D106" s="251"/>
      <c r="E106" s="251"/>
      <c r="F106" s="251"/>
      <c r="G106" s="251"/>
      <c r="H106" s="251"/>
    </row>
    <row r="107" spans="1:8">
      <c r="A107" s="251"/>
      <c r="B107" s="251"/>
      <c r="C107" s="251"/>
      <c r="D107" s="251"/>
      <c r="E107" s="251"/>
      <c r="F107" s="251"/>
      <c r="G107" s="251"/>
      <c r="H107" s="251"/>
    </row>
    <row r="108" spans="1:8">
      <c r="A108" s="251"/>
      <c r="B108" s="251"/>
      <c r="C108" s="251"/>
      <c r="D108" s="251"/>
      <c r="E108" s="251"/>
      <c r="F108" s="251"/>
      <c r="G108" s="251"/>
      <c r="H108" s="251"/>
    </row>
    <row r="109" spans="1:8">
      <c r="A109" s="251"/>
      <c r="B109" s="251"/>
      <c r="C109" s="251"/>
      <c r="D109" s="251"/>
      <c r="E109" s="251"/>
      <c r="F109" s="251"/>
      <c r="G109" s="251"/>
      <c r="H109" s="251"/>
    </row>
    <row r="110" spans="1:8">
      <c r="A110" s="251"/>
      <c r="B110" s="251"/>
      <c r="C110" s="251"/>
      <c r="D110" s="251"/>
      <c r="E110" s="251"/>
      <c r="F110" s="251"/>
      <c r="G110" s="251"/>
      <c r="H110" s="251"/>
    </row>
    <row r="111" spans="1:8">
      <c r="A111" s="251"/>
      <c r="B111" s="251"/>
      <c r="C111" s="251"/>
      <c r="D111" s="251"/>
      <c r="E111" s="251"/>
      <c r="F111" s="251"/>
      <c r="G111" s="251"/>
      <c r="H111" s="251"/>
    </row>
    <row r="112" spans="1:8">
      <c r="A112" s="251"/>
      <c r="B112" s="251"/>
      <c r="C112" s="251"/>
      <c r="D112" s="251"/>
      <c r="E112" s="251"/>
      <c r="F112" s="251"/>
      <c r="G112" s="251"/>
      <c r="H112" s="251"/>
    </row>
    <row r="113" spans="1:8">
      <c r="A113" s="251"/>
      <c r="B113" s="251"/>
      <c r="C113" s="251"/>
      <c r="D113" s="251"/>
      <c r="E113" s="251"/>
      <c r="F113" s="251"/>
      <c r="G113" s="251"/>
      <c r="H113" s="251"/>
    </row>
    <row r="114" spans="1:8">
      <c r="A114" s="251"/>
      <c r="B114" s="251"/>
      <c r="C114" s="251"/>
      <c r="D114" s="251"/>
      <c r="E114" s="251"/>
      <c r="F114" s="251"/>
      <c r="G114" s="251"/>
      <c r="H114" s="251"/>
    </row>
    <row r="115" spans="1:8">
      <c r="A115" s="251"/>
      <c r="B115" s="251"/>
      <c r="C115" s="251"/>
      <c r="D115" s="251"/>
      <c r="E115" s="251"/>
      <c r="F115" s="251"/>
      <c r="G115" s="251"/>
      <c r="H115" s="251"/>
    </row>
    <row r="116" spans="1:8">
      <c r="A116" s="251"/>
      <c r="B116" s="251"/>
      <c r="C116" s="251"/>
      <c r="D116" s="251"/>
      <c r="E116" s="251"/>
      <c r="F116" s="251"/>
      <c r="G116" s="251"/>
      <c r="H116" s="251"/>
    </row>
    <row r="117" spans="1:8">
      <c r="A117" s="251"/>
      <c r="B117" s="251"/>
      <c r="C117" s="251"/>
      <c r="D117" s="251"/>
      <c r="E117" s="251"/>
      <c r="F117" s="251"/>
      <c r="G117" s="251"/>
      <c r="H117" s="251"/>
    </row>
    <row r="118" spans="1:8">
      <c r="A118" s="251"/>
      <c r="B118" s="251"/>
      <c r="C118" s="251"/>
      <c r="D118" s="251"/>
      <c r="E118" s="251"/>
      <c r="F118" s="251"/>
      <c r="G118" s="251"/>
      <c r="H118" s="251"/>
    </row>
    <row r="119" spans="1:8">
      <c r="A119" s="251"/>
      <c r="B119" s="251"/>
      <c r="C119" s="251"/>
      <c r="D119" s="251"/>
      <c r="E119" s="251"/>
      <c r="F119" s="251"/>
      <c r="G119" s="251"/>
      <c r="H119" s="251"/>
    </row>
    <row r="120" spans="1:8">
      <c r="A120" s="251"/>
      <c r="B120" s="251"/>
      <c r="C120" s="251"/>
      <c r="D120" s="251"/>
      <c r="E120" s="251"/>
      <c r="F120" s="251"/>
      <c r="G120" s="251"/>
      <c r="H120" s="251"/>
    </row>
    <row r="121" spans="1:8">
      <c r="A121" s="251"/>
      <c r="B121" s="251"/>
      <c r="C121" s="251"/>
      <c r="D121" s="251"/>
      <c r="E121" s="251"/>
      <c r="F121" s="251"/>
      <c r="G121" s="251"/>
      <c r="H121" s="251"/>
    </row>
    <row r="122" spans="1:8">
      <c r="A122" s="251"/>
      <c r="B122" s="251"/>
      <c r="C122" s="251"/>
      <c r="D122" s="251"/>
      <c r="E122" s="251"/>
      <c r="F122" s="251"/>
      <c r="G122" s="251"/>
      <c r="H122" s="251"/>
    </row>
    <row r="123" spans="1:8">
      <c r="A123" s="251"/>
      <c r="B123" s="251"/>
      <c r="C123" s="251"/>
      <c r="D123" s="251"/>
      <c r="E123" s="251"/>
      <c r="F123" s="251"/>
      <c r="G123" s="251"/>
      <c r="H123" s="251"/>
    </row>
    <row r="124" spans="1:8">
      <c r="A124" s="251"/>
      <c r="B124" s="251"/>
      <c r="C124" s="251"/>
      <c r="D124" s="251"/>
      <c r="E124" s="251"/>
      <c r="F124" s="251"/>
      <c r="G124" s="251"/>
      <c r="H124" s="251"/>
    </row>
    <row r="125" spans="1:8">
      <c r="A125" s="251"/>
      <c r="B125" s="251"/>
      <c r="C125" s="251"/>
      <c r="D125" s="251"/>
      <c r="E125" s="251"/>
      <c r="F125" s="251"/>
      <c r="G125" s="251"/>
      <c r="H125" s="251"/>
    </row>
    <row r="126" spans="1:8">
      <c r="A126" s="251"/>
      <c r="B126" s="251"/>
      <c r="C126" s="251"/>
      <c r="D126" s="251"/>
      <c r="E126" s="251"/>
      <c r="F126" s="251"/>
      <c r="G126" s="251"/>
      <c r="H126" s="251"/>
    </row>
    <row r="127" spans="1:8">
      <c r="A127" s="251"/>
      <c r="B127" s="251"/>
      <c r="C127" s="251"/>
      <c r="D127" s="251"/>
      <c r="E127" s="251"/>
      <c r="F127" s="251"/>
      <c r="G127" s="251"/>
      <c r="H127" s="251"/>
    </row>
    <row r="128" spans="1:8">
      <c r="A128" s="251"/>
      <c r="B128" s="251"/>
      <c r="C128" s="251"/>
      <c r="D128" s="251"/>
      <c r="E128" s="251"/>
      <c r="F128" s="251"/>
      <c r="G128" s="251"/>
      <c r="H128" s="251"/>
    </row>
    <row r="129" spans="1:8">
      <c r="A129" s="251"/>
      <c r="B129" s="251"/>
      <c r="C129" s="251"/>
      <c r="D129" s="251"/>
      <c r="E129" s="251"/>
      <c r="F129" s="251"/>
      <c r="G129" s="251"/>
      <c r="H129" s="251"/>
    </row>
    <row r="130" spans="1:8">
      <c r="A130" s="251"/>
      <c r="B130" s="251"/>
      <c r="C130" s="251"/>
      <c r="D130" s="251"/>
      <c r="E130" s="251"/>
      <c r="F130" s="251"/>
      <c r="G130" s="251"/>
      <c r="H130" s="251"/>
    </row>
    <row r="131" spans="1:8">
      <c r="A131" s="251"/>
      <c r="B131" s="251"/>
      <c r="C131" s="251"/>
      <c r="D131" s="251"/>
      <c r="E131" s="251"/>
      <c r="F131" s="251"/>
      <c r="G131" s="251"/>
      <c r="H131" s="251"/>
    </row>
    <row r="132" spans="1:8">
      <c r="A132" s="251"/>
      <c r="B132" s="251"/>
      <c r="C132" s="251"/>
      <c r="D132" s="251"/>
      <c r="E132" s="251"/>
      <c r="F132" s="251"/>
      <c r="G132" s="251"/>
      <c r="H132" s="251"/>
    </row>
    <row r="133" spans="1:8">
      <c r="A133" s="251"/>
      <c r="B133" s="251"/>
      <c r="C133" s="251"/>
      <c r="D133" s="251"/>
      <c r="E133" s="251"/>
      <c r="F133" s="251"/>
      <c r="G133" s="251"/>
      <c r="H133" s="251"/>
    </row>
    <row r="134" spans="1:8">
      <c r="A134" s="251"/>
      <c r="B134" s="251"/>
      <c r="C134" s="251"/>
      <c r="D134" s="251"/>
      <c r="E134" s="251"/>
      <c r="F134" s="251"/>
      <c r="G134" s="251"/>
      <c r="H134" s="251"/>
    </row>
    <row r="135" spans="1:8">
      <c r="A135" s="251"/>
      <c r="B135" s="251"/>
      <c r="C135" s="251"/>
      <c r="D135" s="251"/>
      <c r="E135" s="251"/>
      <c r="F135" s="251"/>
      <c r="G135" s="251"/>
      <c r="H135" s="251"/>
    </row>
    <row r="136" spans="1:8">
      <c r="A136" s="251"/>
      <c r="B136" s="251"/>
      <c r="C136" s="251"/>
      <c r="D136" s="251"/>
      <c r="E136" s="251"/>
      <c r="F136" s="251"/>
      <c r="G136" s="251"/>
      <c r="H136" s="251"/>
    </row>
    <row r="137" spans="1:8">
      <c r="A137" s="251"/>
      <c r="B137" s="251"/>
      <c r="C137" s="251"/>
      <c r="D137" s="251"/>
      <c r="E137" s="251"/>
      <c r="F137" s="251"/>
      <c r="G137" s="251"/>
      <c r="H137" s="251"/>
    </row>
    <row r="138" spans="1:8">
      <c r="A138" s="251"/>
      <c r="B138" s="251"/>
      <c r="C138" s="251"/>
      <c r="D138" s="251"/>
      <c r="E138" s="251"/>
      <c r="F138" s="251"/>
      <c r="G138" s="251"/>
      <c r="H138" s="251"/>
    </row>
    <row r="139" spans="1:8">
      <c r="A139" s="251"/>
      <c r="B139" s="251"/>
      <c r="C139" s="251"/>
      <c r="D139" s="251"/>
      <c r="E139" s="251"/>
      <c r="F139" s="251"/>
      <c r="G139" s="251"/>
      <c r="H139" s="251"/>
    </row>
    <row r="140" spans="1:8">
      <c r="A140" s="251"/>
      <c r="B140" s="251"/>
      <c r="C140" s="251"/>
      <c r="D140" s="251"/>
      <c r="E140" s="251"/>
      <c r="F140" s="251"/>
      <c r="G140" s="251"/>
      <c r="H140" s="251"/>
    </row>
    <row r="141" spans="1:8">
      <c r="A141" s="251"/>
      <c r="B141" s="251"/>
      <c r="C141" s="251"/>
      <c r="D141" s="251"/>
      <c r="E141" s="251"/>
      <c r="F141" s="251"/>
      <c r="G141" s="251"/>
      <c r="H141" s="251"/>
    </row>
    <row r="142" spans="1:8">
      <c r="A142" s="251"/>
      <c r="B142" s="251"/>
      <c r="C142" s="251"/>
      <c r="D142" s="251"/>
      <c r="E142" s="251"/>
      <c r="F142" s="251"/>
      <c r="G142" s="251"/>
      <c r="H142" s="251"/>
    </row>
    <row r="143" spans="1:8">
      <c r="A143" s="251"/>
      <c r="B143" s="251"/>
      <c r="C143" s="251"/>
      <c r="D143" s="251"/>
      <c r="E143" s="251"/>
      <c r="F143" s="251"/>
      <c r="G143" s="251"/>
      <c r="H143" s="251"/>
    </row>
    <row r="144" spans="1:8">
      <c r="A144" s="251"/>
      <c r="B144" s="251"/>
      <c r="C144" s="251"/>
      <c r="D144" s="251"/>
      <c r="E144" s="251"/>
      <c r="F144" s="251"/>
      <c r="G144" s="251"/>
      <c r="H144" s="251"/>
    </row>
    <row r="145" spans="1:8">
      <c r="A145" s="251"/>
      <c r="B145" s="251"/>
      <c r="C145" s="251"/>
      <c r="D145" s="251"/>
      <c r="E145" s="251"/>
      <c r="F145" s="251"/>
      <c r="G145" s="251"/>
      <c r="H145" s="251"/>
    </row>
    <row r="146" spans="1:8">
      <c r="A146" s="251"/>
      <c r="B146" s="251"/>
      <c r="C146" s="251"/>
      <c r="D146" s="251"/>
      <c r="E146" s="251"/>
      <c r="F146" s="251"/>
      <c r="G146" s="251"/>
      <c r="H146" s="251"/>
    </row>
    <row r="147" spans="1:8">
      <c r="A147" s="251"/>
      <c r="B147" s="251"/>
      <c r="C147" s="251"/>
      <c r="D147" s="251"/>
      <c r="E147" s="251"/>
      <c r="F147" s="251"/>
      <c r="G147" s="251"/>
      <c r="H147" s="251"/>
    </row>
    <row r="148" spans="1:8">
      <c r="A148" s="251"/>
      <c r="B148" s="251"/>
      <c r="C148" s="251"/>
      <c r="D148" s="251"/>
      <c r="E148" s="251"/>
      <c r="F148" s="251"/>
      <c r="G148" s="251"/>
      <c r="H148" s="251"/>
    </row>
    <row r="149" spans="1:8">
      <c r="A149" s="251"/>
      <c r="B149" s="251"/>
      <c r="C149" s="251"/>
      <c r="D149" s="251"/>
      <c r="E149" s="251"/>
      <c r="F149" s="251"/>
      <c r="G149" s="251"/>
      <c r="H149" s="251"/>
    </row>
    <row r="150" spans="1:8">
      <c r="A150" s="251"/>
      <c r="B150" s="251"/>
      <c r="C150" s="251"/>
      <c r="D150" s="251"/>
      <c r="E150" s="251"/>
      <c r="F150" s="251"/>
      <c r="G150" s="251"/>
      <c r="H150" s="251"/>
    </row>
    <row r="151" spans="1:8">
      <c r="A151" s="251"/>
      <c r="B151" s="251"/>
      <c r="C151" s="251"/>
      <c r="D151" s="251"/>
      <c r="E151" s="251"/>
      <c r="F151" s="251"/>
      <c r="G151" s="251"/>
      <c r="H151" s="251"/>
    </row>
    <row r="152" spans="1:8">
      <c r="A152" s="251"/>
      <c r="B152" s="251"/>
      <c r="C152" s="251"/>
      <c r="D152" s="251"/>
      <c r="E152" s="251"/>
      <c r="F152" s="251"/>
      <c r="G152" s="251"/>
      <c r="H152" s="251"/>
    </row>
    <row r="153" spans="1:8">
      <c r="A153" s="251"/>
      <c r="B153" s="251"/>
      <c r="C153" s="251"/>
      <c r="D153" s="251"/>
      <c r="E153" s="251"/>
      <c r="F153" s="251"/>
      <c r="G153" s="251"/>
      <c r="H153" s="251"/>
    </row>
    <row r="154" spans="1:8">
      <c r="A154" s="251"/>
      <c r="B154" s="251"/>
      <c r="C154" s="251"/>
      <c r="D154" s="251"/>
      <c r="E154" s="251"/>
      <c r="F154" s="251"/>
      <c r="G154" s="251"/>
      <c r="H154" s="251"/>
    </row>
    <row r="155" spans="1:8">
      <c r="A155" s="251"/>
      <c r="B155" s="251"/>
      <c r="C155" s="251"/>
      <c r="D155" s="251"/>
      <c r="E155" s="251"/>
      <c r="F155" s="251"/>
      <c r="G155" s="251"/>
      <c r="H155" s="251"/>
    </row>
    <row r="156" spans="1:8">
      <c r="A156" s="251"/>
      <c r="B156" s="251"/>
      <c r="C156" s="251"/>
      <c r="D156" s="251"/>
      <c r="E156" s="251"/>
      <c r="F156" s="251"/>
      <c r="G156" s="251"/>
      <c r="H156" s="251"/>
    </row>
    <row r="157" spans="1:8">
      <c r="A157" s="251"/>
      <c r="B157" s="251"/>
      <c r="C157" s="251"/>
      <c r="D157" s="251"/>
      <c r="E157" s="251"/>
      <c r="F157" s="251"/>
      <c r="G157" s="251"/>
      <c r="H157" s="251"/>
    </row>
    <row r="158" spans="1:8">
      <c r="A158" s="251"/>
      <c r="B158" s="251"/>
      <c r="C158" s="251"/>
      <c r="D158" s="251"/>
      <c r="E158" s="251"/>
      <c r="F158" s="251"/>
      <c r="G158" s="251"/>
      <c r="H158" s="251"/>
    </row>
    <row r="159" spans="1:8">
      <c r="A159" s="251"/>
      <c r="B159" s="251"/>
      <c r="C159" s="251"/>
      <c r="D159" s="251"/>
      <c r="E159" s="251"/>
      <c r="F159" s="251"/>
      <c r="G159" s="251"/>
      <c r="H159" s="251"/>
    </row>
    <row r="160" spans="1:8">
      <c r="A160" s="251"/>
      <c r="B160" s="251"/>
      <c r="C160" s="251"/>
      <c r="D160" s="251"/>
      <c r="E160" s="251"/>
      <c r="F160" s="251"/>
      <c r="G160" s="251"/>
      <c r="H160" s="251"/>
    </row>
    <row r="161" spans="1:8">
      <c r="A161" s="251"/>
      <c r="B161" s="251"/>
      <c r="C161" s="251"/>
      <c r="D161" s="251"/>
      <c r="E161" s="251"/>
      <c r="F161" s="251"/>
      <c r="G161" s="251"/>
      <c r="H161" s="251"/>
    </row>
    <row r="162" spans="1:8">
      <c r="A162" s="251"/>
      <c r="B162" s="251"/>
      <c r="C162" s="251"/>
      <c r="D162" s="251"/>
      <c r="E162" s="251"/>
      <c r="F162" s="251"/>
      <c r="G162" s="251"/>
      <c r="H162" s="251"/>
    </row>
    <row r="163" spans="1:8">
      <c r="A163" s="251"/>
      <c r="B163" s="251"/>
      <c r="C163" s="251"/>
      <c r="D163" s="251"/>
      <c r="E163" s="251"/>
      <c r="F163" s="251"/>
      <c r="G163" s="251"/>
      <c r="H163" s="251"/>
    </row>
    <row r="164" spans="1:8">
      <c r="A164" s="251"/>
      <c r="B164" s="251"/>
      <c r="C164" s="251"/>
      <c r="D164" s="251"/>
      <c r="E164" s="251"/>
      <c r="F164" s="251"/>
      <c r="G164" s="251"/>
      <c r="H164" s="251"/>
    </row>
    <row r="165" spans="1:8">
      <c r="A165" s="251"/>
      <c r="B165" s="251"/>
      <c r="C165" s="251"/>
      <c r="D165" s="251"/>
      <c r="E165" s="251"/>
      <c r="F165" s="251"/>
      <c r="G165" s="251"/>
      <c r="H165" s="251"/>
    </row>
    <row r="166" spans="1:8">
      <c r="A166" s="251"/>
      <c r="B166" s="251"/>
      <c r="C166" s="251"/>
      <c r="D166" s="251"/>
      <c r="E166" s="251"/>
      <c r="F166" s="251"/>
      <c r="G166" s="251"/>
      <c r="H166" s="251"/>
    </row>
    <row r="167" spans="1:8">
      <c r="A167" s="251"/>
      <c r="B167" s="251"/>
      <c r="C167" s="251"/>
      <c r="D167" s="251"/>
      <c r="E167" s="251"/>
      <c r="F167" s="251"/>
      <c r="G167" s="251"/>
      <c r="H167" s="251"/>
    </row>
    <row r="168" spans="1:8">
      <c r="A168" s="251"/>
      <c r="B168" s="251"/>
      <c r="C168" s="251"/>
      <c r="D168" s="251"/>
      <c r="E168" s="251"/>
      <c r="F168" s="251"/>
      <c r="G168" s="251"/>
      <c r="H168" s="251"/>
    </row>
    <row r="169" spans="1:8">
      <c r="A169" s="251"/>
      <c r="B169" s="251"/>
      <c r="C169" s="251"/>
      <c r="D169" s="251"/>
      <c r="E169" s="251"/>
      <c r="F169" s="251"/>
      <c r="G169" s="251"/>
      <c r="H169" s="251"/>
    </row>
    <row r="170" spans="1:8">
      <c r="A170" s="251"/>
      <c r="B170" s="251"/>
      <c r="C170" s="251"/>
      <c r="D170" s="251"/>
      <c r="E170" s="251"/>
      <c r="F170" s="251"/>
      <c r="G170" s="251"/>
      <c r="H170" s="251"/>
    </row>
    <row r="171" spans="1:8">
      <c r="A171" s="251"/>
      <c r="B171" s="251"/>
      <c r="C171" s="251"/>
      <c r="D171" s="251"/>
      <c r="E171" s="251"/>
      <c r="F171" s="251"/>
      <c r="G171" s="251"/>
      <c r="H171" s="251"/>
    </row>
    <row r="172" spans="1:8">
      <c r="A172" s="251"/>
      <c r="B172" s="251"/>
      <c r="C172" s="251"/>
      <c r="D172" s="251"/>
      <c r="E172" s="251"/>
      <c r="F172" s="251"/>
      <c r="G172" s="251"/>
      <c r="H172" s="251"/>
    </row>
    <row r="173" spans="1:8">
      <c r="A173" s="251"/>
      <c r="B173" s="251"/>
      <c r="C173" s="251"/>
      <c r="D173" s="251"/>
      <c r="E173" s="251"/>
      <c r="F173" s="251"/>
      <c r="G173" s="251"/>
      <c r="H173" s="251"/>
    </row>
    <row r="174" spans="1:8">
      <c r="A174" s="251"/>
      <c r="B174" s="251"/>
      <c r="C174" s="251"/>
      <c r="D174" s="251"/>
      <c r="E174" s="251"/>
      <c r="F174" s="251"/>
      <c r="G174" s="251"/>
      <c r="H174" s="251"/>
    </row>
    <row r="175" spans="1:8">
      <c r="A175" s="251"/>
      <c r="B175" s="251"/>
      <c r="C175" s="251"/>
      <c r="D175" s="251"/>
      <c r="E175" s="251"/>
      <c r="F175" s="251"/>
      <c r="G175" s="251"/>
      <c r="H175" s="251"/>
    </row>
    <row r="176" spans="1:8">
      <c r="A176" s="251"/>
      <c r="B176" s="251"/>
      <c r="C176" s="251"/>
      <c r="D176" s="251"/>
      <c r="E176" s="251"/>
      <c r="F176" s="251"/>
      <c r="G176" s="251"/>
      <c r="H176" s="251"/>
    </row>
    <row r="177" spans="1:8">
      <c r="A177" s="251"/>
      <c r="B177" s="251"/>
      <c r="C177" s="251"/>
      <c r="D177" s="251"/>
      <c r="E177" s="251"/>
      <c r="F177" s="251"/>
      <c r="G177" s="251"/>
      <c r="H177" s="251"/>
    </row>
    <row r="178" spans="1:8">
      <c r="A178" s="251"/>
      <c r="B178" s="251"/>
      <c r="C178" s="251"/>
      <c r="D178" s="251"/>
      <c r="E178" s="251"/>
      <c r="F178" s="251"/>
      <c r="G178" s="251"/>
      <c r="H178" s="251"/>
    </row>
    <row r="179" spans="1:8">
      <c r="A179" s="251"/>
      <c r="B179" s="251"/>
      <c r="C179" s="251"/>
      <c r="D179" s="251"/>
      <c r="E179" s="251"/>
      <c r="F179" s="251"/>
      <c r="G179" s="251"/>
      <c r="H179" s="251"/>
    </row>
    <row r="180" spans="1:8">
      <c r="A180" s="251"/>
      <c r="B180" s="251"/>
      <c r="C180" s="251"/>
      <c r="D180" s="251"/>
      <c r="E180" s="251"/>
      <c r="F180" s="251"/>
      <c r="G180" s="251"/>
      <c r="H180" s="251"/>
    </row>
    <row r="181" spans="1:8">
      <c r="A181" s="251"/>
      <c r="B181" s="251"/>
      <c r="C181" s="251"/>
      <c r="D181" s="251"/>
      <c r="E181" s="251"/>
      <c r="F181" s="251"/>
      <c r="G181" s="251"/>
      <c r="H181" s="251"/>
    </row>
    <row r="182" spans="1:8">
      <c r="A182" s="251"/>
      <c r="B182" s="251"/>
      <c r="C182" s="251"/>
      <c r="D182" s="251"/>
      <c r="E182" s="251"/>
      <c r="F182" s="251"/>
      <c r="G182" s="251"/>
      <c r="H182" s="251"/>
    </row>
    <row r="183" spans="1:8">
      <c r="A183" s="251"/>
      <c r="B183" s="251"/>
      <c r="C183" s="251"/>
      <c r="D183" s="251"/>
      <c r="E183" s="251"/>
      <c r="F183" s="251"/>
      <c r="G183" s="251"/>
      <c r="H183" s="251"/>
    </row>
    <row r="184" spans="1:8">
      <c r="A184" s="251"/>
      <c r="B184" s="251"/>
      <c r="C184" s="251"/>
      <c r="D184" s="251"/>
      <c r="E184" s="251"/>
      <c r="F184" s="251"/>
      <c r="G184" s="251"/>
      <c r="H184" s="251"/>
    </row>
    <row r="185" spans="1:8">
      <c r="A185" s="251"/>
      <c r="B185" s="251"/>
      <c r="C185" s="251"/>
      <c r="D185" s="251"/>
      <c r="E185" s="251"/>
      <c r="F185" s="251"/>
      <c r="G185" s="251"/>
      <c r="H185" s="251"/>
    </row>
    <row r="186" spans="1:8">
      <c r="A186" s="251"/>
      <c r="B186" s="251"/>
      <c r="C186" s="251"/>
      <c r="D186" s="251"/>
      <c r="E186" s="251"/>
      <c r="F186" s="251"/>
      <c r="G186" s="251"/>
      <c r="H186" s="251"/>
    </row>
  </sheetData>
  <pageMargins left="0.7" right="0.7" top="0.75" bottom="0.75" header="0.3" footer="0.3"/>
  <headerFooter/>
  <ignoredErrors>
    <ignoredError sqref="E13:G13 D7:G7 D12:G12 C1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U60"/>
  <sheetViews>
    <sheetView showGridLines="0" topLeftCell="B1" workbookViewId="0">
      <selection activeCell="O37" sqref="O37"/>
    </sheetView>
  </sheetViews>
  <sheetFormatPr defaultColWidth="8.91666666666667" defaultRowHeight="16.5"/>
  <cols>
    <col min="1" max="1" width="13.4166666666667" style="11" customWidth="1"/>
    <col min="2" max="2" width="15.4166666666667" style="11" customWidth="1"/>
    <col min="3" max="5" width="10.5833333333333" style="11" customWidth="1"/>
    <col min="6" max="6" width="9.08333333333333" style="11" customWidth="1"/>
    <col min="7" max="7" width="9" style="11" customWidth="1"/>
    <col min="8" max="8" width="14.875" style="11" customWidth="1"/>
    <col min="9" max="9" width="9.08333333333333" style="142" customWidth="1"/>
    <col min="10" max="10" width="11.0833333333333" style="11" customWidth="1"/>
    <col min="11" max="11" width="3.5" style="11" customWidth="1"/>
    <col min="12" max="17" width="8.58333333333333" style="11" customWidth="1"/>
    <col min="18" max="18" width="9.58333333333333" style="11" customWidth="1"/>
    <col min="19" max="19" width="10.0833333333333" style="11" customWidth="1"/>
    <col min="20" max="21" width="8.58333333333333" style="11" customWidth="1"/>
    <col min="22" max="22" width="14" style="11" customWidth="1"/>
    <col min="23" max="16384" width="8.91666666666667" style="11"/>
  </cols>
  <sheetData>
    <row r="1" s="11" customFormat="1" ht="16" customHeight="1" spans="1:21">
      <c r="A1" s="143" t="s">
        <v>338</v>
      </c>
      <c r="B1" s="143"/>
      <c r="C1" s="143"/>
      <c r="D1" s="143"/>
      <c r="E1" s="143"/>
      <c r="F1" s="143"/>
      <c r="G1" s="143"/>
      <c r="H1" s="143"/>
      <c r="I1" s="143"/>
    </row>
    <row r="2" s="11" customFormat="1" ht="16" customHeight="1" spans="1:21">
      <c r="A2" s="144"/>
      <c r="B2" s="145"/>
      <c r="C2" s="146"/>
      <c r="D2" s="147"/>
      <c r="E2" s="148"/>
      <c r="F2" s="149"/>
      <c r="G2" s="149"/>
      <c r="H2" s="149"/>
      <c r="I2" s="150" t="s">
        <v>228</v>
      </c>
    </row>
    <row r="3" s="11" customFormat="1" ht="16" customHeight="1" spans="1:21">
      <c r="A3" s="151" t="s">
        <v>229</v>
      </c>
      <c r="B3" s="152"/>
      <c r="C3" s="153" t="s">
        <v>46</v>
      </c>
      <c r="D3" s="153" t="s">
        <v>47</v>
      </c>
      <c r="E3" s="153" t="s">
        <v>48</v>
      </c>
      <c r="F3" s="153" t="s">
        <v>49</v>
      </c>
      <c r="G3" s="154" t="s">
        <v>50</v>
      </c>
      <c r="H3" s="155" t="s">
        <v>45</v>
      </c>
      <c r="I3" s="156" t="s">
        <v>51</v>
      </c>
      <c r="J3" s="156" t="s">
        <v>230</v>
      </c>
      <c r="L3" s="157" t="s">
        <v>339</v>
      </c>
      <c r="M3" s="157"/>
      <c r="N3" s="157" t="s">
        <v>340</v>
      </c>
      <c r="O3" s="157"/>
      <c r="P3" s="157" t="s">
        <v>341</v>
      </c>
      <c r="Q3" s="157"/>
      <c r="R3" s="157" t="s">
        <v>342</v>
      </c>
      <c r="S3" s="157"/>
      <c r="T3" s="157" t="s">
        <v>343</v>
      </c>
      <c r="U3" s="157"/>
    </row>
    <row r="4" s="11" customFormat="1" ht="16" customHeight="1" spans="1:21">
      <c r="A4" s="152"/>
      <c r="B4" s="152"/>
      <c r="C4" s="152"/>
      <c r="D4" s="152"/>
      <c r="E4" s="152"/>
      <c r="F4" s="152"/>
      <c r="G4" s="152"/>
      <c r="H4" s="158"/>
      <c r="I4" s="159"/>
      <c r="J4" s="152"/>
      <c r="L4" s="198" t="s">
        <v>45</v>
      </c>
      <c r="M4" s="161" t="s">
        <v>50</v>
      </c>
      <c r="N4" s="160" t="s">
        <v>207</v>
      </c>
      <c r="O4" s="161" t="s">
        <v>50</v>
      </c>
      <c r="P4" s="160" t="s">
        <v>207</v>
      </c>
      <c r="Q4" s="161" t="s">
        <v>50</v>
      </c>
      <c r="R4" s="160" t="s">
        <v>207</v>
      </c>
      <c r="S4" s="161" t="s">
        <v>50</v>
      </c>
      <c r="T4" s="160" t="s">
        <v>207</v>
      </c>
      <c r="U4" s="161" t="s">
        <v>50</v>
      </c>
    </row>
    <row r="5" s="11" customFormat="1" ht="16" customHeight="1" spans="1:21">
      <c r="A5" s="162" t="s">
        <v>231</v>
      </c>
      <c r="B5" s="163"/>
      <c r="C5" s="164"/>
      <c r="D5" s="165"/>
      <c r="E5" s="165"/>
      <c r="F5" s="165"/>
      <c r="G5" s="166"/>
      <c r="H5" s="167"/>
      <c r="I5" s="167"/>
      <c r="J5" s="163"/>
      <c r="L5" s="167">
        <v>1</v>
      </c>
      <c r="M5" s="167"/>
      <c r="N5" s="167">
        <v>1</v>
      </c>
      <c r="O5" s="167"/>
      <c r="P5" s="167"/>
      <c r="Q5" s="167"/>
      <c r="R5" s="167"/>
      <c r="S5" s="167"/>
      <c r="T5" s="167">
        <v>1</v>
      </c>
      <c r="U5" s="167"/>
    </row>
    <row r="6" s="11" customFormat="1" ht="16" customHeight="1" spans="1:21">
      <c r="A6" s="168" t="s">
        <v>232</v>
      </c>
      <c r="B6" s="163"/>
      <c r="C6" s="169">
        <f t="shared" ref="C6:H6" si="0">SUM(C7:C8)</f>
        <v>0</v>
      </c>
      <c r="D6" s="169">
        <f t="shared" si="0"/>
        <v>0</v>
      </c>
      <c r="E6" s="169">
        <f t="shared" si="0"/>
        <v>0</v>
      </c>
      <c r="F6" s="169">
        <f t="shared" si="0"/>
        <v>0</v>
      </c>
      <c r="G6" s="170">
        <f t="shared" si="0"/>
        <v>0</v>
      </c>
      <c r="H6" s="169">
        <f t="shared" si="0"/>
        <v>129.652989</v>
      </c>
      <c r="I6" s="171">
        <f t="shared" ref="I6:I30" si="1">IFERROR(G6/H6-1,"")</f>
        <v>-1</v>
      </c>
      <c r="J6" s="172"/>
      <c r="L6" s="172"/>
      <c r="M6" s="172"/>
      <c r="N6" s="172"/>
      <c r="O6" s="172"/>
      <c r="P6" s="172"/>
      <c r="Q6" s="172"/>
      <c r="R6" s="172"/>
      <c r="S6" s="172"/>
      <c r="T6" s="172"/>
      <c r="U6" s="172"/>
    </row>
    <row r="7" s="11" customFormat="1" ht="16" customHeight="1" spans="1:21">
      <c r="A7" s="173" t="s">
        <v>233</v>
      </c>
      <c r="B7" s="163"/>
      <c r="C7" s="169"/>
      <c r="D7" s="169"/>
      <c r="E7" s="169"/>
      <c r="F7" s="169"/>
      <c r="G7" s="170"/>
      <c r="H7" s="169"/>
      <c r="I7" s="171" t="str">
        <f t="shared" si="1"/>
        <v/>
      </c>
      <c r="J7" s="172"/>
      <c r="L7" s="172"/>
      <c r="M7" s="172"/>
      <c r="N7" s="172"/>
      <c r="O7" s="172"/>
      <c r="P7" s="172"/>
      <c r="Q7" s="172"/>
      <c r="R7" s="172"/>
      <c r="S7" s="172"/>
      <c r="T7" s="172"/>
      <c r="U7" s="172"/>
    </row>
    <row r="8" s="11" customFormat="1" ht="16" customHeight="1" spans="1:21">
      <c r="A8" s="173" t="s">
        <v>234</v>
      </c>
      <c r="B8" s="163"/>
      <c r="C8" s="169">
        <f t="shared" ref="C8:H8" si="2">SUM(C9:C12)</f>
        <v>0</v>
      </c>
      <c r="D8" s="169">
        <f t="shared" si="2"/>
        <v>0</v>
      </c>
      <c r="E8" s="169">
        <f t="shared" si="2"/>
        <v>0</v>
      </c>
      <c r="F8" s="169">
        <f t="shared" si="2"/>
        <v>0</v>
      </c>
      <c r="G8" s="170">
        <f t="shared" si="2"/>
        <v>0</v>
      </c>
      <c r="H8" s="169">
        <f t="shared" si="2"/>
        <v>129.652989</v>
      </c>
      <c r="I8" s="171">
        <f t="shared" si="1"/>
        <v>-1</v>
      </c>
      <c r="J8" s="172"/>
      <c r="L8" s="174">
        <f t="shared" ref="L8:U8" si="3">SUM(L9:L12)</f>
        <v>109.892989</v>
      </c>
      <c r="M8" s="174">
        <f t="shared" si="3"/>
        <v>0</v>
      </c>
      <c r="N8" s="174">
        <f t="shared" si="3"/>
        <v>0.6</v>
      </c>
      <c r="O8" s="174">
        <f t="shared" si="3"/>
        <v>0</v>
      </c>
      <c r="P8" s="174">
        <f t="shared" si="3"/>
        <v>2.62</v>
      </c>
      <c r="Q8" s="174">
        <f t="shared" si="3"/>
        <v>0</v>
      </c>
      <c r="R8" s="174">
        <f t="shared" si="3"/>
        <v>16.43</v>
      </c>
      <c r="S8" s="174">
        <f t="shared" si="3"/>
        <v>0</v>
      </c>
      <c r="T8" s="174">
        <f t="shared" si="3"/>
        <v>0.11</v>
      </c>
      <c r="U8" s="174">
        <f t="shared" si="3"/>
        <v>0</v>
      </c>
    </row>
    <row r="9" s="11" customFormat="1" ht="16" customHeight="1" spans="1:21">
      <c r="A9" s="175" t="s">
        <v>235</v>
      </c>
      <c r="B9" s="163"/>
      <c r="C9" s="169">
        <f t="shared" ref="C9:H9" si="4">SUM(C45:C51)</f>
        <v>0</v>
      </c>
      <c r="D9" s="169">
        <f t="shared" si="4"/>
        <v>0</v>
      </c>
      <c r="E9" s="169">
        <f t="shared" si="4"/>
        <v>0</v>
      </c>
      <c r="F9" s="169">
        <f t="shared" si="4"/>
        <v>0</v>
      </c>
      <c r="G9" s="170">
        <f t="shared" si="4"/>
        <v>0</v>
      </c>
      <c r="H9" s="169">
        <f t="shared" si="4"/>
        <v>0</v>
      </c>
      <c r="I9" s="171" t="str">
        <f t="shared" si="1"/>
        <v/>
      </c>
      <c r="J9" s="172"/>
      <c r="L9" s="174">
        <f t="shared" ref="L9:U9" si="5">SUM(L45:L51)</f>
        <v>0</v>
      </c>
      <c r="M9" s="174">
        <f t="shared" si="5"/>
        <v>0</v>
      </c>
      <c r="N9" s="174">
        <f t="shared" si="5"/>
        <v>0</v>
      </c>
      <c r="O9" s="174">
        <f t="shared" si="5"/>
        <v>0</v>
      </c>
      <c r="P9" s="174">
        <f t="shared" si="5"/>
        <v>0</v>
      </c>
      <c r="Q9" s="174">
        <f t="shared" si="5"/>
        <v>0</v>
      </c>
      <c r="R9" s="174">
        <f t="shared" si="5"/>
        <v>0</v>
      </c>
      <c r="S9" s="174">
        <f t="shared" si="5"/>
        <v>0</v>
      </c>
      <c r="T9" s="174">
        <f t="shared" si="5"/>
        <v>0</v>
      </c>
      <c r="U9" s="174">
        <f t="shared" si="5"/>
        <v>0</v>
      </c>
    </row>
    <row r="10" s="11" customFormat="1" ht="16" customHeight="1" spans="1:21">
      <c r="A10" s="175" t="s">
        <v>236</v>
      </c>
      <c r="B10" s="163"/>
      <c r="C10" s="169">
        <f t="shared" ref="C10:H10" si="6">SUM(C36:C44)</f>
        <v>0</v>
      </c>
      <c r="D10" s="169">
        <f t="shared" si="6"/>
        <v>0</v>
      </c>
      <c r="E10" s="169">
        <f t="shared" si="6"/>
        <v>0</v>
      </c>
      <c r="F10" s="169">
        <f t="shared" si="6"/>
        <v>0</v>
      </c>
      <c r="G10" s="170">
        <f t="shared" si="6"/>
        <v>0</v>
      </c>
      <c r="H10" s="169">
        <f t="shared" si="6"/>
        <v>59.142271</v>
      </c>
      <c r="I10" s="171">
        <f t="shared" si="1"/>
        <v>-1</v>
      </c>
      <c r="J10" s="172"/>
      <c r="L10" s="174">
        <f t="shared" ref="L10:U10" si="7">SUM(L36:L44)</f>
        <v>58.002271</v>
      </c>
      <c r="M10" s="174">
        <f t="shared" si="7"/>
        <v>0</v>
      </c>
      <c r="N10" s="174">
        <f t="shared" si="7"/>
        <v>0.06</v>
      </c>
      <c r="O10" s="174">
        <f t="shared" si="7"/>
        <v>0</v>
      </c>
      <c r="P10" s="174">
        <f t="shared" si="7"/>
        <v>0</v>
      </c>
      <c r="Q10" s="174">
        <f t="shared" si="7"/>
        <v>0</v>
      </c>
      <c r="R10" s="174">
        <f t="shared" si="7"/>
        <v>1.06</v>
      </c>
      <c r="S10" s="174">
        <f t="shared" si="7"/>
        <v>0</v>
      </c>
      <c r="T10" s="174">
        <f t="shared" si="7"/>
        <v>0.02</v>
      </c>
      <c r="U10" s="174">
        <f t="shared" si="7"/>
        <v>0</v>
      </c>
    </row>
    <row r="11" s="11" customFormat="1" ht="16" customHeight="1" spans="1:21">
      <c r="A11" s="175" t="s">
        <v>237</v>
      </c>
      <c r="B11" s="163"/>
      <c r="C11" s="169">
        <f t="shared" ref="C11:H11" si="8">SUM(C13:C22)</f>
        <v>0</v>
      </c>
      <c r="D11" s="169">
        <f t="shared" si="8"/>
        <v>0</v>
      </c>
      <c r="E11" s="169">
        <f t="shared" si="8"/>
        <v>0</v>
      </c>
      <c r="F11" s="169">
        <f t="shared" si="8"/>
        <v>0</v>
      </c>
      <c r="G11" s="170">
        <f t="shared" si="8"/>
        <v>0</v>
      </c>
      <c r="H11" s="169">
        <f t="shared" si="8"/>
        <v>26.146912</v>
      </c>
      <c r="I11" s="171">
        <f t="shared" si="1"/>
        <v>-1</v>
      </c>
      <c r="J11" s="172"/>
      <c r="L11" s="174">
        <f t="shared" ref="L11:U11" si="9">SUM(L13:L22)</f>
        <v>24.196912</v>
      </c>
      <c r="M11" s="174">
        <f t="shared" si="9"/>
        <v>0</v>
      </c>
      <c r="N11" s="174">
        <f t="shared" si="9"/>
        <v>0.29</v>
      </c>
      <c r="O11" s="174">
        <f t="shared" si="9"/>
        <v>0</v>
      </c>
      <c r="P11" s="174">
        <f t="shared" si="9"/>
        <v>0</v>
      </c>
      <c r="Q11" s="174">
        <f t="shared" si="9"/>
        <v>0</v>
      </c>
      <c r="R11" s="174">
        <f t="shared" si="9"/>
        <v>1.57</v>
      </c>
      <c r="S11" s="174">
        <f t="shared" si="9"/>
        <v>0</v>
      </c>
      <c r="T11" s="174">
        <f t="shared" si="9"/>
        <v>0.09</v>
      </c>
      <c r="U11" s="174">
        <f t="shared" si="9"/>
        <v>0</v>
      </c>
    </row>
    <row r="12" s="11" customFormat="1" ht="16" customHeight="1" spans="1:21">
      <c r="A12" s="175" t="s">
        <v>238</v>
      </c>
      <c r="B12" s="163"/>
      <c r="C12" s="169">
        <f t="shared" ref="C12:H12" si="10">SUM(C23:C35)</f>
        <v>0</v>
      </c>
      <c r="D12" s="169">
        <f t="shared" si="10"/>
        <v>0</v>
      </c>
      <c r="E12" s="169">
        <f t="shared" si="10"/>
        <v>0</v>
      </c>
      <c r="F12" s="169">
        <f t="shared" si="10"/>
        <v>0</v>
      </c>
      <c r="G12" s="170">
        <f t="shared" si="10"/>
        <v>0</v>
      </c>
      <c r="H12" s="169">
        <f t="shared" si="10"/>
        <v>44.363806</v>
      </c>
      <c r="I12" s="171">
        <f t="shared" si="1"/>
        <v>-1</v>
      </c>
      <c r="J12" s="172"/>
      <c r="L12" s="174">
        <f t="shared" ref="L12:U12" si="11">SUM(L23:L35)</f>
        <v>27.693806</v>
      </c>
      <c r="M12" s="174">
        <f t="shared" si="11"/>
        <v>0</v>
      </c>
      <c r="N12" s="174">
        <f t="shared" si="11"/>
        <v>0.25</v>
      </c>
      <c r="O12" s="174">
        <f t="shared" si="11"/>
        <v>0</v>
      </c>
      <c r="P12" s="174">
        <f t="shared" si="11"/>
        <v>2.62</v>
      </c>
      <c r="Q12" s="174">
        <f t="shared" si="11"/>
        <v>0</v>
      </c>
      <c r="R12" s="174">
        <f t="shared" si="11"/>
        <v>13.8</v>
      </c>
      <c r="S12" s="174">
        <f t="shared" si="11"/>
        <v>0</v>
      </c>
      <c r="T12" s="174">
        <f t="shared" si="11"/>
        <v>0</v>
      </c>
      <c r="U12" s="174">
        <f t="shared" si="11"/>
        <v>0</v>
      </c>
    </row>
    <row r="13" s="11" customFormat="1" ht="16" customHeight="1" spans="1:21">
      <c r="A13" s="176" t="s">
        <v>239</v>
      </c>
      <c r="B13" s="177" t="s">
        <v>195</v>
      </c>
      <c r="C13" s="178">
        <f>(M13+O13+Q13)/4</f>
        <v>0</v>
      </c>
      <c r="D13" s="178">
        <f>C13</f>
        <v>0</v>
      </c>
      <c r="E13" s="178">
        <f>D13</f>
        <v>0</v>
      </c>
      <c r="F13" s="178">
        <f>E13</f>
        <v>0</v>
      </c>
      <c r="G13" s="179">
        <f t="shared" ref="G13:G45" si="12">SUM(C13:F13)</f>
        <v>0</v>
      </c>
      <c r="H13" s="180">
        <f>L13+N13+P13+R13+T13</f>
        <v>1.489777</v>
      </c>
      <c r="I13" s="171">
        <f t="shared" si="1"/>
        <v>-1</v>
      </c>
      <c r="J13" s="172"/>
      <c r="L13" s="181">
        <v>1.429777</v>
      </c>
      <c r="M13" s="172"/>
      <c r="N13" s="181"/>
      <c r="O13" s="172"/>
      <c r="P13" s="181"/>
      <c r="Q13" s="172"/>
      <c r="R13" s="181">
        <v>0.06</v>
      </c>
      <c r="S13" s="183"/>
      <c r="T13" s="181"/>
      <c r="U13" s="183"/>
    </row>
    <row r="14" s="11" customFormat="1" ht="16" customHeight="1" spans="1:21">
      <c r="A14" s="163"/>
      <c r="B14" s="177" t="s">
        <v>31</v>
      </c>
      <c r="C14" s="178">
        <f t="shared" ref="C14:C44" si="13">(M14+O14+Q14)/4</f>
        <v>0</v>
      </c>
      <c r="D14" s="178">
        <f t="shared" ref="D14:D44" si="14">C14</f>
        <v>0</v>
      </c>
      <c r="E14" s="178">
        <f t="shared" ref="E14:E44" si="15">D14</f>
        <v>0</v>
      </c>
      <c r="F14" s="178">
        <f t="shared" ref="F14:F44" si="16">E14</f>
        <v>0</v>
      </c>
      <c r="G14" s="179">
        <f t="shared" si="12"/>
        <v>0</v>
      </c>
      <c r="H14" s="180">
        <f t="shared" ref="H14:H44" si="17">L14+N14+P14+R14+T14</f>
        <v>1.15886</v>
      </c>
      <c r="I14" s="171">
        <f t="shared" si="1"/>
        <v>-1</v>
      </c>
      <c r="J14" s="172"/>
      <c r="L14" s="181">
        <v>0.59886</v>
      </c>
      <c r="M14" s="172"/>
      <c r="N14" s="181">
        <v>0.07</v>
      </c>
      <c r="O14" s="172"/>
      <c r="P14" s="181"/>
      <c r="Q14" s="172"/>
      <c r="R14" s="181">
        <v>0.42</v>
      </c>
      <c r="S14" s="183"/>
      <c r="T14" s="181">
        <v>0.07</v>
      </c>
      <c r="U14" s="183"/>
    </row>
    <row r="15" s="11" customFormat="1" ht="16" customHeight="1" spans="1:21">
      <c r="A15" s="163"/>
      <c r="B15" s="177" t="s">
        <v>196</v>
      </c>
      <c r="C15" s="178">
        <f t="shared" si="13"/>
        <v>0</v>
      </c>
      <c r="D15" s="178">
        <f t="shared" si="14"/>
        <v>0</v>
      </c>
      <c r="E15" s="178">
        <f t="shared" si="15"/>
        <v>0</v>
      </c>
      <c r="F15" s="178">
        <f t="shared" si="16"/>
        <v>0</v>
      </c>
      <c r="G15" s="179">
        <f t="shared" si="12"/>
        <v>0</v>
      </c>
      <c r="H15" s="180">
        <f t="shared" si="17"/>
        <v>0.169472</v>
      </c>
      <c r="I15" s="171">
        <f t="shared" si="1"/>
        <v>-1</v>
      </c>
      <c r="J15" s="172"/>
      <c r="L15" s="181">
        <v>0.159472</v>
      </c>
      <c r="M15" s="172"/>
      <c r="N15" s="181"/>
      <c r="O15" s="172"/>
      <c r="P15" s="181"/>
      <c r="Q15" s="172"/>
      <c r="R15" s="181">
        <v>0.01</v>
      </c>
      <c r="S15" s="183"/>
      <c r="T15" s="181"/>
      <c r="U15" s="183"/>
    </row>
    <row r="16" s="11" customFormat="1" ht="16" customHeight="1" spans="1:21">
      <c r="A16" s="163"/>
      <c r="B16" s="177" t="s">
        <v>240</v>
      </c>
      <c r="C16" s="178">
        <f t="shared" si="13"/>
        <v>0</v>
      </c>
      <c r="D16" s="178">
        <f t="shared" si="14"/>
        <v>0</v>
      </c>
      <c r="E16" s="178">
        <f t="shared" si="15"/>
        <v>0</v>
      </c>
      <c r="F16" s="178">
        <f t="shared" si="16"/>
        <v>0</v>
      </c>
      <c r="G16" s="179">
        <f t="shared" si="12"/>
        <v>0</v>
      </c>
      <c r="H16" s="180">
        <f t="shared" si="17"/>
        <v>16.708445</v>
      </c>
      <c r="I16" s="171">
        <f t="shared" si="1"/>
        <v>-1</v>
      </c>
      <c r="J16" s="172" t="s">
        <v>344</v>
      </c>
      <c r="L16" s="181">
        <v>15.408445</v>
      </c>
      <c r="M16" s="172"/>
      <c r="N16" s="181">
        <v>0.22</v>
      </c>
      <c r="O16" s="172"/>
      <c r="P16" s="181"/>
      <c r="Q16" s="172"/>
      <c r="R16" s="181">
        <v>1.08</v>
      </c>
      <c r="S16" s="183"/>
      <c r="T16" s="181"/>
      <c r="U16" s="183"/>
    </row>
    <row r="17" s="11" customFormat="1" ht="16" customHeight="1" spans="1:21">
      <c r="A17" s="163"/>
      <c r="B17" s="177" t="s">
        <v>241</v>
      </c>
      <c r="C17" s="178">
        <f t="shared" si="13"/>
        <v>0</v>
      </c>
      <c r="D17" s="178">
        <f t="shared" si="14"/>
        <v>0</v>
      </c>
      <c r="E17" s="178">
        <f t="shared" si="15"/>
        <v>0</v>
      </c>
      <c r="F17" s="178">
        <f t="shared" si="16"/>
        <v>0</v>
      </c>
      <c r="G17" s="179">
        <f t="shared" si="12"/>
        <v>0</v>
      </c>
      <c r="H17" s="180">
        <f t="shared" si="17"/>
        <v>0</v>
      </c>
      <c r="I17" s="171" t="str">
        <f t="shared" si="1"/>
        <v/>
      </c>
      <c r="J17" s="172"/>
      <c r="L17" s="172"/>
      <c r="M17" s="172"/>
      <c r="N17" s="172"/>
      <c r="O17" s="172"/>
      <c r="P17" s="172"/>
      <c r="Q17" s="172"/>
      <c r="R17" s="172"/>
      <c r="S17" s="183"/>
      <c r="T17" s="172"/>
      <c r="U17" s="183"/>
    </row>
    <row r="18" s="11" customFormat="1" ht="16" customHeight="1" spans="1:21">
      <c r="A18" s="163"/>
      <c r="B18" s="177" t="s">
        <v>242</v>
      </c>
      <c r="C18" s="178">
        <f t="shared" si="13"/>
        <v>0</v>
      </c>
      <c r="D18" s="178">
        <f t="shared" si="14"/>
        <v>0</v>
      </c>
      <c r="E18" s="178">
        <f t="shared" si="15"/>
        <v>0</v>
      </c>
      <c r="F18" s="178">
        <f t="shared" si="16"/>
        <v>0</v>
      </c>
      <c r="G18" s="179">
        <f t="shared" si="12"/>
        <v>0</v>
      </c>
      <c r="H18" s="180">
        <f t="shared" si="17"/>
        <v>2.742189</v>
      </c>
      <c r="I18" s="171">
        <f t="shared" si="1"/>
        <v>-1</v>
      </c>
      <c r="J18" s="172" t="s">
        <v>344</v>
      </c>
      <c r="L18" s="181">
        <v>2.742189</v>
      </c>
      <c r="M18" s="172"/>
      <c r="N18" s="172"/>
      <c r="O18" s="172"/>
      <c r="P18" s="172"/>
      <c r="Q18" s="172"/>
      <c r="R18" s="172"/>
      <c r="S18" s="183"/>
      <c r="T18" s="172"/>
      <c r="U18" s="183"/>
    </row>
    <row r="19" s="11" customFormat="1" ht="16" customHeight="1" spans="1:21">
      <c r="A19" s="163"/>
      <c r="B19" s="177" t="s">
        <v>243</v>
      </c>
      <c r="C19" s="178">
        <f t="shared" si="13"/>
        <v>0</v>
      </c>
      <c r="D19" s="178">
        <f t="shared" si="14"/>
        <v>0</v>
      </c>
      <c r="E19" s="178">
        <f t="shared" si="15"/>
        <v>0</v>
      </c>
      <c r="F19" s="178">
        <f t="shared" si="16"/>
        <v>0</v>
      </c>
      <c r="G19" s="179">
        <f t="shared" si="12"/>
        <v>0</v>
      </c>
      <c r="H19" s="180">
        <f t="shared" si="17"/>
        <v>2.818129</v>
      </c>
      <c r="I19" s="171">
        <f t="shared" si="1"/>
        <v>-1</v>
      </c>
      <c r="J19" s="172" t="s">
        <v>344</v>
      </c>
      <c r="L19" s="181">
        <v>2.818129</v>
      </c>
      <c r="M19" s="172"/>
      <c r="N19" s="172"/>
      <c r="O19" s="172"/>
      <c r="P19" s="172"/>
      <c r="Q19" s="172"/>
      <c r="R19" s="172"/>
      <c r="S19" s="183"/>
      <c r="T19" s="172"/>
      <c r="U19" s="183"/>
    </row>
    <row r="20" s="11" customFormat="1" ht="16" customHeight="1" spans="1:21">
      <c r="A20" s="163"/>
      <c r="B20" s="177" t="s">
        <v>200</v>
      </c>
      <c r="C20" s="178">
        <f t="shared" si="13"/>
        <v>0</v>
      </c>
      <c r="D20" s="178">
        <f t="shared" si="14"/>
        <v>0</v>
      </c>
      <c r="E20" s="178">
        <f t="shared" si="15"/>
        <v>0</v>
      </c>
      <c r="F20" s="178">
        <f t="shared" si="16"/>
        <v>0</v>
      </c>
      <c r="G20" s="179">
        <f t="shared" si="12"/>
        <v>0</v>
      </c>
      <c r="H20" s="180">
        <f t="shared" si="17"/>
        <v>1.06004</v>
      </c>
      <c r="I20" s="171">
        <f t="shared" si="1"/>
        <v>-1</v>
      </c>
      <c r="J20" s="172"/>
      <c r="L20" s="181">
        <v>1.04004</v>
      </c>
      <c r="M20" s="172"/>
      <c r="N20" s="181"/>
      <c r="O20" s="172"/>
      <c r="P20" s="181"/>
      <c r="Q20" s="172"/>
      <c r="R20" s="181"/>
      <c r="S20" s="183"/>
      <c r="T20" s="181">
        <v>0.02</v>
      </c>
      <c r="U20" s="183"/>
    </row>
    <row r="21" s="11" customFormat="1" ht="16" customHeight="1" spans="1:21">
      <c r="A21" s="163"/>
      <c r="B21" s="177" t="s">
        <v>244</v>
      </c>
      <c r="C21" s="178">
        <f t="shared" si="13"/>
        <v>0</v>
      </c>
      <c r="D21" s="178">
        <f t="shared" si="14"/>
        <v>0</v>
      </c>
      <c r="E21" s="178">
        <f t="shared" si="15"/>
        <v>0</v>
      </c>
      <c r="F21" s="178">
        <f t="shared" si="16"/>
        <v>0</v>
      </c>
      <c r="G21" s="179">
        <f t="shared" si="12"/>
        <v>0</v>
      </c>
      <c r="H21" s="180">
        <f t="shared" si="17"/>
        <v>0</v>
      </c>
      <c r="I21" s="171" t="str">
        <f t="shared" si="1"/>
        <v/>
      </c>
      <c r="J21" s="172"/>
      <c r="L21" s="184"/>
      <c r="M21" s="184"/>
      <c r="N21" s="184"/>
      <c r="O21" s="184"/>
      <c r="P21" s="184"/>
      <c r="Q21" s="184"/>
      <c r="R21" s="184"/>
      <c r="S21" s="184"/>
      <c r="T21" s="184"/>
      <c r="U21" s="184"/>
    </row>
    <row r="22" s="11" customFormat="1" ht="16" customHeight="1" spans="1:21">
      <c r="A22" s="163"/>
      <c r="B22" s="177" t="s">
        <v>245</v>
      </c>
      <c r="C22" s="178">
        <f t="shared" si="13"/>
        <v>0</v>
      </c>
      <c r="D22" s="178">
        <f t="shared" si="14"/>
        <v>0</v>
      </c>
      <c r="E22" s="178">
        <f t="shared" si="15"/>
        <v>0</v>
      </c>
      <c r="F22" s="178">
        <f t="shared" si="16"/>
        <v>0</v>
      </c>
      <c r="G22" s="179">
        <f t="shared" si="12"/>
        <v>0</v>
      </c>
      <c r="H22" s="180">
        <f t="shared" si="17"/>
        <v>0</v>
      </c>
      <c r="I22" s="171" t="str">
        <f t="shared" si="1"/>
        <v/>
      </c>
      <c r="J22" s="172"/>
      <c r="L22" s="184"/>
      <c r="M22" s="184"/>
      <c r="N22" s="184"/>
      <c r="O22" s="184"/>
      <c r="P22" s="184"/>
      <c r="Q22" s="184"/>
      <c r="R22" s="184"/>
      <c r="S22" s="184"/>
      <c r="T22" s="184"/>
      <c r="U22" s="184"/>
    </row>
    <row r="23" s="11" customFormat="1" ht="16" customHeight="1" spans="1:21">
      <c r="A23" s="176" t="s">
        <v>246</v>
      </c>
      <c r="B23" s="177" t="s">
        <v>247</v>
      </c>
      <c r="C23" s="178">
        <f t="shared" si="13"/>
        <v>0</v>
      </c>
      <c r="D23" s="178">
        <f t="shared" si="14"/>
        <v>0</v>
      </c>
      <c r="E23" s="178">
        <f t="shared" si="15"/>
        <v>0</v>
      </c>
      <c r="F23" s="178">
        <f t="shared" si="16"/>
        <v>0</v>
      </c>
      <c r="G23" s="179">
        <f t="shared" si="12"/>
        <v>0</v>
      </c>
      <c r="H23" s="180">
        <f t="shared" si="17"/>
        <v>0</v>
      </c>
      <c r="I23" s="171" t="str">
        <f t="shared" si="1"/>
        <v/>
      </c>
      <c r="J23" s="172" t="s">
        <v>344</v>
      </c>
      <c r="L23" s="172"/>
      <c r="M23" s="172"/>
      <c r="N23" s="172"/>
      <c r="O23" s="172"/>
      <c r="P23" s="172"/>
      <c r="Q23" s="172"/>
      <c r="R23" s="172"/>
      <c r="S23" s="183"/>
      <c r="T23" s="172"/>
      <c r="U23" s="183"/>
    </row>
    <row r="24" s="11" customFormat="1" ht="16" customHeight="1" spans="1:21">
      <c r="A24" s="163"/>
      <c r="B24" s="177" t="s">
        <v>248</v>
      </c>
      <c r="C24" s="178">
        <f t="shared" si="13"/>
        <v>0</v>
      </c>
      <c r="D24" s="178">
        <f t="shared" si="14"/>
        <v>0</v>
      </c>
      <c r="E24" s="178">
        <f t="shared" si="15"/>
        <v>0</v>
      </c>
      <c r="F24" s="178">
        <f t="shared" si="16"/>
        <v>0</v>
      </c>
      <c r="G24" s="179">
        <f t="shared" si="12"/>
        <v>0</v>
      </c>
      <c r="H24" s="180">
        <f t="shared" si="17"/>
        <v>38.517036</v>
      </c>
      <c r="I24" s="171">
        <f t="shared" si="1"/>
        <v>-1</v>
      </c>
      <c r="J24" s="172" t="s">
        <v>344</v>
      </c>
      <c r="L24" s="181">
        <v>25.407036</v>
      </c>
      <c r="M24" s="172"/>
      <c r="N24" s="172"/>
      <c r="O24" s="172"/>
      <c r="P24" s="174">
        <f>0.5+2.12</f>
        <v>2.62</v>
      </c>
      <c r="Q24" s="172"/>
      <c r="R24" s="172">
        <v>10.49</v>
      </c>
      <c r="S24" s="183"/>
      <c r="T24" s="172"/>
      <c r="U24" s="183"/>
    </row>
    <row r="25" s="11" customFormat="1" ht="16" customHeight="1" spans="1:21">
      <c r="A25" s="163"/>
      <c r="B25" s="177" t="s">
        <v>249</v>
      </c>
      <c r="C25" s="178">
        <f t="shared" si="13"/>
        <v>0</v>
      </c>
      <c r="D25" s="178">
        <f t="shared" si="14"/>
        <v>0</v>
      </c>
      <c r="E25" s="178">
        <f t="shared" si="15"/>
        <v>0</v>
      </c>
      <c r="F25" s="178">
        <f t="shared" si="16"/>
        <v>0</v>
      </c>
      <c r="G25" s="179">
        <f t="shared" si="12"/>
        <v>0</v>
      </c>
      <c r="H25" s="180">
        <f t="shared" si="17"/>
        <v>0.825</v>
      </c>
      <c r="I25" s="171">
        <f t="shared" si="1"/>
        <v>-1</v>
      </c>
      <c r="J25" s="172"/>
      <c r="L25" s="181">
        <v>0.825</v>
      </c>
      <c r="M25" s="172"/>
      <c r="N25" s="172"/>
      <c r="O25" s="172"/>
      <c r="P25" s="172"/>
      <c r="Q25" s="172"/>
      <c r="R25" s="172"/>
      <c r="S25" s="183"/>
      <c r="T25" s="172"/>
      <c r="U25" s="183"/>
    </row>
    <row r="26" s="11" customFormat="1" ht="16" customHeight="1" spans="1:21">
      <c r="A26" s="176" t="s">
        <v>250</v>
      </c>
      <c r="B26" s="177" t="s">
        <v>33</v>
      </c>
      <c r="C26" s="178">
        <f t="shared" si="13"/>
        <v>0</v>
      </c>
      <c r="D26" s="178">
        <f t="shared" si="14"/>
        <v>0</v>
      </c>
      <c r="E26" s="178">
        <f t="shared" si="15"/>
        <v>0</v>
      </c>
      <c r="F26" s="178">
        <f t="shared" si="16"/>
        <v>0</v>
      </c>
      <c r="G26" s="179">
        <f t="shared" si="12"/>
        <v>0</v>
      </c>
      <c r="H26" s="180">
        <f t="shared" si="17"/>
        <v>5.02177</v>
      </c>
      <c r="I26" s="171">
        <f t="shared" si="1"/>
        <v>-1</v>
      </c>
      <c r="J26" s="172" t="s">
        <v>344</v>
      </c>
      <c r="L26" s="181">
        <v>1.46177</v>
      </c>
      <c r="M26" s="172"/>
      <c r="N26" s="181">
        <f>0.11+0.14</f>
        <v>0.25</v>
      </c>
      <c r="O26" s="172"/>
      <c r="P26" s="181"/>
      <c r="Q26" s="172"/>
      <c r="R26" s="181">
        <v>3.31</v>
      </c>
      <c r="S26" s="183"/>
      <c r="T26" s="181"/>
      <c r="U26" s="183"/>
    </row>
    <row r="27" s="11" customFormat="1" ht="16" customHeight="1" spans="1:21">
      <c r="A27" s="163"/>
      <c r="B27" s="177" t="s">
        <v>32</v>
      </c>
      <c r="C27" s="178">
        <f t="shared" si="13"/>
        <v>0</v>
      </c>
      <c r="D27" s="178">
        <f t="shared" si="14"/>
        <v>0</v>
      </c>
      <c r="E27" s="178">
        <f t="shared" si="15"/>
        <v>0</v>
      </c>
      <c r="F27" s="178">
        <f t="shared" si="16"/>
        <v>0</v>
      </c>
      <c r="G27" s="179">
        <f t="shared" si="12"/>
        <v>0</v>
      </c>
      <c r="H27" s="180">
        <f t="shared" si="17"/>
        <v>0</v>
      </c>
      <c r="I27" s="171" t="str">
        <f t="shared" si="1"/>
        <v/>
      </c>
      <c r="J27" s="172" t="s">
        <v>344</v>
      </c>
      <c r="L27" s="184"/>
      <c r="M27" s="184"/>
      <c r="N27" s="184"/>
      <c r="O27" s="184"/>
      <c r="P27" s="184"/>
      <c r="Q27" s="184"/>
      <c r="R27" s="184"/>
      <c r="S27" s="184"/>
      <c r="T27" s="184"/>
      <c r="U27" s="184"/>
    </row>
    <row r="28" s="11" customFormat="1" ht="16" customHeight="1" spans="1:21">
      <c r="A28" s="163"/>
      <c r="B28" s="177" t="s">
        <v>251</v>
      </c>
      <c r="C28" s="178">
        <f t="shared" si="13"/>
        <v>0</v>
      </c>
      <c r="D28" s="178">
        <f t="shared" si="14"/>
        <v>0</v>
      </c>
      <c r="E28" s="178">
        <f t="shared" si="15"/>
        <v>0</v>
      </c>
      <c r="F28" s="178">
        <f t="shared" si="16"/>
        <v>0</v>
      </c>
      <c r="G28" s="179">
        <f t="shared" si="12"/>
        <v>0</v>
      </c>
      <c r="H28" s="180">
        <f t="shared" si="17"/>
        <v>0</v>
      </c>
      <c r="I28" s="171" t="str">
        <f t="shared" si="1"/>
        <v/>
      </c>
      <c r="J28" s="172"/>
      <c r="L28" s="184"/>
      <c r="M28" s="184"/>
      <c r="N28" s="184"/>
      <c r="O28" s="184"/>
      <c r="P28" s="184"/>
      <c r="Q28" s="184"/>
      <c r="R28" s="184"/>
      <c r="S28" s="184"/>
      <c r="T28" s="184"/>
      <c r="U28" s="184"/>
    </row>
    <row r="29" s="11" customFormat="1" ht="16" customHeight="1" spans="1:21">
      <c r="A29" s="163"/>
      <c r="B29" s="177" t="s">
        <v>252</v>
      </c>
      <c r="C29" s="178">
        <f t="shared" si="13"/>
        <v>0</v>
      </c>
      <c r="D29" s="178">
        <f t="shared" si="14"/>
        <v>0</v>
      </c>
      <c r="E29" s="178">
        <f t="shared" si="15"/>
        <v>0</v>
      </c>
      <c r="F29" s="178">
        <f t="shared" si="16"/>
        <v>0</v>
      </c>
      <c r="G29" s="179">
        <f t="shared" si="12"/>
        <v>0</v>
      </c>
      <c r="H29" s="180">
        <f t="shared" si="17"/>
        <v>0</v>
      </c>
      <c r="I29" s="171" t="str">
        <f t="shared" si="1"/>
        <v/>
      </c>
      <c r="J29" s="172"/>
      <c r="L29" s="184"/>
      <c r="M29" s="184"/>
      <c r="N29" s="184"/>
      <c r="O29" s="184"/>
      <c r="P29" s="184"/>
      <c r="Q29" s="184"/>
      <c r="R29" s="184"/>
      <c r="S29" s="184"/>
      <c r="T29" s="184"/>
      <c r="U29" s="184"/>
    </row>
    <row r="30" s="11" customFormat="1" ht="16" customHeight="1" spans="1:21">
      <c r="A30" s="163"/>
      <c r="B30" s="177" t="s">
        <v>253</v>
      </c>
      <c r="C30" s="178">
        <f t="shared" si="13"/>
        <v>0</v>
      </c>
      <c r="D30" s="178">
        <f t="shared" si="14"/>
        <v>0</v>
      </c>
      <c r="E30" s="178">
        <f t="shared" si="15"/>
        <v>0</v>
      </c>
      <c r="F30" s="178">
        <f t="shared" si="16"/>
        <v>0</v>
      </c>
      <c r="G30" s="179">
        <f t="shared" si="12"/>
        <v>0</v>
      </c>
      <c r="H30" s="180">
        <f t="shared" si="17"/>
        <v>0</v>
      </c>
      <c r="I30" s="171" t="str">
        <f t="shared" si="1"/>
        <v/>
      </c>
      <c r="J30" s="172"/>
      <c r="L30" s="184"/>
      <c r="M30" s="184"/>
      <c r="N30" s="184"/>
      <c r="O30" s="184"/>
      <c r="P30" s="184"/>
      <c r="Q30" s="184"/>
      <c r="R30" s="184"/>
      <c r="S30" s="184"/>
      <c r="T30" s="184"/>
      <c r="U30" s="184"/>
    </row>
    <row r="31" s="11" customFormat="1" ht="16" customHeight="1" spans="1:21">
      <c r="A31" s="163"/>
      <c r="B31" s="177" t="s">
        <v>254</v>
      </c>
      <c r="C31" s="178">
        <f t="shared" si="13"/>
        <v>0</v>
      </c>
      <c r="D31" s="178">
        <f t="shared" si="14"/>
        <v>0</v>
      </c>
      <c r="E31" s="178">
        <f t="shared" si="15"/>
        <v>0</v>
      </c>
      <c r="F31" s="178">
        <f t="shared" si="16"/>
        <v>0</v>
      </c>
      <c r="G31" s="179">
        <f t="shared" si="12"/>
        <v>0</v>
      </c>
      <c r="H31" s="180">
        <f t="shared" si="17"/>
        <v>0</v>
      </c>
      <c r="I31" s="171"/>
      <c r="J31" s="172" t="s">
        <v>345</v>
      </c>
      <c r="L31" s="184"/>
      <c r="M31" s="184"/>
      <c r="N31" s="184"/>
      <c r="O31" s="184"/>
      <c r="P31" s="184"/>
      <c r="Q31" s="184"/>
      <c r="R31" s="184"/>
      <c r="S31" s="184"/>
      <c r="T31" s="184"/>
      <c r="U31" s="184"/>
    </row>
    <row r="32" s="11" customFormat="1" ht="16" customHeight="1" spans="1:21">
      <c r="A32" s="163"/>
      <c r="B32" s="177" t="s">
        <v>255</v>
      </c>
      <c r="C32" s="178">
        <f t="shared" si="13"/>
        <v>0</v>
      </c>
      <c r="D32" s="178">
        <f t="shared" si="14"/>
        <v>0</v>
      </c>
      <c r="E32" s="178">
        <f t="shared" si="15"/>
        <v>0</v>
      </c>
      <c r="F32" s="178">
        <f t="shared" si="16"/>
        <v>0</v>
      </c>
      <c r="G32" s="179">
        <f t="shared" si="12"/>
        <v>0</v>
      </c>
      <c r="H32" s="180">
        <f t="shared" si="17"/>
        <v>0</v>
      </c>
      <c r="I32" s="171" t="str">
        <f t="shared" ref="I32:I42" si="18">IFERROR(G32/H32-1,"")</f>
        <v/>
      </c>
      <c r="J32" s="172"/>
      <c r="L32" s="184"/>
      <c r="M32" s="184"/>
      <c r="N32" s="184"/>
      <c r="O32" s="184"/>
      <c r="P32" s="184"/>
      <c r="Q32" s="184"/>
      <c r="R32" s="184"/>
      <c r="S32" s="184"/>
      <c r="T32" s="184"/>
      <c r="U32" s="184"/>
    </row>
    <row r="33" s="11" customFormat="1" ht="16" customHeight="1" spans="1:21">
      <c r="A33" s="176" t="s">
        <v>256</v>
      </c>
      <c r="B33" s="177" t="s">
        <v>257</v>
      </c>
      <c r="C33" s="178">
        <f t="shared" si="13"/>
        <v>0</v>
      </c>
      <c r="D33" s="178">
        <f t="shared" si="14"/>
        <v>0</v>
      </c>
      <c r="E33" s="178">
        <f t="shared" si="15"/>
        <v>0</v>
      </c>
      <c r="F33" s="178">
        <f t="shared" si="16"/>
        <v>0</v>
      </c>
      <c r="G33" s="179">
        <f t="shared" si="12"/>
        <v>0</v>
      </c>
      <c r="H33" s="180">
        <f t="shared" si="17"/>
        <v>0</v>
      </c>
      <c r="I33" s="171" t="str">
        <f t="shared" si="18"/>
        <v/>
      </c>
      <c r="J33" s="172"/>
      <c r="L33" s="184"/>
      <c r="M33" s="184"/>
      <c r="N33" s="184"/>
      <c r="O33" s="184"/>
      <c r="P33" s="184"/>
      <c r="Q33" s="184"/>
      <c r="R33" s="184"/>
      <c r="S33" s="184"/>
      <c r="T33" s="184"/>
      <c r="U33" s="184"/>
    </row>
    <row r="34" s="11" customFormat="1" ht="16" customHeight="1" spans="1:21">
      <c r="A34" s="163"/>
      <c r="B34" s="177" t="s">
        <v>258</v>
      </c>
      <c r="C34" s="178">
        <f t="shared" si="13"/>
        <v>0</v>
      </c>
      <c r="D34" s="178">
        <f t="shared" si="14"/>
        <v>0</v>
      </c>
      <c r="E34" s="178">
        <f t="shared" si="15"/>
        <v>0</v>
      </c>
      <c r="F34" s="178">
        <f t="shared" si="16"/>
        <v>0</v>
      </c>
      <c r="G34" s="179">
        <f t="shared" si="12"/>
        <v>0</v>
      </c>
      <c r="H34" s="180">
        <f t="shared" si="17"/>
        <v>0</v>
      </c>
      <c r="I34" s="171" t="str">
        <f t="shared" si="18"/>
        <v/>
      </c>
      <c r="J34" s="172"/>
      <c r="L34" s="184"/>
      <c r="M34" s="184"/>
      <c r="N34" s="184"/>
      <c r="O34" s="184"/>
      <c r="P34" s="184"/>
      <c r="Q34" s="184"/>
      <c r="R34" s="184"/>
      <c r="S34" s="184"/>
      <c r="T34" s="184"/>
      <c r="U34" s="184"/>
    </row>
    <row r="35" s="11" customFormat="1" ht="16" customHeight="1" spans="1:21">
      <c r="A35" s="163"/>
      <c r="B35" s="177" t="s">
        <v>259</v>
      </c>
      <c r="C35" s="178">
        <f t="shared" si="13"/>
        <v>0</v>
      </c>
      <c r="D35" s="178">
        <f t="shared" si="14"/>
        <v>0</v>
      </c>
      <c r="E35" s="178">
        <f t="shared" si="15"/>
        <v>0</v>
      </c>
      <c r="F35" s="178">
        <f t="shared" si="16"/>
        <v>0</v>
      </c>
      <c r="G35" s="179">
        <f t="shared" si="12"/>
        <v>0</v>
      </c>
      <c r="H35" s="180">
        <f t="shared" si="17"/>
        <v>0</v>
      </c>
      <c r="I35" s="171" t="str">
        <f t="shared" si="18"/>
        <v/>
      </c>
      <c r="J35" s="172"/>
      <c r="L35" s="181"/>
      <c r="M35" s="172"/>
      <c r="N35" s="172"/>
      <c r="O35" s="172"/>
      <c r="P35" s="172"/>
      <c r="Q35" s="172"/>
      <c r="R35" s="172"/>
      <c r="S35" s="183"/>
      <c r="T35" s="172"/>
      <c r="U35" s="183"/>
    </row>
    <row r="36" s="11" customFormat="1" ht="16" customHeight="1" spans="1:21">
      <c r="A36" s="176" t="s">
        <v>39</v>
      </c>
      <c r="B36" s="177" t="s">
        <v>260</v>
      </c>
      <c r="C36" s="178">
        <f t="shared" si="13"/>
        <v>0</v>
      </c>
      <c r="D36" s="178">
        <f t="shared" si="14"/>
        <v>0</v>
      </c>
      <c r="E36" s="178">
        <f t="shared" si="15"/>
        <v>0</v>
      </c>
      <c r="F36" s="178">
        <f t="shared" si="16"/>
        <v>0</v>
      </c>
      <c r="G36" s="179">
        <f t="shared" si="12"/>
        <v>0</v>
      </c>
      <c r="H36" s="180">
        <f t="shared" si="17"/>
        <v>18.007176</v>
      </c>
      <c r="I36" s="171">
        <f t="shared" si="18"/>
        <v>-1</v>
      </c>
      <c r="J36" s="172"/>
      <c r="L36" s="181">
        <v>18.007176</v>
      </c>
      <c r="M36" s="172"/>
      <c r="N36" s="172"/>
      <c r="O36" s="172"/>
      <c r="P36" s="172"/>
      <c r="Q36" s="172"/>
      <c r="R36" s="183"/>
      <c r="S36" s="183"/>
      <c r="T36" s="183"/>
      <c r="U36" s="183"/>
    </row>
    <row r="37" s="11" customFormat="1" ht="16" customHeight="1" spans="1:21">
      <c r="A37" s="163"/>
      <c r="B37" s="177" t="s">
        <v>261</v>
      </c>
      <c r="C37" s="178">
        <f t="shared" si="13"/>
        <v>0</v>
      </c>
      <c r="D37" s="178">
        <f t="shared" si="14"/>
        <v>0</v>
      </c>
      <c r="E37" s="178">
        <f t="shared" si="15"/>
        <v>0</v>
      </c>
      <c r="F37" s="178">
        <f t="shared" si="16"/>
        <v>0</v>
      </c>
      <c r="G37" s="179">
        <f t="shared" si="12"/>
        <v>0</v>
      </c>
      <c r="H37" s="180">
        <f t="shared" si="17"/>
        <v>10.4</v>
      </c>
      <c r="I37" s="171">
        <f t="shared" si="18"/>
        <v>-1</v>
      </c>
      <c r="J37" s="172"/>
      <c r="L37" s="174">
        <v>10.4</v>
      </c>
      <c r="M37" s="172"/>
      <c r="N37" s="172"/>
      <c r="O37" s="172"/>
      <c r="P37" s="172"/>
      <c r="Q37" s="172"/>
      <c r="R37" s="183"/>
      <c r="S37" s="183"/>
      <c r="T37" s="183"/>
      <c r="U37" s="183"/>
    </row>
    <row r="38" s="11" customFormat="1" ht="16" customHeight="1" spans="1:21">
      <c r="A38" s="163"/>
      <c r="B38" s="177" t="s">
        <v>262</v>
      </c>
      <c r="C38" s="178">
        <f t="shared" si="13"/>
        <v>0</v>
      </c>
      <c r="D38" s="178">
        <f t="shared" si="14"/>
        <v>0</v>
      </c>
      <c r="E38" s="178">
        <f t="shared" si="15"/>
        <v>0</v>
      </c>
      <c r="F38" s="178">
        <f t="shared" si="16"/>
        <v>0</v>
      </c>
      <c r="G38" s="179">
        <f t="shared" si="12"/>
        <v>0</v>
      </c>
      <c r="H38" s="180">
        <f t="shared" si="17"/>
        <v>1.934846</v>
      </c>
      <c r="I38" s="171">
        <f t="shared" si="18"/>
        <v>-1</v>
      </c>
      <c r="J38" s="181" t="s">
        <v>345</v>
      </c>
      <c r="L38" s="181">
        <v>0.794846</v>
      </c>
      <c r="M38" s="172"/>
      <c r="N38" s="172">
        <v>0.06</v>
      </c>
      <c r="O38" s="172"/>
      <c r="P38" s="172"/>
      <c r="Q38" s="172"/>
      <c r="R38" s="183">
        <v>1.06</v>
      </c>
      <c r="S38" s="183"/>
      <c r="T38" s="183">
        <v>0.02</v>
      </c>
      <c r="U38" s="183"/>
    </row>
    <row r="39" s="11" customFormat="1" ht="16" customHeight="1" spans="1:21">
      <c r="A39" s="163"/>
      <c r="B39" s="177" t="s">
        <v>19</v>
      </c>
      <c r="C39" s="178">
        <f t="shared" si="13"/>
        <v>0</v>
      </c>
      <c r="D39" s="178">
        <f t="shared" si="14"/>
        <v>0</v>
      </c>
      <c r="E39" s="178">
        <f t="shared" si="15"/>
        <v>0</v>
      </c>
      <c r="F39" s="178">
        <f t="shared" si="16"/>
        <v>0</v>
      </c>
      <c r="G39" s="179">
        <f t="shared" si="12"/>
        <v>0</v>
      </c>
      <c r="H39" s="180">
        <f t="shared" si="17"/>
        <v>0.014399</v>
      </c>
      <c r="I39" s="171">
        <f t="shared" si="18"/>
        <v>-1</v>
      </c>
      <c r="J39" s="172"/>
      <c r="L39" s="181">
        <v>0.014399</v>
      </c>
      <c r="M39" s="172"/>
      <c r="N39" s="172"/>
      <c r="O39" s="172"/>
      <c r="P39" s="172"/>
      <c r="Q39" s="172"/>
      <c r="R39" s="183"/>
      <c r="S39" s="183"/>
      <c r="T39" s="183"/>
      <c r="U39" s="183"/>
    </row>
    <row r="40" s="11" customFormat="1" ht="16" customHeight="1" spans="1:21">
      <c r="A40" s="163"/>
      <c r="B40" s="177" t="s">
        <v>263</v>
      </c>
      <c r="C40" s="178">
        <f t="shared" si="13"/>
        <v>0</v>
      </c>
      <c r="D40" s="178">
        <f t="shared" si="14"/>
        <v>0</v>
      </c>
      <c r="E40" s="178">
        <f t="shared" si="15"/>
        <v>0</v>
      </c>
      <c r="F40" s="178">
        <f t="shared" si="16"/>
        <v>0</v>
      </c>
      <c r="G40" s="179">
        <f t="shared" si="12"/>
        <v>0</v>
      </c>
      <c r="H40" s="180">
        <f t="shared" si="17"/>
        <v>0</v>
      </c>
      <c r="I40" s="171" t="str">
        <f t="shared" si="18"/>
        <v/>
      </c>
      <c r="J40" s="172"/>
      <c r="L40" s="172"/>
      <c r="M40" s="172"/>
      <c r="N40" s="172"/>
      <c r="O40" s="172"/>
      <c r="P40" s="172"/>
      <c r="Q40" s="172"/>
      <c r="R40" s="183"/>
      <c r="S40" s="183"/>
      <c r="T40" s="183"/>
      <c r="U40" s="183"/>
    </row>
    <row r="41" s="11" customFormat="1" ht="16" customHeight="1" spans="1:21">
      <c r="A41" s="163"/>
      <c r="B41" s="177" t="s">
        <v>264</v>
      </c>
      <c r="C41" s="178">
        <f t="shared" si="13"/>
        <v>0</v>
      </c>
      <c r="D41" s="178">
        <f t="shared" si="14"/>
        <v>0</v>
      </c>
      <c r="E41" s="178">
        <f t="shared" si="15"/>
        <v>0</v>
      </c>
      <c r="F41" s="178">
        <f t="shared" si="16"/>
        <v>0</v>
      </c>
      <c r="G41" s="179">
        <f t="shared" si="12"/>
        <v>0</v>
      </c>
      <c r="H41" s="180">
        <f t="shared" si="17"/>
        <v>0.05</v>
      </c>
      <c r="I41" s="171">
        <f t="shared" si="18"/>
        <v>-1</v>
      </c>
      <c r="J41" s="172"/>
      <c r="L41" s="172">
        <v>0.05</v>
      </c>
      <c r="M41" s="172"/>
      <c r="N41" s="172"/>
      <c r="O41" s="172"/>
      <c r="P41" s="172"/>
      <c r="Q41" s="172"/>
      <c r="R41" s="172"/>
      <c r="S41" s="183"/>
      <c r="T41" s="183"/>
      <c r="U41" s="183"/>
    </row>
    <row r="42" s="11" customFormat="1" ht="16" customHeight="1" spans="1:21">
      <c r="A42" s="163"/>
      <c r="B42" s="177" t="s">
        <v>265</v>
      </c>
      <c r="C42" s="178">
        <f t="shared" si="13"/>
        <v>0</v>
      </c>
      <c r="D42" s="178">
        <f t="shared" si="14"/>
        <v>0</v>
      </c>
      <c r="E42" s="178">
        <f t="shared" si="15"/>
        <v>0</v>
      </c>
      <c r="F42" s="178">
        <f t="shared" si="16"/>
        <v>0</v>
      </c>
      <c r="G42" s="179">
        <f t="shared" si="12"/>
        <v>0</v>
      </c>
      <c r="H42" s="180">
        <f t="shared" si="17"/>
        <v>0</v>
      </c>
      <c r="I42" s="171" t="str">
        <f t="shared" si="18"/>
        <v/>
      </c>
      <c r="J42" s="172"/>
      <c r="L42" s="172"/>
      <c r="M42" s="172"/>
      <c r="N42" s="172"/>
      <c r="O42" s="172"/>
      <c r="P42" s="172"/>
      <c r="Q42" s="172"/>
      <c r="R42" s="172"/>
      <c r="S42" s="183"/>
      <c r="T42" s="183"/>
      <c r="U42" s="183"/>
    </row>
    <row r="43" s="11" customFormat="1" ht="16" customHeight="1" spans="1:21">
      <c r="A43" s="163"/>
      <c r="B43" s="177" t="s">
        <v>266</v>
      </c>
      <c r="C43" s="178">
        <f t="shared" si="13"/>
        <v>0</v>
      </c>
      <c r="D43" s="178">
        <f t="shared" si="14"/>
        <v>0</v>
      </c>
      <c r="E43" s="178">
        <f t="shared" si="15"/>
        <v>0</v>
      </c>
      <c r="F43" s="178">
        <f t="shared" si="16"/>
        <v>0</v>
      </c>
      <c r="G43" s="179">
        <f t="shared" si="12"/>
        <v>0</v>
      </c>
      <c r="H43" s="180">
        <f t="shared" si="17"/>
        <v>28.73585</v>
      </c>
      <c r="I43" s="185"/>
      <c r="J43" s="172"/>
      <c r="L43" s="181">
        <v>28.73585</v>
      </c>
      <c r="M43" s="181"/>
      <c r="N43" s="172"/>
      <c r="O43" s="172"/>
      <c r="P43" s="172"/>
      <c r="Q43" s="172"/>
      <c r="R43" s="172"/>
      <c r="S43" s="183"/>
      <c r="T43" s="183"/>
      <c r="U43" s="183"/>
    </row>
    <row r="44" s="11" customFormat="1" ht="16" customHeight="1" spans="1:21">
      <c r="A44" s="163"/>
      <c r="B44" s="177" t="s">
        <v>203</v>
      </c>
      <c r="C44" s="178">
        <f t="shared" si="13"/>
        <v>0</v>
      </c>
      <c r="D44" s="178">
        <f t="shared" si="14"/>
        <v>0</v>
      </c>
      <c r="E44" s="178">
        <f t="shared" si="15"/>
        <v>0</v>
      </c>
      <c r="F44" s="178">
        <f t="shared" si="16"/>
        <v>0</v>
      </c>
      <c r="G44" s="179">
        <f t="shared" si="12"/>
        <v>0</v>
      </c>
      <c r="H44" s="180">
        <f t="shared" si="17"/>
        <v>0</v>
      </c>
      <c r="I44" s="171" t="str">
        <f>IFERROR(G44/H44-1,"")</f>
        <v/>
      </c>
      <c r="J44" s="172"/>
      <c r="L44" s="172"/>
      <c r="M44" s="172"/>
      <c r="N44" s="172"/>
      <c r="O44" s="172"/>
      <c r="P44" s="172"/>
      <c r="Q44" s="172"/>
      <c r="R44" s="172"/>
      <c r="S44" s="183"/>
      <c r="T44" s="183"/>
      <c r="U44" s="183"/>
    </row>
    <row r="45" s="11" customFormat="1" ht="16" customHeight="1" spans="1:21">
      <c r="A45" s="176" t="s">
        <v>267</v>
      </c>
      <c r="B45" s="177" t="s">
        <v>268</v>
      </c>
      <c r="C45" s="186"/>
      <c r="D45" s="186"/>
      <c r="E45" s="186"/>
      <c r="F45" s="186"/>
      <c r="G45" s="187">
        <f t="shared" si="12"/>
        <v>0</v>
      </c>
      <c r="H45" s="180">
        <v>0</v>
      </c>
      <c r="I45" s="188" t="str">
        <f>IFERROR(G45/(H45+H46+H47+H48+H49+H50+H51)-1,"")</f>
        <v/>
      </c>
      <c r="J45" s="172" t="s">
        <v>269</v>
      </c>
      <c r="L45" s="172"/>
      <c r="M45" s="172"/>
      <c r="N45" s="172"/>
      <c r="O45" s="172"/>
      <c r="P45" s="172"/>
      <c r="Q45" s="172"/>
      <c r="R45" s="172"/>
      <c r="S45" s="183"/>
      <c r="T45" s="183"/>
      <c r="U45" s="183"/>
    </row>
    <row r="46" s="11" customFormat="1" ht="16" customHeight="1" spans="1:21">
      <c r="A46" s="163"/>
      <c r="B46" s="177" t="s">
        <v>270</v>
      </c>
      <c r="C46" s="189"/>
      <c r="D46" s="189"/>
      <c r="E46" s="189"/>
      <c r="F46" s="189"/>
      <c r="G46" s="190"/>
      <c r="H46" s="180">
        <v>0</v>
      </c>
      <c r="I46" s="191"/>
      <c r="J46" s="172" t="s">
        <v>269</v>
      </c>
      <c r="L46" s="172"/>
      <c r="M46" s="172"/>
      <c r="N46" s="172"/>
      <c r="O46" s="172"/>
      <c r="P46" s="172"/>
      <c r="Q46" s="172"/>
      <c r="R46" s="172"/>
      <c r="S46" s="183"/>
      <c r="T46" s="183"/>
      <c r="U46" s="183"/>
    </row>
    <row r="47" s="11" customFormat="1" ht="16" customHeight="1" spans="1:21">
      <c r="A47" s="163"/>
      <c r="B47" s="177" t="s">
        <v>271</v>
      </c>
      <c r="C47" s="189"/>
      <c r="D47" s="189"/>
      <c r="E47" s="189"/>
      <c r="F47" s="189"/>
      <c r="G47" s="190"/>
      <c r="H47" s="180">
        <v>0</v>
      </c>
      <c r="I47" s="191"/>
      <c r="J47" s="172" t="s">
        <v>269</v>
      </c>
      <c r="L47" s="172"/>
      <c r="M47" s="172"/>
      <c r="N47" s="172"/>
      <c r="O47" s="172"/>
      <c r="P47" s="172"/>
      <c r="Q47" s="172"/>
      <c r="R47" s="172"/>
      <c r="S47" s="183"/>
      <c r="T47" s="183"/>
      <c r="U47" s="183"/>
    </row>
    <row r="48" s="11" customFormat="1" ht="16" customHeight="1" spans="1:21">
      <c r="A48" s="163"/>
      <c r="B48" s="177" t="s">
        <v>272</v>
      </c>
      <c r="C48" s="189"/>
      <c r="D48" s="189"/>
      <c r="E48" s="189"/>
      <c r="F48" s="189"/>
      <c r="G48" s="190"/>
      <c r="H48" s="180">
        <v>0</v>
      </c>
      <c r="I48" s="191"/>
      <c r="J48" s="172" t="s">
        <v>269</v>
      </c>
      <c r="L48" s="172"/>
      <c r="M48" s="172"/>
      <c r="N48" s="172"/>
      <c r="O48" s="172"/>
      <c r="P48" s="172"/>
      <c r="Q48" s="172"/>
      <c r="R48" s="172"/>
      <c r="S48" s="183"/>
      <c r="T48" s="183"/>
      <c r="U48" s="183"/>
    </row>
    <row r="49" s="11" customFormat="1" ht="16" customHeight="1" spans="1:21">
      <c r="A49" s="163"/>
      <c r="B49" s="177" t="s">
        <v>273</v>
      </c>
      <c r="C49" s="189"/>
      <c r="D49" s="189"/>
      <c r="E49" s="189"/>
      <c r="F49" s="189"/>
      <c r="G49" s="190"/>
      <c r="H49" s="180">
        <v>0</v>
      </c>
      <c r="I49" s="191"/>
      <c r="J49" s="172" t="s">
        <v>269</v>
      </c>
      <c r="L49" s="172"/>
      <c r="M49" s="172"/>
      <c r="N49" s="172"/>
      <c r="O49" s="172"/>
      <c r="P49" s="172"/>
      <c r="Q49" s="172"/>
      <c r="R49" s="172"/>
      <c r="S49" s="183"/>
      <c r="T49" s="183"/>
      <c r="U49" s="183"/>
    </row>
    <row r="50" s="11" customFormat="1" ht="16" customHeight="1" spans="1:21">
      <c r="A50" s="163"/>
      <c r="B50" s="177" t="s">
        <v>274</v>
      </c>
      <c r="C50" s="189"/>
      <c r="D50" s="189"/>
      <c r="E50" s="189"/>
      <c r="F50" s="189"/>
      <c r="G50" s="190"/>
      <c r="H50" s="180">
        <v>0</v>
      </c>
      <c r="I50" s="191"/>
      <c r="J50" s="172" t="s">
        <v>269</v>
      </c>
      <c r="L50" s="172"/>
      <c r="M50" s="172"/>
      <c r="N50" s="172"/>
      <c r="O50" s="172"/>
      <c r="P50" s="172"/>
      <c r="Q50" s="172"/>
      <c r="R50" s="172"/>
      <c r="S50" s="183"/>
      <c r="T50" s="183"/>
      <c r="U50" s="183"/>
    </row>
    <row r="51" s="11" customFormat="1" ht="16" customHeight="1" spans="1:21">
      <c r="A51" s="163"/>
      <c r="B51" s="177" t="s">
        <v>275</v>
      </c>
      <c r="C51" s="192"/>
      <c r="D51" s="192"/>
      <c r="E51" s="192"/>
      <c r="F51" s="192"/>
      <c r="G51" s="193"/>
      <c r="H51" s="180">
        <v>0</v>
      </c>
      <c r="I51" s="194"/>
      <c r="J51" s="172"/>
      <c r="L51" s="172"/>
      <c r="M51" s="172"/>
      <c r="N51" s="172"/>
      <c r="O51" s="172"/>
      <c r="P51" s="172"/>
      <c r="Q51" s="172"/>
      <c r="R51" s="172"/>
      <c r="S51" s="183"/>
      <c r="T51" s="183"/>
      <c r="U51" s="183"/>
    </row>
    <row r="55" s="11" customFormat="1" spans="1:21">
      <c r="G55" s="195"/>
      <c r="I55" s="142"/>
    </row>
    <row r="56" s="11" customFormat="1" spans="1:21">
      <c r="G56" s="196"/>
      <c r="I56" s="142"/>
    </row>
    <row r="60" s="11" customFormat="1" spans="1:21">
      <c r="H60" s="197"/>
      <c r="I60" s="142"/>
    </row>
  </sheetData>
  <mergeCells count="36">
    <mergeCell ref="A1:I1"/>
    <mergeCell ref="A2:B2"/>
    <mergeCell ref="L3:M3"/>
    <mergeCell ref="N3:O3"/>
    <mergeCell ref="P3:Q3"/>
    <mergeCell ref="R3:S3"/>
    <mergeCell ref="T3:U3"/>
    <mergeCell ref="A5:B5"/>
    <mergeCell ref="A6:B6"/>
    <mergeCell ref="A7:B7"/>
    <mergeCell ref="A8:B8"/>
    <mergeCell ref="A9:B9"/>
    <mergeCell ref="A10:B10"/>
    <mergeCell ref="A11:B11"/>
    <mergeCell ref="A12:B12"/>
    <mergeCell ref="A13:A22"/>
    <mergeCell ref="A23:A25"/>
    <mergeCell ref="A26:A32"/>
    <mergeCell ref="A33:A35"/>
    <mergeCell ref="A36:A44"/>
    <mergeCell ref="A45:A51"/>
    <mergeCell ref="C3:C4"/>
    <mergeCell ref="C45:C51"/>
    <mergeCell ref="D3:D4"/>
    <mergeCell ref="D45:D51"/>
    <mergeCell ref="E3:E4"/>
    <mergeCell ref="E45:E51"/>
    <mergeCell ref="F3:F4"/>
    <mergeCell ref="F45:F51"/>
    <mergeCell ref="G3:G4"/>
    <mergeCell ref="G45:G51"/>
    <mergeCell ref="H3:H4"/>
    <mergeCell ref="I3:I4"/>
    <mergeCell ref="I45:I51"/>
    <mergeCell ref="J3:J4"/>
    <mergeCell ref="A3:B4"/>
  </mergeCells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60"/>
  <sheetViews>
    <sheetView showGridLines="0" workbookViewId="0">
      <selection activeCell="O28" sqref="O28"/>
    </sheetView>
  </sheetViews>
  <sheetFormatPr defaultColWidth="8.91666666666667" defaultRowHeight="16.5"/>
  <cols>
    <col min="1" max="1" width="13.4166666666667" style="11" customWidth="1"/>
    <col min="2" max="2" width="15.4166666666667" style="11" customWidth="1"/>
    <col min="3" max="5" width="10.5833333333333" style="11" customWidth="1"/>
    <col min="6" max="6" width="9.08333333333333" style="11" customWidth="1"/>
    <col min="7" max="7" width="9" style="11" customWidth="1"/>
    <col min="8" max="8" width="20.625" style="11" customWidth="1"/>
    <col min="9" max="9" width="9.08333333333333" style="142" customWidth="1"/>
    <col min="10" max="10" width="11.0833333333333" style="11" customWidth="1"/>
    <col min="11" max="11" width="4.66666666666667" style="11" customWidth="1"/>
    <col min="12" max="14" width="8.58333333333333" style="11" customWidth="1"/>
    <col min="15" max="15" width="11.625" style="11" customWidth="1"/>
    <col min="16" max="18" width="14" style="11" customWidth="1"/>
    <col min="19" max="16384" width="8.91666666666667" style="11"/>
  </cols>
  <sheetData>
    <row r="1" s="11" customFormat="1" ht="16" customHeight="1" spans="1:15">
      <c r="A1" s="143" t="s">
        <v>346</v>
      </c>
      <c r="B1" s="143"/>
      <c r="C1" s="143"/>
      <c r="D1" s="143"/>
      <c r="E1" s="143"/>
      <c r="F1" s="143"/>
      <c r="G1" s="143"/>
      <c r="H1" s="143"/>
      <c r="I1" s="143"/>
    </row>
    <row r="2" s="11" customFormat="1" ht="16" customHeight="1" spans="1:15">
      <c r="A2" s="144"/>
      <c r="B2" s="145"/>
      <c r="C2" s="146"/>
      <c r="D2" s="147"/>
      <c r="E2" s="148"/>
      <c r="F2" s="149"/>
      <c r="G2" s="149"/>
      <c r="H2" s="149"/>
      <c r="I2" s="142"/>
      <c r="J2" s="150" t="s">
        <v>228</v>
      </c>
    </row>
    <row r="3" s="11" customFormat="1" ht="16" customHeight="1" spans="1:15">
      <c r="A3" s="151" t="s">
        <v>229</v>
      </c>
      <c r="B3" s="152"/>
      <c r="C3" s="153" t="s">
        <v>46</v>
      </c>
      <c r="D3" s="153" t="s">
        <v>47</v>
      </c>
      <c r="E3" s="153" t="s">
        <v>48</v>
      </c>
      <c r="F3" s="153" t="s">
        <v>49</v>
      </c>
      <c r="G3" s="154" t="s">
        <v>50</v>
      </c>
      <c r="H3" s="155" t="s">
        <v>45</v>
      </c>
      <c r="I3" s="156" t="s">
        <v>51</v>
      </c>
      <c r="J3" s="156" t="s">
        <v>230</v>
      </c>
      <c r="L3" s="157" t="s">
        <v>347</v>
      </c>
      <c r="M3" s="157"/>
      <c r="N3" s="157" t="s">
        <v>348</v>
      </c>
      <c r="O3" s="157"/>
    </row>
    <row r="4" s="11" customFormat="1" ht="16" customHeight="1" spans="1:15">
      <c r="A4" s="152"/>
      <c r="B4" s="152"/>
      <c r="C4" s="152"/>
      <c r="D4" s="152"/>
      <c r="E4" s="152"/>
      <c r="F4" s="152"/>
      <c r="G4" s="152"/>
      <c r="H4" s="158"/>
      <c r="I4" s="159"/>
      <c r="J4" s="152"/>
      <c r="L4" s="160" t="s">
        <v>207</v>
      </c>
      <c r="M4" s="161" t="s">
        <v>50</v>
      </c>
      <c r="N4" s="160" t="s">
        <v>207</v>
      </c>
      <c r="O4" s="161" t="s">
        <v>50</v>
      </c>
    </row>
    <row r="5" s="11" customFormat="1" ht="16" customHeight="1" spans="1:15">
      <c r="A5" s="162" t="s">
        <v>231</v>
      </c>
      <c r="B5" s="163"/>
      <c r="C5" s="164"/>
      <c r="D5" s="165"/>
      <c r="E5" s="165"/>
      <c r="F5" s="165"/>
      <c r="G5" s="166"/>
      <c r="H5" s="167"/>
      <c r="I5" s="167"/>
      <c r="J5" s="163"/>
      <c r="L5" s="167"/>
      <c r="M5" s="167"/>
      <c r="N5" s="167">
        <v>4</v>
      </c>
      <c r="O5" s="167"/>
    </row>
    <row r="6" s="11" customFormat="1" ht="16" customHeight="1" spans="1:15">
      <c r="A6" s="168" t="s">
        <v>232</v>
      </c>
      <c r="B6" s="163"/>
      <c r="C6" s="169">
        <f t="shared" ref="C6:H6" si="0">SUM(C7:C8)</f>
        <v>100.87</v>
      </c>
      <c r="D6" s="169">
        <f t="shared" si="0"/>
        <v>100.87</v>
      </c>
      <c r="E6" s="169">
        <f t="shared" si="0"/>
        <v>100.87</v>
      </c>
      <c r="F6" s="169">
        <f t="shared" si="0"/>
        <v>100.87</v>
      </c>
      <c r="G6" s="170">
        <f t="shared" si="0"/>
        <v>403.48</v>
      </c>
      <c r="H6" s="169">
        <f t="shared" si="0"/>
        <v>276.112254</v>
      </c>
      <c r="I6" s="171">
        <f t="shared" ref="I6:I30" si="1">IFERROR(G6/H6-1,"")</f>
        <v>0.461289726025705</v>
      </c>
      <c r="J6" s="172"/>
      <c r="L6" s="172"/>
      <c r="M6" s="172"/>
      <c r="N6" s="172"/>
      <c r="O6" s="172"/>
    </row>
    <row r="7" s="11" customFormat="1" ht="16" customHeight="1" spans="1:15">
      <c r="A7" s="173" t="s">
        <v>233</v>
      </c>
      <c r="B7" s="163"/>
      <c r="C7" s="169"/>
      <c r="D7" s="169"/>
      <c r="E7" s="169"/>
      <c r="F7" s="169"/>
      <c r="G7" s="170"/>
      <c r="H7" s="169"/>
      <c r="I7" s="171" t="str">
        <f t="shared" si="1"/>
        <v/>
      </c>
      <c r="J7" s="172"/>
      <c r="L7" s="172"/>
      <c r="M7" s="172"/>
      <c r="N7" s="172"/>
      <c r="O7" s="172"/>
    </row>
    <row r="8" s="11" customFormat="1" ht="16" customHeight="1" spans="1:15">
      <c r="A8" s="173" t="s">
        <v>234</v>
      </c>
      <c r="B8" s="163"/>
      <c r="C8" s="169">
        <f t="shared" ref="C8:H8" si="2">SUM(C9:C12)</f>
        <v>100.87</v>
      </c>
      <c r="D8" s="169">
        <f t="shared" si="2"/>
        <v>100.87</v>
      </c>
      <c r="E8" s="169">
        <f t="shared" si="2"/>
        <v>100.87</v>
      </c>
      <c r="F8" s="169">
        <f t="shared" si="2"/>
        <v>100.87</v>
      </c>
      <c r="G8" s="170">
        <f t="shared" si="2"/>
        <v>403.48</v>
      </c>
      <c r="H8" s="169">
        <f t="shared" si="2"/>
        <v>276.112254</v>
      </c>
      <c r="I8" s="171">
        <f t="shared" si="1"/>
        <v>0.461289726025705</v>
      </c>
      <c r="J8" s="172"/>
      <c r="L8" s="174">
        <f>SUM(L9:L12)</f>
        <v>92.306486</v>
      </c>
      <c r="M8" s="174">
        <f>SUM(M9:M12)</f>
        <v>87.3</v>
      </c>
      <c r="N8" s="174">
        <f>SUM(N9:N12)</f>
        <v>183.805768</v>
      </c>
      <c r="O8" s="174">
        <f>SUM(O9:O12)</f>
        <v>316.18</v>
      </c>
    </row>
    <row r="9" s="11" customFormat="1" ht="16" customHeight="1" spans="1:15">
      <c r="A9" s="175" t="s">
        <v>235</v>
      </c>
      <c r="B9" s="163"/>
      <c r="C9" s="169">
        <f t="shared" ref="C9:H9" si="3">SUM(C45:C51)</f>
        <v>0</v>
      </c>
      <c r="D9" s="169">
        <f t="shared" si="3"/>
        <v>0</v>
      </c>
      <c r="E9" s="169">
        <f t="shared" si="3"/>
        <v>0</v>
      </c>
      <c r="F9" s="169">
        <f t="shared" si="3"/>
        <v>0</v>
      </c>
      <c r="G9" s="170">
        <f t="shared" si="3"/>
        <v>0</v>
      </c>
      <c r="H9" s="169">
        <f t="shared" si="3"/>
        <v>0</v>
      </c>
      <c r="I9" s="171" t="str">
        <f t="shared" si="1"/>
        <v/>
      </c>
      <c r="J9" s="172"/>
      <c r="L9" s="174">
        <f>SUM(L45:L51)</f>
        <v>0</v>
      </c>
      <c r="M9" s="174">
        <f>SUM(M45:M51)</f>
        <v>0</v>
      </c>
      <c r="N9" s="174">
        <f>SUM(N45:N51)</f>
        <v>0</v>
      </c>
      <c r="O9" s="174">
        <f>SUM(O45:O51)</f>
        <v>0</v>
      </c>
    </row>
    <row r="10" s="11" customFormat="1" ht="16" customHeight="1" spans="1:15">
      <c r="A10" s="175" t="s">
        <v>236</v>
      </c>
      <c r="B10" s="163"/>
      <c r="C10" s="169">
        <f t="shared" ref="C10:H10" si="4">SUM(C36:C44)</f>
        <v>0</v>
      </c>
      <c r="D10" s="169">
        <f t="shared" si="4"/>
        <v>0</v>
      </c>
      <c r="E10" s="169">
        <f t="shared" si="4"/>
        <v>0</v>
      </c>
      <c r="F10" s="169">
        <f t="shared" si="4"/>
        <v>0</v>
      </c>
      <c r="G10" s="170">
        <f t="shared" si="4"/>
        <v>0</v>
      </c>
      <c r="H10" s="169">
        <f t="shared" si="4"/>
        <v>0.095763</v>
      </c>
      <c r="I10" s="171">
        <f t="shared" si="1"/>
        <v>-1</v>
      </c>
      <c r="J10" s="172"/>
      <c r="L10" s="174">
        <f>SUM(L36:L44)</f>
        <v>0.095763</v>
      </c>
      <c r="M10" s="174">
        <f>SUM(M36:M44)</f>
        <v>0</v>
      </c>
      <c r="N10" s="174">
        <f>SUM(N36:N44)</f>
        <v>0</v>
      </c>
      <c r="O10" s="174">
        <f>SUM(O36:O44)</f>
        <v>0</v>
      </c>
    </row>
    <row r="11" s="11" customFormat="1" ht="16" customHeight="1" spans="1:15">
      <c r="A11" s="175" t="s">
        <v>237</v>
      </c>
      <c r="B11" s="163"/>
      <c r="C11" s="169">
        <f t="shared" ref="C11:H11" si="5">SUM(C13:C22)</f>
        <v>23.3</v>
      </c>
      <c r="D11" s="169">
        <f t="shared" si="5"/>
        <v>23.3</v>
      </c>
      <c r="E11" s="169">
        <f t="shared" si="5"/>
        <v>23.3</v>
      </c>
      <c r="F11" s="169">
        <f t="shared" si="5"/>
        <v>23.3</v>
      </c>
      <c r="G11" s="170">
        <f t="shared" si="5"/>
        <v>93.2</v>
      </c>
      <c r="H11" s="169">
        <f t="shared" si="5"/>
        <v>70.253972</v>
      </c>
      <c r="I11" s="171">
        <f t="shared" si="1"/>
        <v>0.326615383397824</v>
      </c>
      <c r="J11" s="172"/>
      <c r="L11" s="174">
        <f>SUM(L13:L22)</f>
        <v>48.892744</v>
      </c>
      <c r="M11" s="174">
        <f>SUM(M13:M22)</f>
        <v>57.1</v>
      </c>
      <c r="N11" s="174">
        <f>SUM(N13:N22)</f>
        <v>21.361228</v>
      </c>
      <c r="O11" s="174">
        <f>SUM(O13:O22)</f>
        <v>36.1</v>
      </c>
    </row>
    <row r="12" s="11" customFormat="1" ht="16" customHeight="1" spans="1:15">
      <c r="A12" s="175" t="s">
        <v>238</v>
      </c>
      <c r="B12" s="163"/>
      <c r="C12" s="169">
        <f t="shared" ref="C12:H12" si="6">SUM(C23:C35)</f>
        <v>77.57</v>
      </c>
      <c r="D12" s="169">
        <f t="shared" si="6"/>
        <v>77.57</v>
      </c>
      <c r="E12" s="169">
        <f t="shared" si="6"/>
        <v>77.57</v>
      </c>
      <c r="F12" s="169">
        <f t="shared" si="6"/>
        <v>77.57</v>
      </c>
      <c r="G12" s="170">
        <f t="shared" si="6"/>
        <v>310.28</v>
      </c>
      <c r="H12" s="169">
        <f t="shared" si="6"/>
        <v>205.762519</v>
      </c>
      <c r="I12" s="171">
        <f t="shared" si="1"/>
        <v>0.50795199003177</v>
      </c>
      <c r="J12" s="172"/>
      <c r="L12" s="174">
        <f>SUM(L23:L35)</f>
        <v>43.317979</v>
      </c>
      <c r="M12" s="174">
        <f>SUM(M23:M35)</f>
        <v>30.2</v>
      </c>
      <c r="N12" s="174">
        <f>SUM(N23:N35)</f>
        <v>162.44454</v>
      </c>
      <c r="O12" s="174">
        <f>SUM(O23:O35)</f>
        <v>280.08</v>
      </c>
    </row>
    <row r="13" s="11" customFormat="1" ht="16" customHeight="1" spans="1:15">
      <c r="A13" s="176" t="s">
        <v>239</v>
      </c>
      <c r="B13" s="177" t="s">
        <v>195</v>
      </c>
      <c r="C13" s="178">
        <f>(M13+O13)/4</f>
        <v>0.125</v>
      </c>
      <c r="D13" s="178">
        <f t="shared" ref="D13:D44" si="7">C13</f>
        <v>0.125</v>
      </c>
      <c r="E13" s="178">
        <f t="shared" ref="E13:E44" si="8">D13</f>
        <v>0.125</v>
      </c>
      <c r="F13" s="178">
        <f t="shared" ref="F13:F44" si="9">E13</f>
        <v>0.125</v>
      </c>
      <c r="G13" s="179">
        <f t="shared" ref="G13:G45" si="10">SUM(C13:F13)</f>
        <v>0.5</v>
      </c>
      <c r="H13" s="180">
        <f>L13+N13</f>
        <v>0.259384</v>
      </c>
      <c r="I13" s="171">
        <f t="shared" si="1"/>
        <v>0.927643956450668</v>
      </c>
      <c r="J13" s="172"/>
      <c r="L13" s="181">
        <v>0.030355</v>
      </c>
      <c r="M13" s="182"/>
      <c r="N13" s="182">
        <v>0.229029</v>
      </c>
      <c r="O13" s="183">
        <v>0.5</v>
      </c>
    </row>
    <row r="14" s="11" customFormat="1" ht="16" customHeight="1" spans="1:15">
      <c r="A14" s="163"/>
      <c r="B14" s="177" t="s">
        <v>31</v>
      </c>
      <c r="C14" s="178">
        <f t="shared" ref="C14:C44" si="11">(M14+O14)/4</f>
        <v>1.02</v>
      </c>
      <c r="D14" s="178">
        <f t="shared" si="7"/>
        <v>1.02</v>
      </c>
      <c r="E14" s="178">
        <f t="shared" si="8"/>
        <v>1.02</v>
      </c>
      <c r="F14" s="178">
        <f t="shared" si="9"/>
        <v>1.02</v>
      </c>
      <c r="G14" s="179">
        <f t="shared" si="10"/>
        <v>4.08</v>
      </c>
      <c r="H14" s="180">
        <f t="shared" ref="H14:H44" si="12">L14+N14</f>
        <v>1.462624</v>
      </c>
      <c r="I14" s="171">
        <f t="shared" si="1"/>
        <v>1.78950707769051</v>
      </c>
      <c r="J14" s="172"/>
      <c r="L14" s="181">
        <v>0.995968</v>
      </c>
      <c r="M14" s="182">
        <v>2.88</v>
      </c>
      <c r="N14" s="182">
        <v>0.466656</v>
      </c>
      <c r="O14" s="183">
        <v>1.2</v>
      </c>
    </row>
    <row r="15" s="11" customFormat="1" ht="16" customHeight="1" spans="1:15">
      <c r="A15" s="163"/>
      <c r="B15" s="177" t="s">
        <v>196</v>
      </c>
      <c r="C15" s="178">
        <f t="shared" si="11"/>
        <v>1.605</v>
      </c>
      <c r="D15" s="178">
        <f t="shared" si="7"/>
        <v>1.605</v>
      </c>
      <c r="E15" s="178">
        <f t="shared" si="8"/>
        <v>1.605</v>
      </c>
      <c r="F15" s="178">
        <f t="shared" si="9"/>
        <v>1.605</v>
      </c>
      <c r="G15" s="179">
        <f t="shared" si="10"/>
        <v>6.42</v>
      </c>
      <c r="H15" s="180">
        <f t="shared" si="12"/>
        <v>4.05143</v>
      </c>
      <c r="I15" s="171">
        <f t="shared" si="1"/>
        <v>0.584625675378817</v>
      </c>
      <c r="J15" s="172"/>
      <c r="L15" s="181">
        <v>3.269665</v>
      </c>
      <c r="M15" s="182">
        <v>3.42</v>
      </c>
      <c r="N15" s="182">
        <v>0.781765</v>
      </c>
      <c r="O15" s="183">
        <v>3</v>
      </c>
    </row>
    <row r="16" s="11" customFormat="1" ht="16" customHeight="1" spans="1:15">
      <c r="A16" s="163"/>
      <c r="B16" s="177" t="s">
        <v>240</v>
      </c>
      <c r="C16" s="178">
        <f t="shared" si="11"/>
        <v>19.95</v>
      </c>
      <c r="D16" s="178">
        <f t="shared" si="7"/>
        <v>19.95</v>
      </c>
      <c r="E16" s="178">
        <f t="shared" si="8"/>
        <v>19.95</v>
      </c>
      <c r="F16" s="178">
        <f t="shared" si="9"/>
        <v>19.95</v>
      </c>
      <c r="G16" s="179">
        <f t="shared" si="10"/>
        <v>79.8</v>
      </c>
      <c r="H16" s="180">
        <f t="shared" si="12"/>
        <v>58.354808</v>
      </c>
      <c r="I16" s="171">
        <f t="shared" si="1"/>
        <v>0.367496573718484</v>
      </c>
      <c r="J16" s="172" t="s">
        <v>344</v>
      </c>
      <c r="L16" s="181">
        <v>40.454389</v>
      </c>
      <c r="M16" s="182">
        <v>50.4</v>
      </c>
      <c r="N16" s="182">
        <v>17.900419</v>
      </c>
      <c r="O16" s="183">
        <v>29.4</v>
      </c>
    </row>
    <row r="17" s="11" customFormat="1" ht="16" customHeight="1" spans="1:15">
      <c r="A17" s="163"/>
      <c r="B17" s="177" t="s">
        <v>241</v>
      </c>
      <c r="C17" s="178">
        <f t="shared" si="11"/>
        <v>0</v>
      </c>
      <c r="D17" s="178">
        <f t="shared" si="7"/>
        <v>0</v>
      </c>
      <c r="E17" s="178">
        <f t="shared" si="8"/>
        <v>0</v>
      </c>
      <c r="F17" s="178">
        <f t="shared" si="9"/>
        <v>0</v>
      </c>
      <c r="G17" s="179">
        <f t="shared" si="10"/>
        <v>0</v>
      </c>
      <c r="H17" s="180">
        <f t="shared" si="12"/>
        <v>0</v>
      </c>
      <c r="I17" s="171" t="str">
        <f t="shared" si="1"/>
        <v/>
      </c>
      <c r="J17" s="172"/>
      <c r="L17" s="172"/>
      <c r="M17" s="182"/>
      <c r="N17" s="183"/>
      <c r="O17" s="183"/>
    </row>
    <row r="18" s="11" customFormat="1" ht="16" customHeight="1" spans="1:15">
      <c r="A18" s="163"/>
      <c r="B18" s="177" t="s">
        <v>242</v>
      </c>
      <c r="C18" s="178">
        <f t="shared" si="11"/>
        <v>0</v>
      </c>
      <c r="D18" s="178">
        <f t="shared" si="7"/>
        <v>0</v>
      </c>
      <c r="E18" s="178">
        <f t="shared" si="8"/>
        <v>0</v>
      </c>
      <c r="F18" s="178">
        <f t="shared" si="9"/>
        <v>0</v>
      </c>
      <c r="G18" s="179">
        <f t="shared" si="10"/>
        <v>0</v>
      </c>
      <c r="H18" s="180">
        <f t="shared" si="12"/>
        <v>0</v>
      </c>
      <c r="I18" s="171" t="str">
        <f t="shared" si="1"/>
        <v/>
      </c>
      <c r="J18" s="172" t="s">
        <v>344</v>
      </c>
      <c r="L18" s="172"/>
      <c r="M18" s="182"/>
      <c r="N18" s="183"/>
      <c r="O18" s="183"/>
    </row>
    <row r="19" s="11" customFormat="1" ht="16" customHeight="1" spans="1:15">
      <c r="A19" s="163"/>
      <c r="B19" s="177" t="s">
        <v>243</v>
      </c>
      <c r="C19" s="178">
        <f t="shared" si="11"/>
        <v>0</v>
      </c>
      <c r="D19" s="178">
        <f t="shared" si="7"/>
        <v>0</v>
      </c>
      <c r="E19" s="178">
        <f t="shared" si="8"/>
        <v>0</v>
      </c>
      <c r="F19" s="178">
        <f t="shared" si="9"/>
        <v>0</v>
      </c>
      <c r="G19" s="179">
        <f t="shared" si="10"/>
        <v>0</v>
      </c>
      <c r="H19" s="180">
        <f t="shared" si="12"/>
        <v>0</v>
      </c>
      <c r="I19" s="171" t="str">
        <f t="shared" si="1"/>
        <v/>
      </c>
      <c r="J19" s="172" t="s">
        <v>344</v>
      </c>
      <c r="L19" s="172"/>
      <c r="M19" s="182"/>
      <c r="N19" s="183"/>
      <c r="O19" s="183"/>
    </row>
    <row r="20" s="11" customFormat="1" ht="16" customHeight="1" spans="1:15">
      <c r="A20" s="163"/>
      <c r="B20" s="177" t="s">
        <v>200</v>
      </c>
      <c r="C20" s="178">
        <f t="shared" si="11"/>
        <v>0.6</v>
      </c>
      <c r="D20" s="178">
        <f t="shared" si="7"/>
        <v>0.6</v>
      </c>
      <c r="E20" s="178">
        <f t="shared" si="8"/>
        <v>0.6</v>
      </c>
      <c r="F20" s="178">
        <f t="shared" si="9"/>
        <v>0.6</v>
      </c>
      <c r="G20" s="179">
        <f t="shared" si="10"/>
        <v>2.4</v>
      </c>
      <c r="H20" s="180">
        <f t="shared" si="12"/>
        <v>6.125726</v>
      </c>
      <c r="I20" s="171">
        <f t="shared" si="1"/>
        <v>-0.608209704449726</v>
      </c>
      <c r="J20" s="172"/>
      <c r="L20" s="181">
        <v>4.142367</v>
      </c>
      <c r="M20" s="182">
        <v>0.4</v>
      </c>
      <c r="N20" s="182">
        <v>1.983359</v>
      </c>
      <c r="O20" s="183">
        <v>2</v>
      </c>
    </row>
    <row r="21" s="11" customFormat="1" ht="16" customHeight="1" spans="1:15">
      <c r="A21" s="163"/>
      <c r="B21" s="177" t="s">
        <v>244</v>
      </c>
      <c r="C21" s="178">
        <f t="shared" si="11"/>
        <v>0</v>
      </c>
      <c r="D21" s="178">
        <f t="shared" si="7"/>
        <v>0</v>
      </c>
      <c r="E21" s="178">
        <f t="shared" si="8"/>
        <v>0</v>
      </c>
      <c r="F21" s="178">
        <f t="shared" si="9"/>
        <v>0</v>
      </c>
      <c r="G21" s="179">
        <f t="shared" si="10"/>
        <v>0</v>
      </c>
      <c r="H21" s="180">
        <f t="shared" si="12"/>
        <v>0</v>
      </c>
      <c r="I21" s="171" t="str">
        <f t="shared" si="1"/>
        <v/>
      </c>
      <c r="J21" s="172"/>
      <c r="L21" s="172"/>
      <c r="M21" s="182"/>
      <c r="N21" s="183"/>
      <c r="O21" s="183"/>
    </row>
    <row r="22" s="11" customFormat="1" ht="16" customHeight="1" spans="1:15">
      <c r="A22" s="163"/>
      <c r="B22" s="177" t="s">
        <v>245</v>
      </c>
      <c r="C22" s="178">
        <f t="shared" si="11"/>
        <v>0</v>
      </c>
      <c r="D22" s="178">
        <f t="shared" si="7"/>
        <v>0</v>
      </c>
      <c r="E22" s="178">
        <f t="shared" si="8"/>
        <v>0</v>
      </c>
      <c r="F22" s="178">
        <f t="shared" si="9"/>
        <v>0</v>
      </c>
      <c r="G22" s="179">
        <f t="shared" si="10"/>
        <v>0</v>
      </c>
      <c r="H22" s="180">
        <f t="shared" si="12"/>
        <v>0</v>
      </c>
      <c r="I22" s="171" t="str">
        <f t="shared" si="1"/>
        <v/>
      </c>
      <c r="J22" s="172"/>
      <c r="L22" s="172"/>
      <c r="M22" s="182"/>
      <c r="N22" s="183"/>
      <c r="O22" s="183"/>
    </row>
    <row r="23" s="11" customFormat="1" ht="16" customHeight="1" spans="1:15">
      <c r="A23" s="176" t="s">
        <v>246</v>
      </c>
      <c r="B23" s="177" t="s">
        <v>247</v>
      </c>
      <c r="C23" s="178">
        <f t="shared" si="11"/>
        <v>0</v>
      </c>
      <c r="D23" s="178">
        <f t="shared" si="7"/>
        <v>0</v>
      </c>
      <c r="E23" s="178">
        <f t="shared" si="8"/>
        <v>0</v>
      </c>
      <c r="F23" s="178">
        <f t="shared" si="9"/>
        <v>0</v>
      </c>
      <c r="G23" s="179">
        <f t="shared" si="10"/>
        <v>0</v>
      </c>
      <c r="H23" s="180">
        <f t="shared" si="12"/>
        <v>0</v>
      </c>
      <c r="I23" s="171" t="str">
        <f t="shared" si="1"/>
        <v/>
      </c>
      <c r="J23" s="172" t="s">
        <v>344</v>
      </c>
      <c r="L23" s="172"/>
      <c r="M23" s="182"/>
      <c r="N23" s="183"/>
      <c r="O23" s="183"/>
    </row>
    <row r="24" s="11" customFormat="1" ht="16" customHeight="1" spans="1:15">
      <c r="A24" s="163"/>
      <c r="B24" s="177" t="s">
        <v>248</v>
      </c>
      <c r="C24" s="178">
        <f t="shared" si="11"/>
        <v>0</v>
      </c>
      <c r="D24" s="178">
        <f t="shared" si="7"/>
        <v>0</v>
      </c>
      <c r="E24" s="178">
        <f t="shared" si="8"/>
        <v>0</v>
      </c>
      <c r="F24" s="178">
        <f t="shared" si="9"/>
        <v>0</v>
      </c>
      <c r="G24" s="179">
        <f t="shared" si="10"/>
        <v>0</v>
      </c>
      <c r="H24" s="180">
        <f t="shared" si="12"/>
        <v>0</v>
      </c>
      <c r="I24" s="171" t="str">
        <f t="shared" si="1"/>
        <v/>
      </c>
      <c r="J24" s="172" t="s">
        <v>344</v>
      </c>
      <c r="L24" s="172"/>
      <c r="M24" s="182"/>
      <c r="N24" s="183"/>
      <c r="O24" s="183"/>
    </row>
    <row r="25" s="11" customFormat="1" ht="16" customHeight="1" spans="1:15">
      <c r="A25" s="163"/>
      <c r="B25" s="177" t="s">
        <v>249</v>
      </c>
      <c r="C25" s="178">
        <f t="shared" si="11"/>
        <v>0</v>
      </c>
      <c r="D25" s="178">
        <f t="shared" si="7"/>
        <v>0</v>
      </c>
      <c r="E25" s="178">
        <f t="shared" si="8"/>
        <v>0</v>
      </c>
      <c r="F25" s="178">
        <f t="shared" si="9"/>
        <v>0</v>
      </c>
      <c r="G25" s="179">
        <f t="shared" si="10"/>
        <v>0</v>
      </c>
      <c r="H25" s="180">
        <f t="shared" si="12"/>
        <v>0</v>
      </c>
      <c r="I25" s="171" t="str">
        <f t="shared" si="1"/>
        <v/>
      </c>
      <c r="J25" s="172"/>
      <c r="L25" s="184"/>
      <c r="M25" s="184"/>
      <c r="N25" s="184"/>
      <c r="O25" s="184"/>
    </row>
    <row r="26" s="11" customFormat="1" ht="16" customHeight="1" spans="1:15">
      <c r="A26" s="176" t="s">
        <v>250</v>
      </c>
      <c r="B26" s="177" t="s">
        <v>33</v>
      </c>
      <c r="C26" s="178">
        <f t="shared" si="11"/>
        <v>5.82</v>
      </c>
      <c r="D26" s="178">
        <f t="shared" si="7"/>
        <v>5.82</v>
      </c>
      <c r="E26" s="178">
        <f t="shared" si="8"/>
        <v>5.82</v>
      </c>
      <c r="F26" s="178">
        <f t="shared" si="9"/>
        <v>5.82</v>
      </c>
      <c r="G26" s="179">
        <f t="shared" si="10"/>
        <v>23.28</v>
      </c>
      <c r="H26" s="180">
        <f t="shared" si="12"/>
        <v>15.738566</v>
      </c>
      <c r="I26" s="171">
        <f t="shared" si="1"/>
        <v>0.479169067880771</v>
      </c>
      <c r="J26" s="172" t="s">
        <v>344</v>
      </c>
      <c r="L26" s="181">
        <v>13.268407</v>
      </c>
      <c r="M26" s="182">
        <v>19.2</v>
      </c>
      <c r="N26" s="182">
        <v>2.470159</v>
      </c>
      <c r="O26" s="183">
        <v>4.08</v>
      </c>
    </row>
    <row r="27" s="11" customFormat="1" ht="16" customHeight="1" spans="1:15">
      <c r="A27" s="163"/>
      <c r="B27" s="177" t="s">
        <v>32</v>
      </c>
      <c r="C27" s="178">
        <f t="shared" si="11"/>
        <v>65.25</v>
      </c>
      <c r="D27" s="178">
        <f t="shared" si="7"/>
        <v>65.25</v>
      </c>
      <c r="E27" s="178">
        <f t="shared" si="8"/>
        <v>65.25</v>
      </c>
      <c r="F27" s="178">
        <f t="shared" si="9"/>
        <v>65.25</v>
      </c>
      <c r="G27" s="179">
        <f t="shared" si="10"/>
        <v>261</v>
      </c>
      <c r="H27" s="180">
        <f t="shared" si="12"/>
        <v>181.174323</v>
      </c>
      <c r="I27" s="171">
        <f t="shared" si="1"/>
        <v>0.440601491857099</v>
      </c>
      <c r="J27" s="172" t="s">
        <v>344</v>
      </c>
      <c r="L27" s="181">
        <v>26.665298</v>
      </c>
      <c r="M27" s="182">
        <v>11</v>
      </c>
      <c r="N27" s="182">
        <v>154.509025</v>
      </c>
      <c r="O27" s="183">
        <v>250</v>
      </c>
    </row>
    <row r="28" s="11" customFormat="1" ht="16" customHeight="1" spans="1:15">
      <c r="A28" s="163"/>
      <c r="B28" s="177" t="s">
        <v>251</v>
      </c>
      <c r="C28" s="178">
        <f t="shared" si="11"/>
        <v>0</v>
      </c>
      <c r="D28" s="178">
        <f t="shared" si="7"/>
        <v>0</v>
      </c>
      <c r="E28" s="178">
        <f t="shared" si="8"/>
        <v>0</v>
      </c>
      <c r="F28" s="178">
        <f t="shared" si="9"/>
        <v>0</v>
      </c>
      <c r="G28" s="179">
        <f t="shared" si="10"/>
        <v>0</v>
      </c>
      <c r="H28" s="180">
        <f t="shared" si="12"/>
        <v>0</v>
      </c>
      <c r="I28" s="171" t="str">
        <f t="shared" si="1"/>
        <v/>
      </c>
      <c r="J28" s="172"/>
      <c r="L28" s="172"/>
      <c r="M28" s="182"/>
      <c r="N28" s="183"/>
      <c r="O28" s="183"/>
    </row>
    <row r="29" s="11" customFormat="1" ht="16" customHeight="1" spans="1:15">
      <c r="A29" s="163"/>
      <c r="B29" s="177" t="s">
        <v>252</v>
      </c>
      <c r="C29" s="178">
        <f t="shared" si="11"/>
        <v>6.5</v>
      </c>
      <c r="D29" s="178">
        <f t="shared" si="7"/>
        <v>6.5</v>
      </c>
      <c r="E29" s="178">
        <f t="shared" si="8"/>
        <v>6.5</v>
      </c>
      <c r="F29" s="178">
        <f t="shared" si="9"/>
        <v>6.5</v>
      </c>
      <c r="G29" s="179">
        <f t="shared" si="10"/>
        <v>26</v>
      </c>
      <c r="H29" s="180">
        <f t="shared" si="12"/>
        <v>5.820356</v>
      </c>
      <c r="I29" s="171">
        <f t="shared" si="1"/>
        <v>3.46708070777801</v>
      </c>
      <c r="J29" s="172"/>
      <c r="L29" s="181">
        <v>0.355</v>
      </c>
      <c r="M29" s="182"/>
      <c r="N29" s="182">
        <v>5.465356</v>
      </c>
      <c r="O29" s="183">
        <v>26</v>
      </c>
    </row>
    <row r="30" s="11" customFormat="1" ht="16" customHeight="1" spans="1:15">
      <c r="A30" s="163"/>
      <c r="B30" s="177" t="s">
        <v>253</v>
      </c>
      <c r="C30" s="178">
        <f t="shared" si="11"/>
        <v>0</v>
      </c>
      <c r="D30" s="178">
        <f t="shared" si="7"/>
        <v>0</v>
      </c>
      <c r="E30" s="178">
        <f t="shared" si="8"/>
        <v>0</v>
      </c>
      <c r="F30" s="178">
        <f t="shared" si="9"/>
        <v>0</v>
      </c>
      <c r="G30" s="179">
        <f t="shared" si="10"/>
        <v>0</v>
      </c>
      <c r="H30" s="180">
        <f t="shared" si="12"/>
        <v>0</v>
      </c>
      <c r="I30" s="171" t="str">
        <f t="shared" si="1"/>
        <v/>
      </c>
      <c r="J30" s="172"/>
      <c r="L30" s="172"/>
      <c r="M30" s="182"/>
      <c r="N30" s="183"/>
      <c r="O30" s="183"/>
    </row>
    <row r="31" s="11" customFormat="1" ht="16" customHeight="1" spans="1:15">
      <c r="A31" s="163"/>
      <c r="B31" s="177" t="s">
        <v>254</v>
      </c>
      <c r="C31" s="178">
        <f t="shared" si="11"/>
        <v>0</v>
      </c>
      <c r="D31" s="178">
        <f t="shared" si="7"/>
        <v>0</v>
      </c>
      <c r="E31" s="178">
        <f t="shared" si="8"/>
        <v>0</v>
      </c>
      <c r="F31" s="178">
        <f t="shared" si="9"/>
        <v>0</v>
      </c>
      <c r="G31" s="179">
        <f t="shared" si="10"/>
        <v>0</v>
      </c>
      <c r="H31" s="180">
        <f t="shared" si="12"/>
        <v>2.816</v>
      </c>
      <c r="I31" s="171"/>
      <c r="J31" s="172"/>
      <c r="L31" s="181">
        <v>2.816</v>
      </c>
      <c r="M31" s="182"/>
      <c r="N31" s="183"/>
      <c r="O31" s="183"/>
    </row>
    <row r="32" s="11" customFormat="1" ht="16" customHeight="1" spans="1:15">
      <c r="A32" s="163"/>
      <c r="B32" s="177" t="s">
        <v>255</v>
      </c>
      <c r="C32" s="178">
        <f t="shared" si="11"/>
        <v>0</v>
      </c>
      <c r="D32" s="178">
        <f t="shared" si="7"/>
        <v>0</v>
      </c>
      <c r="E32" s="178">
        <f t="shared" si="8"/>
        <v>0</v>
      </c>
      <c r="F32" s="178">
        <f t="shared" si="9"/>
        <v>0</v>
      </c>
      <c r="G32" s="179">
        <f t="shared" si="10"/>
        <v>0</v>
      </c>
      <c r="H32" s="180">
        <f t="shared" si="12"/>
        <v>0</v>
      </c>
      <c r="I32" s="171" t="str">
        <f t="shared" ref="I32:I42" si="13">IFERROR(G32/H32-1,"")</f>
        <v/>
      </c>
      <c r="J32" s="172"/>
      <c r="L32" s="172"/>
      <c r="M32" s="182"/>
      <c r="N32" s="183"/>
      <c r="O32" s="183"/>
    </row>
    <row r="33" s="11" customFormat="1" ht="16" customHeight="1" spans="1:15">
      <c r="A33" s="176" t="s">
        <v>256</v>
      </c>
      <c r="B33" s="177" t="s">
        <v>257</v>
      </c>
      <c r="C33" s="178">
        <f t="shared" si="11"/>
        <v>0</v>
      </c>
      <c r="D33" s="178">
        <f t="shared" si="7"/>
        <v>0</v>
      </c>
      <c r="E33" s="178">
        <f t="shared" si="8"/>
        <v>0</v>
      </c>
      <c r="F33" s="178">
        <f t="shared" si="9"/>
        <v>0</v>
      </c>
      <c r="G33" s="179">
        <f t="shared" si="10"/>
        <v>0</v>
      </c>
      <c r="H33" s="180">
        <f t="shared" si="12"/>
        <v>0</v>
      </c>
      <c r="I33" s="171" t="str">
        <f t="shared" si="13"/>
        <v/>
      </c>
      <c r="J33" s="172"/>
      <c r="L33" s="184"/>
      <c r="M33" s="184"/>
      <c r="N33" s="184"/>
      <c r="O33" s="184"/>
    </row>
    <row r="34" s="11" customFormat="1" ht="16" customHeight="1" spans="1:15">
      <c r="A34" s="163"/>
      <c r="B34" s="177" t="s">
        <v>258</v>
      </c>
      <c r="C34" s="178">
        <f t="shared" si="11"/>
        <v>0</v>
      </c>
      <c r="D34" s="178">
        <f t="shared" si="7"/>
        <v>0</v>
      </c>
      <c r="E34" s="178">
        <f t="shared" si="8"/>
        <v>0</v>
      </c>
      <c r="F34" s="178">
        <f t="shared" si="9"/>
        <v>0</v>
      </c>
      <c r="G34" s="179">
        <f t="shared" si="10"/>
        <v>0</v>
      </c>
      <c r="H34" s="180">
        <f t="shared" si="12"/>
        <v>0</v>
      </c>
      <c r="I34" s="171" t="str">
        <f t="shared" si="13"/>
        <v/>
      </c>
      <c r="J34" s="172"/>
      <c r="L34" s="184"/>
      <c r="M34" s="184"/>
      <c r="N34" s="184"/>
      <c r="O34" s="184"/>
    </row>
    <row r="35" s="11" customFormat="1" ht="16" customHeight="1" spans="1:15">
      <c r="A35" s="163"/>
      <c r="B35" s="177" t="s">
        <v>259</v>
      </c>
      <c r="C35" s="178">
        <f t="shared" si="11"/>
        <v>0</v>
      </c>
      <c r="D35" s="178">
        <f t="shared" si="7"/>
        <v>0</v>
      </c>
      <c r="E35" s="178">
        <f t="shared" si="8"/>
        <v>0</v>
      </c>
      <c r="F35" s="178">
        <f t="shared" si="9"/>
        <v>0</v>
      </c>
      <c r="G35" s="179">
        <f t="shared" si="10"/>
        <v>0</v>
      </c>
      <c r="H35" s="180">
        <f t="shared" si="12"/>
        <v>0.213274</v>
      </c>
      <c r="I35" s="171">
        <f t="shared" si="13"/>
        <v>-1</v>
      </c>
      <c r="J35" s="172"/>
      <c r="L35" s="181">
        <v>0.213274</v>
      </c>
      <c r="M35" s="183"/>
      <c r="N35" s="172"/>
      <c r="O35" s="172"/>
    </row>
    <row r="36" s="11" customFormat="1" ht="16" customHeight="1" spans="1:15">
      <c r="A36" s="176" t="s">
        <v>39</v>
      </c>
      <c r="B36" s="177" t="s">
        <v>260</v>
      </c>
      <c r="C36" s="178">
        <f t="shared" si="11"/>
        <v>0</v>
      </c>
      <c r="D36" s="178">
        <f t="shared" si="7"/>
        <v>0</v>
      </c>
      <c r="E36" s="178">
        <f t="shared" si="8"/>
        <v>0</v>
      </c>
      <c r="F36" s="178">
        <f t="shared" si="9"/>
        <v>0</v>
      </c>
      <c r="G36" s="179">
        <f t="shared" si="10"/>
        <v>0</v>
      </c>
      <c r="H36" s="180">
        <f t="shared" si="12"/>
        <v>0</v>
      </c>
      <c r="I36" s="171" t="str">
        <f t="shared" si="13"/>
        <v/>
      </c>
      <c r="J36" s="172"/>
      <c r="L36" s="172"/>
      <c r="M36" s="172"/>
      <c r="N36" s="184"/>
      <c r="O36" s="184"/>
    </row>
    <row r="37" s="11" customFormat="1" ht="16" customHeight="1" spans="1:15">
      <c r="A37" s="163"/>
      <c r="B37" s="177" t="s">
        <v>261</v>
      </c>
      <c r="C37" s="178">
        <f t="shared" si="11"/>
        <v>0</v>
      </c>
      <c r="D37" s="178">
        <f t="shared" si="7"/>
        <v>0</v>
      </c>
      <c r="E37" s="178">
        <f t="shared" si="8"/>
        <v>0</v>
      </c>
      <c r="F37" s="178">
        <f t="shared" si="9"/>
        <v>0</v>
      </c>
      <c r="G37" s="179">
        <f t="shared" si="10"/>
        <v>0</v>
      </c>
      <c r="H37" s="180">
        <f t="shared" si="12"/>
        <v>0</v>
      </c>
      <c r="I37" s="171" t="str">
        <f t="shared" si="13"/>
        <v/>
      </c>
      <c r="J37" s="172"/>
      <c r="L37" s="172"/>
      <c r="M37" s="172"/>
      <c r="N37" s="184"/>
      <c r="O37" s="184"/>
    </row>
    <row r="38" s="11" customFormat="1" ht="16" customHeight="1" spans="1:15">
      <c r="A38" s="163"/>
      <c r="B38" s="177" t="s">
        <v>262</v>
      </c>
      <c r="C38" s="178">
        <f t="shared" si="11"/>
        <v>0</v>
      </c>
      <c r="D38" s="178">
        <f t="shared" si="7"/>
        <v>0</v>
      </c>
      <c r="E38" s="178">
        <f t="shared" si="8"/>
        <v>0</v>
      </c>
      <c r="F38" s="178">
        <f t="shared" si="9"/>
        <v>0</v>
      </c>
      <c r="G38" s="179">
        <f t="shared" si="10"/>
        <v>0</v>
      </c>
      <c r="H38" s="180">
        <f t="shared" si="12"/>
        <v>0.095763</v>
      </c>
      <c r="I38" s="171">
        <f t="shared" si="13"/>
        <v>-1</v>
      </c>
      <c r="J38" s="181" t="s">
        <v>345</v>
      </c>
      <c r="L38" s="181">
        <v>0.095763</v>
      </c>
      <c r="M38" s="172"/>
      <c r="N38" s="184"/>
      <c r="O38" s="184"/>
    </row>
    <row r="39" s="11" customFormat="1" ht="16" customHeight="1" spans="1:15">
      <c r="A39" s="163"/>
      <c r="B39" s="177" t="s">
        <v>19</v>
      </c>
      <c r="C39" s="178">
        <f t="shared" si="11"/>
        <v>0</v>
      </c>
      <c r="D39" s="178">
        <f t="shared" si="7"/>
        <v>0</v>
      </c>
      <c r="E39" s="178">
        <f t="shared" si="8"/>
        <v>0</v>
      </c>
      <c r="F39" s="178">
        <f t="shared" si="9"/>
        <v>0</v>
      </c>
      <c r="G39" s="179">
        <f t="shared" si="10"/>
        <v>0</v>
      </c>
      <c r="H39" s="180">
        <f t="shared" si="12"/>
        <v>0</v>
      </c>
      <c r="I39" s="171" t="str">
        <f t="shared" si="13"/>
        <v/>
      </c>
      <c r="J39" s="172"/>
      <c r="L39" s="172"/>
      <c r="M39" s="172"/>
      <c r="N39" s="184"/>
      <c r="O39" s="184"/>
    </row>
    <row r="40" s="11" customFormat="1" ht="16" customHeight="1" spans="1:15">
      <c r="A40" s="163"/>
      <c r="B40" s="177" t="s">
        <v>263</v>
      </c>
      <c r="C40" s="178">
        <f t="shared" si="11"/>
        <v>0</v>
      </c>
      <c r="D40" s="178">
        <f t="shared" si="7"/>
        <v>0</v>
      </c>
      <c r="E40" s="178">
        <f t="shared" si="8"/>
        <v>0</v>
      </c>
      <c r="F40" s="178">
        <f t="shared" si="9"/>
        <v>0</v>
      </c>
      <c r="G40" s="179">
        <f t="shared" si="10"/>
        <v>0</v>
      </c>
      <c r="H40" s="180">
        <f t="shared" si="12"/>
        <v>0</v>
      </c>
      <c r="I40" s="171" t="str">
        <f t="shared" si="13"/>
        <v/>
      </c>
      <c r="J40" s="172"/>
      <c r="L40" s="172"/>
      <c r="M40" s="172"/>
      <c r="N40" s="184"/>
      <c r="O40" s="184"/>
    </row>
    <row r="41" s="11" customFormat="1" ht="16" customHeight="1" spans="1:15">
      <c r="A41" s="163"/>
      <c r="B41" s="177" t="s">
        <v>264</v>
      </c>
      <c r="C41" s="178">
        <f t="shared" si="11"/>
        <v>0</v>
      </c>
      <c r="D41" s="178">
        <f t="shared" si="7"/>
        <v>0</v>
      </c>
      <c r="E41" s="178">
        <f t="shared" si="8"/>
        <v>0</v>
      </c>
      <c r="F41" s="178">
        <f t="shared" si="9"/>
        <v>0</v>
      </c>
      <c r="G41" s="179">
        <f t="shared" si="10"/>
        <v>0</v>
      </c>
      <c r="H41" s="180">
        <f t="shared" si="12"/>
        <v>0</v>
      </c>
      <c r="I41" s="171" t="str">
        <f t="shared" si="13"/>
        <v/>
      </c>
      <c r="J41" s="172"/>
      <c r="L41" s="172"/>
      <c r="M41" s="172"/>
      <c r="N41" s="183"/>
      <c r="O41" s="183"/>
    </row>
    <row r="42" s="11" customFormat="1" ht="16" customHeight="1" spans="1:15">
      <c r="A42" s="163"/>
      <c r="B42" s="177" t="s">
        <v>265</v>
      </c>
      <c r="C42" s="178">
        <f t="shared" si="11"/>
        <v>0</v>
      </c>
      <c r="D42" s="178">
        <f t="shared" si="7"/>
        <v>0</v>
      </c>
      <c r="E42" s="178">
        <f t="shared" si="8"/>
        <v>0</v>
      </c>
      <c r="F42" s="178">
        <f t="shared" si="9"/>
        <v>0</v>
      </c>
      <c r="G42" s="179">
        <f t="shared" si="10"/>
        <v>0</v>
      </c>
      <c r="H42" s="180">
        <f t="shared" si="12"/>
        <v>0</v>
      </c>
      <c r="I42" s="171" t="str">
        <f t="shared" si="13"/>
        <v/>
      </c>
      <c r="J42" s="172"/>
      <c r="L42" s="172"/>
      <c r="M42" s="172"/>
      <c r="N42" s="172"/>
      <c r="O42" s="172"/>
    </row>
    <row r="43" s="11" customFormat="1" ht="16" customHeight="1" spans="1:15">
      <c r="A43" s="163"/>
      <c r="B43" s="177" t="s">
        <v>266</v>
      </c>
      <c r="C43" s="178">
        <f t="shared" si="11"/>
        <v>0</v>
      </c>
      <c r="D43" s="178">
        <f t="shared" si="7"/>
        <v>0</v>
      </c>
      <c r="E43" s="178">
        <f t="shared" si="8"/>
        <v>0</v>
      </c>
      <c r="F43" s="178">
        <f t="shared" si="9"/>
        <v>0</v>
      </c>
      <c r="G43" s="179">
        <f t="shared" si="10"/>
        <v>0</v>
      </c>
      <c r="H43" s="180">
        <f t="shared" si="12"/>
        <v>0</v>
      </c>
      <c r="I43" s="185"/>
      <c r="J43" s="172"/>
      <c r="L43" s="172"/>
      <c r="M43" s="172"/>
      <c r="N43" s="172"/>
      <c r="O43" s="172"/>
    </row>
    <row r="44" s="11" customFormat="1" ht="16" customHeight="1" spans="1:15">
      <c r="A44" s="163"/>
      <c r="B44" s="177" t="s">
        <v>203</v>
      </c>
      <c r="C44" s="178">
        <f t="shared" si="11"/>
        <v>0</v>
      </c>
      <c r="D44" s="178">
        <f t="shared" si="7"/>
        <v>0</v>
      </c>
      <c r="E44" s="178">
        <f t="shared" si="8"/>
        <v>0</v>
      </c>
      <c r="F44" s="178">
        <f t="shared" si="9"/>
        <v>0</v>
      </c>
      <c r="G44" s="179">
        <f t="shared" si="10"/>
        <v>0</v>
      </c>
      <c r="H44" s="180">
        <f t="shared" si="12"/>
        <v>0</v>
      </c>
      <c r="I44" s="171" t="str">
        <f>IFERROR(G44/H44-1,"")</f>
        <v/>
      </c>
      <c r="J44" s="172"/>
      <c r="L44" s="172"/>
      <c r="M44" s="172"/>
      <c r="N44" s="172"/>
      <c r="O44" s="172"/>
    </row>
    <row r="45" s="11" customFormat="1" ht="16" customHeight="1" spans="1:15">
      <c r="A45" s="176" t="s">
        <v>267</v>
      </c>
      <c r="B45" s="177" t="s">
        <v>268</v>
      </c>
      <c r="C45" s="186"/>
      <c r="D45" s="186"/>
      <c r="E45" s="186"/>
      <c r="F45" s="186"/>
      <c r="G45" s="187">
        <f t="shared" si="10"/>
        <v>0</v>
      </c>
      <c r="H45" s="180"/>
      <c r="I45" s="188" t="str">
        <f>IFERROR(G45/(H45+H46+H47+H48+H49+H50+H51)-1,"")</f>
        <v/>
      </c>
      <c r="J45" s="172" t="s">
        <v>269</v>
      </c>
      <c r="L45" s="172"/>
      <c r="M45" s="172"/>
      <c r="N45" s="184"/>
      <c r="O45" s="184"/>
    </row>
    <row r="46" s="11" customFormat="1" ht="16" customHeight="1" spans="1:15">
      <c r="A46" s="163"/>
      <c r="B46" s="177" t="s">
        <v>270</v>
      </c>
      <c r="C46" s="189"/>
      <c r="D46" s="189"/>
      <c r="E46" s="189"/>
      <c r="F46" s="189"/>
      <c r="G46" s="190"/>
      <c r="H46" s="180"/>
      <c r="I46" s="191"/>
      <c r="J46" s="172" t="s">
        <v>269</v>
      </c>
      <c r="L46" s="172"/>
      <c r="M46" s="172"/>
      <c r="N46" s="184"/>
      <c r="O46" s="184"/>
    </row>
    <row r="47" s="11" customFormat="1" ht="16" customHeight="1" spans="1:15">
      <c r="A47" s="163"/>
      <c r="B47" s="177" t="s">
        <v>271</v>
      </c>
      <c r="C47" s="189"/>
      <c r="D47" s="189"/>
      <c r="E47" s="189"/>
      <c r="F47" s="189"/>
      <c r="G47" s="190"/>
      <c r="H47" s="180"/>
      <c r="I47" s="191"/>
      <c r="J47" s="172" t="s">
        <v>269</v>
      </c>
      <c r="L47" s="172"/>
      <c r="M47" s="172"/>
      <c r="N47" s="184"/>
      <c r="O47" s="184"/>
    </row>
    <row r="48" s="11" customFormat="1" ht="16" customHeight="1" spans="1:15">
      <c r="A48" s="163"/>
      <c r="B48" s="177" t="s">
        <v>272</v>
      </c>
      <c r="C48" s="189"/>
      <c r="D48" s="189"/>
      <c r="E48" s="189"/>
      <c r="F48" s="189"/>
      <c r="G48" s="190"/>
      <c r="H48" s="180"/>
      <c r="I48" s="191"/>
      <c r="J48" s="172" t="s">
        <v>269</v>
      </c>
      <c r="L48" s="172"/>
      <c r="M48" s="172"/>
      <c r="N48" s="184"/>
      <c r="O48" s="184"/>
    </row>
    <row r="49" s="11" customFormat="1" ht="16" customHeight="1" spans="1:15">
      <c r="A49" s="163"/>
      <c r="B49" s="177" t="s">
        <v>273</v>
      </c>
      <c r="C49" s="189"/>
      <c r="D49" s="189"/>
      <c r="E49" s="189"/>
      <c r="F49" s="189"/>
      <c r="G49" s="190"/>
      <c r="H49" s="180"/>
      <c r="I49" s="191"/>
      <c r="J49" s="172" t="s">
        <v>269</v>
      </c>
      <c r="L49" s="172"/>
      <c r="M49" s="172"/>
      <c r="N49" s="184"/>
      <c r="O49" s="184"/>
    </row>
    <row r="50" s="11" customFormat="1" ht="16" customHeight="1" spans="1:15">
      <c r="A50" s="163"/>
      <c r="B50" s="177" t="s">
        <v>274</v>
      </c>
      <c r="C50" s="189"/>
      <c r="D50" s="189"/>
      <c r="E50" s="189"/>
      <c r="F50" s="189"/>
      <c r="G50" s="190"/>
      <c r="H50" s="180"/>
      <c r="I50" s="191"/>
      <c r="J50" s="172" t="s">
        <v>269</v>
      </c>
      <c r="L50" s="172"/>
      <c r="M50" s="172"/>
      <c r="N50" s="184"/>
      <c r="O50" s="184"/>
    </row>
    <row r="51" s="11" customFormat="1" ht="16" customHeight="1" spans="1:15">
      <c r="A51" s="163"/>
      <c r="B51" s="177" t="s">
        <v>275</v>
      </c>
      <c r="C51" s="192"/>
      <c r="D51" s="192"/>
      <c r="E51" s="192"/>
      <c r="F51" s="192"/>
      <c r="G51" s="193"/>
      <c r="H51" s="180"/>
      <c r="I51" s="194"/>
      <c r="J51" s="172"/>
      <c r="L51" s="172"/>
      <c r="M51" s="172"/>
      <c r="N51" s="172"/>
      <c r="O51" s="172"/>
    </row>
    <row r="55" s="11" customFormat="1" spans="1:15">
      <c r="G55" s="195"/>
      <c r="I55" s="142"/>
    </row>
    <row r="56" s="11" customFormat="1" spans="1:15">
      <c r="G56" s="196"/>
      <c r="I56" s="142"/>
    </row>
    <row r="60" s="11" customFormat="1" spans="1:15">
      <c r="H60" s="197"/>
      <c r="I60" s="142"/>
    </row>
  </sheetData>
  <mergeCells count="33">
    <mergeCell ref="A1:I1"/>
    <mergeCell ref="A2:B2"/>
    <mergeCell ref="L3:M3"/>
    <mergeCell ref="N3:O3"/>
    <mergeCell ref="A5:B5"/>
    <mergeCell ref="A6:B6"/>
    <mergeCell ref="A7:B7"/>
    <mergeCell ref="A8:B8"/>
    <mergeCell ref="A9:B9"/>
    <mergeCell ref="A10:B10"/>
    <mergeCell ref="A11:B11"/>
    <mergeCell ref="A12:B12"/>
    <mergeCell ref="A13:A22"/>
    <mergeCell ref="A23:A25"/>
    <mergeCell ref="A26:A32"/>
    <mergeCell ref="A33:A35"/>
    <mergeCell ref="A36:A44"/>
    <mergeCell ref="A45:A51"/>
    <mergeCell ref="C3:C4"/>
    <mergeCell ref="C45:C51"/>
    <mergeCell ref="D3:D4"/>
    <mergeCell ref="D45:D51"/>
    <mergeCell ref="E3:E4"/>
    <mergeCell ref="E45:E51"/>
    <mergeCell ref="F3:F4"/>
    <mergeCell ref="F45:F51"/>
    <mergeCell ref="G3:G4"/>
    <mergeCell ref="G45:G51"/>
    <mergeCell ref="H3:H4"/>
    <mergeCell ref="I3:I4"/>
    <mergeCell ref="I45:I51"/>
    <mergeCell ref="J3:J4"/>
    <mergeCell ref="A3:B4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T18"/>
  <sheetViews>
    <sheetView showGridLines="0" workbookViewId="0">
      <selection activeCell="K22" sqref="K22"/>
    </sheetView>
  </sheetViews>
  <sheetFormatPr defaultColWidth="9" defaultRowHeight="14.25"/>
  <cols>
    <col min="1" max="1" width="5.75" customWidth="1"/>
    <col min="2" max="2" width="19.75" customWidth="1"/>
    <col min="3" max="3" width="9.33333333333333" customWidth="1"/>
    <col min="8" max="8" width="8.08333333333333" customWidth="1"/>
    <col min="9" max="9" width="12.75" customWidth="1"/>
    <col min="17" max="18" width="9.25" customWidth="1"/>
    <col min="19" max="19" width="10.3333333333333" customWidth="1"/>
  </cols>
  <sheetData>
    <row r="1" s="46" customFormat="1" ht="23.5" customHeight="1" spans="1:20">
      <c r="A1" s="104"/>
      <c r="B1" s="105"/>
      <c r="C1" s="105"/>
      <c r="D1" s="105"/>
      <c r="E1" s="105"/>
      <c r="F1" s="105"/>
      <c r="G1" s="106" t="s">
        <v>43</v>
      </c>
      <c r="H1" s="105"/>
      <c r="I1" s="106" t="s">
        <v>349</v>
      </c>
      <c r="J1" s="107"/>
      <c r="K1" s="107"/>
      <c r="L1" s="107"/>
      <c r="M1" s="107"/>
      <c r="N1" s="107"/>
      <c r="O1" s="107"/>
      <c r="P1" s="105"/>
      <c r="Q1" s="105"/>
      <c r="R1" s="105"/>
      <c r="S1" s="108"/>
      <c r="T1" s="109"/>
    </row>
    <row r="2" s="46" customFormat="1" ht="42.75" spans="1:20">
      <c r="A2" s="110" t="s">
        <v>277</v>
      </c>
      <c r="B2" s="111" t="s">
        <v>350</v>
      </c>
      <c r="C2" s="111" t="s">
        <v>351</v>
      </c>
      <c r="D2" s="111" t="s">
        <v>143</v>
      </c>
      <c r="E2" s="111" t="s">
        <v>352</v>
      </c>
      <c r="F2" s="111" t="s">
        <v>353</v>
      </c>
      <c r="G2" s="112" t="s">
        <v>354</v>
      </c>
      <c r="H2" s="112" t="s">
        <v>355</v>
      </c>
      <c r="I2" s="112" t="s">
        <v>356</v>
      </c>
      <c r="J2" s="112" t="s">
        <v>357</v>
      </c>
      <c r="K2" s="112" t="s">
        <v>358</v>
      </c>
      <c r="L2" s="112" t="s">
        <v>359</v>
      </c>
      <c r="M2" s="112" t="s">
        <v>360</v>
      </c>
      <c r="N2" s="112" t="s">
        <v>361</v>
      </c>
      <c r="O2" s="112" t="s">
        <v>362</v>
      </c>
      <c r="P2" s="112" t="s">
        <v>363</v>
      </c>
      <c r="Q2" s="113" t="s">
        <v>364</v>
      </c>
      <c r="R2" s="113" t="s">
        <v>34</v>
      </c>
      <c r="S2" s="112" t="s">
        <v>365</v>
      </c>
      <c r="T2" s="114"/>
    </row>
    <row r="3" s="46" customFormat="1" ht="16.5" spans="1:20">
      <c r="A3" s="115">
        <v>1</v>
      </c>
      <c r="B3" s="12" t="s">
        <v>366</v>
      </c>
      <c r="C3" s="116"/>
      <c r="D3" s="117"/>
      <c r="E3" s="12" t="s">
        <v>367</v>
      </c>
      <c r="F3" s="116" t="s">
        <v>368</v>
      </c>
      <c r="G3" s="118"/>
      <c r="H3" s="118"/>
      <c r="I3" s="119"/>
      <c r="J3" s="120">
        <v>1</v>
      </c>
      <c r="K3" s="118"/>
      <c r="L3" s="121"/>
      <c r="M3" s="121"/>
      <c r="N3" s="122"/>
      <c r="O3" s="120">
        <v>2</v>
      </c>
      <c r="P3" s="120">
        <v>2</v>
      </c>
      <c r="Q3" s="123">
        <v>2</v>
      </c>
      <c r="R3" s="123"/>
      <c r="S3" s="124">
        <f t="shared" ref="S3:S14" si="0">SUM(I3:R3)</f>
        <v>7</v>
      </c>
      <c r="T3" s="114"/>
    </row>
    <row r="4" s="46" customFormat="1" ht="16.5" spans="1:20">
      <c r="A4" s="115">
        <v>2</v>
      </c>
      <c r="B4" s="12" t="s">
        <v>369</v>
      </c>
      <c r="C4" s="116"/>
      <c r="D4" s="117"/>
      <c r="E4" s="12" t="s">
        <v>367</v>
      </c>
      <c r="F4" s="116" t="s">
        <v>368</v>
      </c>
      <c r="G4" s="118"/>
      <c r="H4" s="118"/>
      <c r="I4" s="119"/>
      <c r="J4" s="120">
        <v>5</v>
      </c>
      <c r="K4" s="118"/>
      <c r="L4" s="121"/>
      <c r="M4" s="121"/>
      <c r="N4" s="122"/>
      <c r="O4" s="120">
        <v>12</v>
      </c>
      <c r="P4" s="120">
        <f>5+2.5</f>
        <v>7.5</v>
      </c>
      <c r="Q4" s="120">
        <v>6</v>
      </c>
      <c r="R4" s="120"/>
      <c r="S4" s="124">
        <f t="shared" si="0"/>
        <v>30.5</v>
      </c>
      <c r="T4" s="114"/>
    </row>
    <row r="5" s="46" customFormat="1" ht="16.5" spans="1:20">
      <c r="A5" s="115">
        <v>3</v>
      </c>
      <c r="B5" s="12" t="s">
        <v>370</v>
      </c>
      <c r="C5" s="116"/>
      <c r="D5" s="117"/>
      <c r="E5" s="12" t="s">
        <v>371</v>
      </c>
      <c r="F5" s="116" t="s">
        <v>372</v>
      </c>
      <c r="G5" s="118"/>
      <c r="H5" s="118"/>
      <c r="I5" s="119"/>
      <c r="J5" s="120">
        <v>4</v>
      </c>
      <c r="K5" s="118"/>
      <c r="L5" s="121"/>
      <c r="M5" s="121"/>
      <c r="N5" s="122"/>
      <c r="O5" s="120">
        <v>6</v>
      </c>
      <c r="P5" s="120">
        <f>4+2</f>
        <v>6</v>
      </c>
      <c r="Q5" s="120">
        <v>2</v>
      </c>
      <c r="R5" s="120"/>
      <c r="S5" s="124">
        <f t="shared" si="0"/>
        <v>18</v>
      </c>
      <c r="T5" s="114"/>
    </row>
    <row r="6" s="46" customFormat="1" ht="16.5" spans="1:20">
      <c r="A6" s="115">
        <v>4</v>
      </c>
      <c r="B6" s="12" t="s">
        <v>373</v>
      </c>
      <c r="C6" s="116"/>
      <c r="D6" s="117"/>
      <c r="E6" s="12" t="s">
        <v>374</v>
      </c>
      <c r="F6" s="116" t="s">
        <v>375</v>
      </c>
      <c r="G6" s="118"/>
      <c r="H6" s="118"/>
      <c r="I6" s="119"/>
      <c r="J6" s="120">
        <v>2</v>
      </c>
      <c r="K6" s="125"/>
      <c r="L6" s="118"/>
      <c r="M6" s="122"/>
      <c r="N6" s="122"/>
      <c r="O6" s="120"/>
      <c r="P6" s="120">
        <v>2.5</v>
      </c>
      <c r="Q6" s="120">
        <v>1</v>
      </c>
      <c r="R6" s="120"/>
      <c r="S6" s="124">
        <f t="shared" si="0"/>
        <v>5.5</v>
      </c>
      <c r="T6" s="114"/>
    </row>
    <row r="7" s="46" customFormat="1" ht="16.5" spans="1:20">
      <c r="A7" s="115">
        <v>5</v>
      </c>
      <c r="B7" s="12" t="s">
        <v>376</v>
      </c>
      <c r="C7" s="116"/>
      <c r="D7" s="117"/>
      <c r="E7" s="12" t="s">
        <v>377</v>
      </c>
      <c r="F7" s="116" t="s">
        <v>378</v>
      </c>
      <c r="G7" s="118"/>
      <c r="H7" s="118"/>
      <c r="I7" s="119"/>
      <c r="J7" s="120">
        <v>10</v>
      </c>
      <c r="K7" s="118"/>
      <c r="L7" s="118"/>
      <c r="M7" s="122"/>
      <c r="N7" s="122"/>
      <c r="O7" s="120">
        <v>10</v>
      </c>
      <c r="P7" s="120"/>
      <c r="Q7" s="120">
        <v>10</v>
      </c>
      <c r="R7" s="120"/>
      <c r="S7" s="124">
        <f t="shared" si="0"/>
        <v>30</v>
      </c>
      <c r="T7" s="114"/>
    </row>
    <row r="8" s="46" customFormat="1" ht="16.5" spans="1:20">
      <c r="A8" s="115">
        <v>6</v>
      </c>
      <c r="B8" s="12" t="s">
        <v>379</v>
      </c>
      <c r="C8" s="116"/>
      <c r="D8" s="117"/>
      <c r="E8" s="12" t="s">
        <v>380</v>
      </c>
      <c r="F8" s="122"/>
      <c r="G8" s="118"/>
      <c r="H8" s="118"/>
      <c r="I8" s="119"/>
      <c r="J8" s="125"/>
      <c r="K8" s="125"/>
      <c r="L8" s="118"/>
      <c r="M8" s="122"/>
      <c r="N8" s="122"/>
      <c r="O8" s="120">
        <v>1</v>
      </c>
      <c r="P8" s="120"/>
      <c r="Q8" s="120">
        <v>5</v>
      </c>
      <c r="R8" s="120"/>
      <c r="S8" s="124">
        <f t="shared" si="0"/>
        <v>6</v>
      </c>
      <c r="T8" s="114"/>
    </row>
    <row r="9" s="46" customFormat="1" ht="16.5" spans="1:20">
      <c r="A9" s="115">
        <v>7</v>
      </c>
      <c r="B9" s="12" t="s">
        <v>381</v>
      </c>
      <c r="C9" s="116"/>
      <c r="D9" s="117"/>
      <c r="E9" s="126" t="s">
        <v>375</v>
      </c>
      <c r="F9" s="122"/>
      <c r="G9" s="118"/>
      <c r="H9" s="118"/>
      <c r="I9" s="119"/>
      <c r="J9" s="125"/>
      <c r="K9" s="125"/>
      <c r="L9" s="118"/>
      <c r="M9" s="122"/>
      <c r="N9" s="122"/>
      <c r="O9" s="120"/>
      <c r="P9" s="120">
        <v>4</v>
      </c>
      <c r="Q9" s="120"/>
      <c r="R9" s="120"/>
      <c r="S9" s="124">
        <f t="shared" si="0"/>
        <v>4</v>
      </c>
      <c r="T9" s="114"/>
    </row>
    <row r="10" s="46" customFormat="1" ht="16.5" spans="1:20">
      <c r="A10" s="115">
        <v>8</v>
      </c>
      <c r="B10" s="12" t="s">
        <v>382</v>
      </c>
      <c r="C10" s="116"/>
      <c r="D10" s="117"/>
      <c r="E10" s="12" t="s">
        <v>380</v>
      </c>
      <c r="F10" s="122"/>
      <c r="G10" s="118"/>
      <c r="H10" s="118"/>
      <c r="I10" s="119"/>
      <c r="J10" s="118"/>
      <c r="K10" s="118"/>
      <c r="L10" s="118"/>
      <c r="M10" s="122"/>
      <c r="N10" s="122"/>
      <c r="O10" s="122"/>
      <c r="P10" s="122"/>
      <c r="Q10" s="118"/>
      <c r="R10" s="120">
        <v>55</v>
      </c>
      <c r="S10" s="124">
        <f t="shared" si="0"/>
        <v>55</v>
      </c>
      <c r="T10" s="114"/>
    </row>
    <row r="11" s="46" customFormat="1" ht="16.5" spans="1:20">
      <c r="A11" s="115">
        <v>9</v>
      </c>
      <c r="B11" s="12" t="s">
        <v>383</v>
      </c>
      <c r="C11" s="116"/>
      <c r="D11" s="117"/>
      <c r="E11" s="12" t="s">
        <v>380</v>
      </c>
      <c r="F11" s="122"/>
      <c r="G11" s="118"/>
      <c r="H11" s="118"/>
      <c r="I11" s="119"/>
      <c r="J11" s="118"/>
      <c r="K11" s="118"/>
      <c r="L11" s="118"/>
      <c r="M11" s="122"/>
      <c r="N11" s="122"/>
      <c r="O11" s="122"/>
      <c r="P11" s="122"/>
      <c r="Q11" s="118"/>
      <c r="R11" s="120">
        <v>15</v>
      </c>
      <c r="S11" s="124">
        <f t="shared" si="0"/>
        <v>15</v>
      </c>
      <c r="T11" s="114"/>
    </row>
    <row r="12" s="46" customFormat="1" ht="16.5" spans="1:20">
      <c r="A12" s="115">
        <v>10</v>
      </c>
      <c r="B12" s="127" t="s">
        <v>384</v>
      </c>
      <c r="C12" s="116"/>
      <c r="D12" s="117"/>
      <c r="E12" s="127" t="s">
        <v>380</v>
      </c>
      <c r="F12" s="122"/>
      <c r="G12" s="118"/>
      <c r="H12" s="118"/>
      <c r="I12" s="119"/>
      <c r="J12" s="118"/>
      <c r="K12" s="118"/>
      <c r="L12" s="118"/>
      <c r="M12" s="122"/>
      <c r="N12" s="122"/>
      <c r="O12" s="122"/>
      <c r="P12" s="122"/>
      <c r="Q12" s="118"/>
      <c r="R12" s="120">
        <v>65</v>
      </c>
      <c r="S12" s="124">
        <f t="shared" si="0"/>
        <v>65</v>
      </c>
      <c r="T12" s="114"/>
    </row>
    <row r="13" s="46" customFormat="1" ht="16.5" spans="1:20">
      <c r="A13" s="115">
        <v>11</v>
      </c>
      <c r="B13" s="128" t="s">
        <v>385</v>
      </c>
      <c r="C13" s="122"/>
      <c r="D13" s="129"/>
      <c r="E13" s="129" t="s">
        <v>380</v>
      </c>
      <c r="F13" s="122"/>
      <c r="G13" s="118"/>
      <c r="H13" s="118"/>
      <c r="I13" s="130"/>
      <c r="J13" s="118"/>
      <c r="K13" s="118"/>
      <c r="L13" s="118"/>
      <c r="M13" s="122"/>
      <c r="N13" s="122"/>
      <c r="O13" s="122"/>
      <c r="P13" s="122"/>
      <c r="Q13" s="118"/>
      <c r="R13" s="120">
        <v>25</v>
      </c>
      <c r="S13" s="124">
        <f t="shared" si="0"/>
        <v>25</v>
      </c>
      <c r="T13" s="114"/>
    </row>
    <row r="14" ht="16.5" spans="1:20">
      <c r="A14" s="115" t="s">
        <v>153</v>
      </c>
      <c r="B14" s="128"/>
      <c r="C14" s="122"/>
      <c r="D14" s="129"/>
      <c r="E14" s="129"/>
      <c r="F14" s="122"/>
      <c r="G14" s="118"/>
      <c r="H14" s="118"/>
      <c r="I14" s="130">
        <f>SUM(I3:I13)</f>
        <v>0</v>
      </c>
      <c r="J14" s="130">
        <f t="shared" ref="J14:S14" si="1">SUM(J3:J13)</f>
        <v>22</v>
      </c>
      <c r="K14" s="130">
        <f t="shared" si="1"/>
        <v>0</v>
      </c>
      <c r="L14" s="130">
        <f t="shared" si="1"/>
        <v>0</v>
      </c>
      <c r="M14" s="130">
        <f t="shared" si="1"/>
        <v>0</v>
      </c>
      <c r="N14" s="130">
        <f t="shared" si="1"/>
        <v>0</v>
      </c>
      <c r="O14" s="130">
        <f t="shared" si="1"/>
        <v>31</v>
      </c>
      <c r="P14" s="130">
        <f t="shared" si="1"/>
        <v>22</v>
      </c>
      <c r="Q14" s="130">
        <f t="shared" si="1"/>
        <v>26</v>
      </c>
      <c r="R14" s="130">
        <f t="shared" si="1"/>
        <v>160</v>
      </c>
      <c r="S14" s="124">
        <f t="shared" si="0"/>
        <v>261</v>
      </c>
    </row>
    <row r="16" ht="14.5" customHeight="1" spans="1:20">
      <c r="A16" s="131" t="s">
        <v>83</v>
      </c>
      <c r="B16" s="132"/>
      <c r="C16" s="133"/>
      <c r="D16" s="134" t="s">
        <v>182</v>
      </c>
      <c r="E16" s="134" t="s">
        <v>183</v>
      </c>
      <c r="F16" s="134" t="s">
        <v>184</v>
      </c>
      <c r="G16" s="134" t="s">
        <v>185</v>
      </c>
      <c r="H16" s="135" t="s">
        <v>50</v>
      </c>
    </row>
    <row r="17" ht="28.25" customHeight="1" spans="1:15">
      <c r="A17" s="136" t="s">
        <v>192</v>
      </c>
      <c r="B17" s="137"/>
      <c r="C17" s="138"/>
      <c r="D17" s="139">
        <f>H17/4</f>
        <v>65.25</v>
      </c>
      <c r="E17" s="139">
        <f>D17</f>
        <v>65.25</v>
      </c>
      <c r="F17" s="139">
        <f>E17</f>
        <v>65.25</v>
      </c>
      <c r="G17" s="139">
        <f>F17</f>
        <v>65.25</v>
      </c>
      <c r="H17" s="139">
        <f>S14</f>
        <v>261</v>
      </c>
      <c r="I17" s="140"/>
      <c r="J17" s="141"/>
      <c r="K17" s="141"/>
      <c r="L17" s="141"/>
      <c r="M17" s="141"/>
      <c r="N17" s="141"/>
      <c r="O17" s="141"/>
    </row>
    <row r="18" ht="13.25" customHeight="1"/>
  </sheetData>
  <mergeCells count="3">
    <mergeCell ref="A16:C16"/>
    <mergeCell ref="A17:C17"/>
    <mergeCell ref="I17:O1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23"/>
  <sheetViews>
    <sheetView workbookViewId="0">
      <selection activeCell="N16" sqref="N16"/>
    </sheetView>
  </sheetViews>
  <sheetFormatPr defaultColWidth="8.91666666666667" defaultRowHeight="14.25"/>
  <cols>
    <col min="1" max="1" width="3.66666666666667" customWidth="1"/>
    <col min="2" max="2" width="4.91666666666667" customWidth="1"/>
    <col min="3" max="3" width="18.75" customWidth="1"/>
    <col min="4" max="4" width="13.4166666666667" customWidth="1"/>
    <col min="5" max="5" width="14.5833333333333" customWidth="1"/>
    <col min="6" max="6" width="12.0833333333333" customWidth="1"/>
    <col min="7" max="7" width="11.4166666666667" customWidth="1"/>
    <col min="8" max="8" width="9.91666666666667" customWidth="1"/>
    <col min="9" max="9" width="13" customWidth="1"/>
  </cols>
  <sheetData>
    <row r="1" ht="17.25" spans="3:10">
      <c r="C1" s="64" t="s">
        <v>386</v>
      </c>
      <c r="D1" s="64"/>
      <c r="E1" s="64"/>
      <c r="F1" s="64"/>
      <c r="G1" s="64"/>
      <c r="H1" s="64"/>
      <c r="I1" s="64"/>
    </row>
    <row r="2" ht="16.5" spans="3:10">
      <c r="C2" s="65" t="s">
        <v>2</v>
      </c>
      <c r="D2" s="66" t="s">
        <v>3</v>
      </c>
      <c r="E2" s="66" t="s">
        <v>4</v>
      </c>
      <c r="F2" s="67" t="s">
        <v>387</v>
      </c>
      <c r="G2" s="67" t="s">
        <v>388</v>
      </c>
      <c r="H2" s="67" t="s">
        <v>389</v>
      </c>
      <c r="I2" s="68"/>
    </row>
    <row r="3" ht="16.5" spans="3:10">
      <c r="C3" s="69" t="s">
        <v>7</v>
      </c>
      <c r="D3" s="70" t="s">
        <v>8</v>
      </c>
      <c r="E3" s="70" t="s">
        <v>9</v>
      </c>
      <c r="F3" s="71">
        <v>0.2</v>
      </c>
      <c r="G3" s="71">
        <v>0.7</v>
      </c>
      <c r="H3" s="71">
        <v>0.1</v>
      </c>
      <c r="I3" s="68"/>
    </row>
    <row r="4" ht="16.5" spans="3:10">
      <c r="C4" s="69" t="s">
        <v>11</v>
      </c>
      <c r="D4" s="70" t="s">
        <v>12</v>
      </c>
      <c r="E4" s="70" t="s">
        <v>13</v>
      </c>
      <c r="F4" s="71">
        <v>0.2</v>
      </c>
      <c r="G4" s="71">
        <v>0.8</v>
      </c>
      <c r="H4" s="71"/>
      <c r="I4" s="68"/>
    </row>
    <row r="5" ht="16.5" spans="3:10">
      <c r="C5" s="69" t="s">
        <v>16</v>
      </c>
      <c r="D5" s="70" t="s">
        <v>6</v>
      </c>
      <c r="E5" s="70" t="s">
        <v>9</v>
      </c>
      <c r="F5" s="71">
        <v>0.2</v>
      </c>
      <c r="G5" s="71">
        <v>0.8</v>
      </c>
      <c r="H5" s="71"/>
      <c r="I5" s="68"/>
    </row>
    <row r="6" ht="16.5" spans="3:10">
      <c r="C6" s="69" t="s">
        <v>19</v>
      </c>
      <c r="D6" s="70" t="s">
        <v>12</v>
      </c>
      <c r="E6" s="70" t="s">
        <v>9</v>
      </c>
      <c r="F6" s="71"/>
      <c r="G6" s="71"/>
      <c r="H6" s="71"/>
      <c r="I6" s="68"/>
    </row>
    <row r="7" ht="16.5" spans="3:10">
      <c r="C7" s="69" t="s">
        <v>21</v>
      </c>
      <c r="D7" s="70" t="s">
        <v>8</v>
      </c>
      <c r="E7" s="70" t="s">
        <v>9</v>
      </c>
      <c r="F7" s="71">
        <v>0.2</v>
      </c>
      <c r="G7" s="71">
        <v>0.7</v>
      </c>
      <c r="H7" s="71">
        <v>0.1</v>
      </c>
      <c r="I7" s="68"/>
    </row>
    <row r="8" ht="17.25" spans="3:10">
      <c r="C8" s="72" t="s">
        <v>23</v>
      </c>
      <c r="D8" s="73" t="s">
        <v>8</v>
      </c>
      <c r="E8" s="74" t="s">
        <v>9</v>
      </c>
      <c r="F8" s="71">
        <v>0.2</v>
      </c>
      <c r="G8" s="71">
        <v>0.7</v>
      </c>
      <c r="H8" s="71">
        <v>0.1</v>
      </c>
      <c r="I8" s="68"/>
    </row>
    <row r="9" ht="16.5" spans="3:10">
      <c r="C9" s="75"/>
      <c r="D9" s="76"/>
      <c r="E9" s="76"/>
      <c r="F9" s="77"/>
      <c r="G9" s="77"/>
      <c r="H9" s="77"/>
      <c r="I9" s="78"/>
    </row>
    <row r="10" ht="17.25" spans="3:10">
      <c r="C10" s="75"/>
      <c r="D10" s="76"/>
      <c r="E10" s="76"/>
      <c r="F10" s="79" t="s">
        <v>390</v>
      </c>
      <c r="G10" s="77"/>
      <c r="H10" s="77"/>
      <c r="I10" s="78"/>
    </row>
    <row r="11" ht="16.5" spans="3:10">
      <c r="C11" s="65" t="s">
        <v>2</v>
      </c>
      <c r="D11" s="66" t="s">
        <v>3</v>
      </c>
      <c r="E11" s="80" t="s">
        <v>391</v>
      </c>
      <c r="F11" s="81" t="s">
        <v>387</v>
      </c>
      <c r="G11" s="81" t="s">
        <v>388</v>
      </c>
      <c r="H11" s="81" t="s">
        <v>389</v>
      </c>
      <c r="I11" s="82" t="s">
        <v>153</v>
      </c>
    </row>
    <row r="12" ht="16.5" spans="3:10">
      <c r="C12" s="69" t="s">
        <v>7</v>
      </c>
      <c r="D12" s="70" t="s">
        <v>8</v>
      </c>
      <c r="E12" s="83"/>
      <c r="F12" s="84"/>
      <c r="G12" s="84"/>
      <c r="H12" s="84"/>
      <c r="I12" s="85">
        <f>F12+G12+H12</f>
        <v>0</v>
      </c>
    </row>
    <row r="13" ht="16.5" spans="3:10">
      <c r="C13" s="69" t="s">
        <v>11</v>
      </c>
      <c r="D13" s="70" t="s">
        <v>12</v>
      </c>
      <c r="E13" s="86"/>
      <c r="F13" s="84"/>
      <c r="G13" s="84"/>
      <c r="H13" s="84"/>
      <c r="I13" s="85">
        <f t="shared" ref="I13:I17" si="0">F13+G13+H13</f>
        <v>0</v>
      </c>
      <c r="J13" s="87"/>
    </row>
    <row r="14" ht="16.5" spans="3:10">
      <c r="C14" s="69" t="s">
        <v>16</v>
      </c>
      <c r="D14" s="70" t="s">
        <v>6</v>
      </c>
      <c r="E14" s="88"/>
      <c r="F14" s="89"/>
      <c r="G14" s="89"/>
      <c r="H14" s="89"/>
      <c r="I14" s="90">
        <f t="shared" si="0"/>
        <v>0</v>
      </c>
    </row>
    <row r="15" ht="16.5" spans="3:10">
      <c r="C15" s="69" t="s">
        <v>19</v>
      </c>
      <c r="D15" s="70" t="s">
        <v>12</v>
      </c>
      <c r="E15" s="88"/>
      <c r="F15" s="89"/>
      <c r="G15" s="89"/>
      <c r="H15" s="89"/>
      <c r="I15" s="90">
        <f t="shared" si="0"/>
        <v>0</v>
      </c>
    </row>
    <row r="16" ht="22" customHeight="1" spans="3:10">
      <c r="C16" s="69" t="s">
        <v>21</v>
      </c>
      <c r="D16" s="70" t="s">
        <v>8</v>
      </c>
      <c r="E16" s="68"/>
      <c r="F16" s="91"/>
      <c r="G16" s="91"/>
      <c r="H16" s="91"/>
      <c r="I16" s="90">
        <f t="shared" si="0"/>
        <v>0</v>
      </c>
    </row>
    <row r="17" ht="17.25" spans="3:9">
      <c r="C17" s="72" t="s">
        <v>23</v>
      </c>
      <c r="D17" s="73" t="s">
        <v>8</v>
      </c>
      <c r="E17" s="92"/>
      <c r="F17" s="93"/>
      <c r="G17" s="93"/>
      <c r="H17" s="93"/>
      <c r="I17" s="94">
        <f t="shared" si="0"/>
        <v>0</v>
      </c>
    </row>
    <row r="18" ht="16.5" spans="3:9">
      <c r="C18" s="95"/>
      <c r="D18" s="96"/>
      <c r="E18" s="96"/>
      <c r="F18" s="64"/>
      <c r="G18" s="64"/>
      <c r="H18" s="64"/>
      <c r="I18" s="97"/>
    </row>
    <row r="19" ht="16.5" spans="3:9">
      <c r="C19" s="98" t="s">
        <v>2</v>
      </c>
      <c r="D19" s="98" t="s">
        <v>3</v>
      </c>
      <c r="E19" s="98" t="s">
        <v>4</v>
      </c>
      <c r="F19" s="99" t="s">
        <v>46</v>
      </c>
      <c r="G19" s="99" t="s">
        <v>47</v>
      </c>
      <c r="H19" s="99" t="s">
        <v>48</v>
      </c>
      <c r="I19" s="99" t="s">
        <v>49</v>
      </c>
    </row>
    <row r="20" ht="16.5" spans="3:9">
      <c r="C20" s="100" t="s">
        <v>11</v>
      </c>
      <c r="D20" s="70"/>
      <c r="E20" s="70" t="s">
        <v>392</v>
      </c>
      <c r="F20" s="101">
        <f>E13*3</f>
        <v>0</v>
      </c>
      <c r="G20" s="101">
        <f>F20</f>
        <v>0</v>
      </c>
      <c r="H20" s="101">
        <f>F20</f>
        <v>0</v>
      </c>
      <c r="I20" s="101">
        <f>F20</f>
        <v>0</v>
      </c>
    </row>
    <row r="21" ht="16.5" spans="3:9">
      <c r="C21" s="100"/>
      <c r="D21" s="67" t="s">
        <v>387</v>
      </c>
      <c r="E21" s="102">
        <v>0.2</v>
      </c>
      <c r="F21" s="91">
        <f>$E$21*F20</f>
        <v>0</v>
      </c>
      <c r="G21" s="91">
        <f>$E$21*G20</f>
        <v>0</v>
      </c>
      <c r="H21" s="91">
        <f>$E$21*H20</f>
        <v>0</v>
      </c>
      <c r="I21" s="91">
        <f>$E$21*I20</f>
        <v>0</v>
      </c>
    </row>
    <row r="22" ht="16.5" spans="3:9">
      <c r="C22" s="100"/>
      <c r="D22" s="67" t="s">
        <v>388</v>
      </c>
      <c r="E22" s="71">
        <v>0.8</v>
      </c>
      <c r="F22" s="91">
        <f>$E$22*F20</f>
        <v>0</v>
      </c>
      <c r="G22" s="91">
        <f>$E$22*G20</f>
        <v>0</v>
      </c>
      <c r="H22" s="91">
        <f>$E$22*H20</f>
        <v>0</v>
      </c>
      <c r="I22" s="91">
        <f>$E$22*I20</f>
        <v>0</v>
      </c>
    </row>
    <row r="23" ht="16.5" spans="3:9">
      <c r="C23" s="37" t="s">
        <v>393</v>
      </c>
      <c r="D23" s="67" t="s">
        <v>389</v>
      </c>
      <c r="E23" s="67"/>
      <c r="F23" s="103"/>
      <c r="G23" s="91">
        <f>F23</f>
        <v>0</v>
      </c>
      <c r="H23" s="91">
        <f>F23</f>
        <v>0</v>
      </c>
      <c r="I23" s="91">
        <f>F23</f>
        <v>0</v>
      </c>
    </row>
  </sheetData>
  <mergeCells count="2">
    <mergeCell ref="C1:I1"/>
    <mergeCell ref="C20:C2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G22" sqref="G22"/>
    </sheetView>
  </sheetViews>
  <sheetFormatPr defaultColWidth="8.91666666666667" defaultRowHeight="14.25"/>
  <cols>
    <col min="1" max="1" width="16.0833333333333" style="38" customWidth="1"/>
    <col min="2" max="2" width="12.3333333333333" style="38" customWidth="1"/>
    <col min="3" max="3" width="18.5833333333333" style="39" customWidth="1"/>
    <col min="4" max="4" width="11.6666666666667" style="40" customWidth="1"/>
    <col min="5" max="5" width="14.6666666666667" customWidth="1"/>
    <col min="6" max="6" width="12.5833333333333" customWidth="1"/>
    <col min="7" max="7" width="12.0833333333333" customWidth="1"/>
    <col min="8" max="8" width="11.4166666666667" customWidth="1"/>
    <col min="9" max="9" width="12.25" customWidth="1"/>
    <col min="10" max="10" width="9.08333333333333" style="22" customWidth="1"/>
    <col min="11" max="11" width="11.4166666666667" customWidth="1"/>
    <col min="12" max="12" width="16.6666666666667" customWidth="1"/>
    <col min="13" max="13" width="7.08333333333333" customWidth="1"/>
    <col min="15" max="15" width="13.9166666666667" customWidth="1"/>
    <col min="16" max="16" width="10.75" customWidth="1"/>
  </cols>
  <sheetData>
    <row r="1" spans="1:15">
      <c r="A1" s="31" t="s">
        <v>6</v>
      </c>
      <c r="B1" s="31"/>
      <c r="C1" s="41" t="s">
        <v>394</v>
      </c>
      <c r="D1" s="41" t="s">
        <v>395</v>
      </c>
      <c r="E1" s="42" t="s">
        <v>396</v>
      </c>
      <c r="F1" s="42" t="s">
        <v>178</v>
      </c>
      <c r="G1" s="42" t="s">
        <v>397</v>
      </c>
      <c r="H1" s="42" t="s">
        <v>398</v>
      </c>
      <c r="I1" s="42" t="s">
        <v>399</v>
      </c>
    </row>
    <row r="2" spans="1:15">
      <c r="A2" s="31" t="s">
        <v>400</v>
      </c>
      <c r="B2" s="31"/>
      <c r="C2" s="31"/>
      <c r="D2" s="41">
        <f>O16/10000</f>
        <v>0</v>
      </c>
      <c r="E2" s="42">
        <f>D2</f>
        <v>0</v>
      </c>
      <c r="F2" s="42"/>
      <c r="G2" s="42"/>
      <c r="H2" s="42"/>
      <c r="I2" s="42"/>
      <c r="J2" s="43"/>
    </row>
    <row r="3" spans="1:15">
      <c r="A3" s="31" t="s">
        <v>288</v>
      </c>
      <c r="B3" s="31"/>
      <c r="C3" s="31">
        <f>M24</f>
        <v>0</v>
      </c>
      <c r="D3" s="41">
        <f>O24/10000</f>
        <v>0</v>
      </c>
      <c r="E3" s="42"/>
      <c r="F3" s="42"/>
      <c r="G3" s="42"/>
      <c r="H3" s="42">
        <f>(C20+D20+E20+F20+G20)/10000</f>
        <v>0</v>
      </c>
      <c r="I3" s="42"/>
      <c r="J3" s="43"/>
    </row>
    <row r="4" spans="1:15">
      <c r="A4" s="31" t="s">
        <v>290</v>
      </c>
      <c r="B4" s="31"/>
      <c r="C4" s="31">
        <f t="shared" ref="C4:C9" si="0">M17</f>
        <v>0</v>
      </c>
      <c r="D4" s="41">
        <f t="shared" ref="D4:D9" si="1">O17/10000</f>
        <v>0</v>
      </c>
      <c r="E4" s="42">
        <f>D4</f>
        <v>0</v>
      </c>
      <c r="F4" s="42"/>
      <c r="G4" s="42"/>
      <c r="H4" s="42"/>
      <c r="I4" s="42"/>
      <c r="J4" s="43"/>
    </row>
    <row r="5" spans="1:15">
      <c r="A5" s="31" t="s">
        <v>292</v>
      </c>
      <c r="B5" s="31"/>
      <c r="C5" s="31">
        <f t="shared" si="0"/>
        <v>0</v>
      </c>
      <c r="D5" s="41">
        <f t="shared" si="1"/>
        <v>0</v>
      </c>
      <c r="E5" s="42"/>
      <c r="F5" s="42"/>
      <c r="G5" s="42">
        <f>H18/10000</f>
        <v>0</v>
      </c>
      <c r="H5" s="42">
        <f>(C18+D18+E18+F18+G18)/10000</f>
        <v>0</v>
      </c>
      <c r="I5" s="42"/>
      <c r="J5" s="43"/>
    </row>
    <row r="6" spans="1:15">
      <c r="A6" s="31" t="s">
        <v>294</v>
      </c>
      <c r="B6" s="31"/>
      <c r="C6" s="31">
        <f t="shared" si="0"/>
        <v>0</v>
      </c>
      <c r="D6" s="41">
        <f t="shared" si="1"/>
        <v>0</v>
      </c>
      <c r="E6" s="42"/>
      <c r="F6" s="42"/>
      <c r="G6" s="42"/>
      <c r="H6" s="42"/>
      <c r="I6" s="42">
        <f>D6</f>
        <v>0</v>
      </c>
      <c r="J6" s="43"/>
    </row>
    <row r="7" spans="1:15">
      <c r="A7" s="31" t="s">
        <v>296</v>
      </c>
      <c r="B7" s="31"/>
      <c r="C7" s="31">
        <f t="shared" si="0"/>
        <v>0</v>
      </c>
      <c r="D7" s="41">
        <f t="shared" si="1"/>
        <v>0</v>
      </c>
      <c r="E7" s="42"/>
      <c r="F7" s="42"/>
      <c r="G7" s="42"/>
      <c r="H7" s="42"/>
      <c r="I7" s="42">
        <f>D7</f>
        <v>0</v>
      </c>
      <c r="J7" s="43"/>
    </row>
    <row r="8" spans="1:15">
      <c r="A8" s="31" t="s">
        <v>298</v>
      </c>
      <c r="B8" s="31"/>
      <c r="C8" s="31">
        <f t="shared" si="0"/>
        <v>0</v>
      </c>
      <c r="D8" s="41">
        <f t="shared" si="1"/>
        <v>0</v>
      </c>
      <c r="E8" s="42">
        <f>I17/10000</f>
        <v>0</v>
      </c>
      <c r="F8" s="42">
        <f>H17/10000</f>
        <v>0</v>
      </c>
      <c r="G8" s="42"/>
      <c r="H8" s="42">
        <f>(C17+D17+E17+F17+G17)/10000</f>
        <v>0</v>
      </c>
      <c r="I8" s="42"/>
      <c r="J8" s="43"/>
    </row>
    <row r="9" spans="1:15">
      <c r="A9" s="31" t="s">
        <v>299</v>
      </c>
      <c r="B9" s="31"/>
      <c r="C9" s="31">
        <f t="shared" si="0"/>
        <v>0</v>
      </c>
      <c r="D9" s="41">
        <f t="shared" si="1"/>
        <v>0</v>
      </c>
      <c r="E9" s="42"/>
      <c r="F9" s="42"/>
      <c r="G9" s="42"/>
      <c r="H9" s="42">
        <f>(C19+D19+E19+F19+G19)/10000</f>
        <v>0</v>
      </c>
      <c r="I9" s="42"/>
      <c r="J9" s="43"/>
    </row>
    <row r="10" spans="1:15">
      <c r="A10" s="31" t="s">
        <v>300</v>
      </c>
      <c r="B10" s="31"/>
      <c r="C10" s="31">
        <v>1</v>
      </c>
      <c r="D10" s="41">
        <f>B16/10000</f>
        <v>0</v>
      </c>
      <c r="E10" s="42">
        <f>I16/10000</f>
        <v>0</v>
      </c>
      <c r="F10" s="42"/>
      <c r="G10" s="42"/>
      <c r="H10" s="42">
        <f>(C16+D16+E16+F16+G16)/10000</f>
        <v>0</v>
      </c>
      <c r="I10" s="42"/>
      <c r="J10" s="43"/>
    </row>
    <row r="11" spans="1:15">
      <c r="A11" s="31"/>
      <c r="B11" s="31"/>
      <c r="C11" s="31">
        <v>1</v>
      </c>
      <c r="D11" s="41">
        <f>(O23-B16)/10000</f>
        <v>0</v>
      </c>
      <c r="E11" s="42"/>
      <c r="F11" s="42"/>
      <c r="G11" s="42"/>
      <c r="H11" s="42"/>
      <c r="I11" s="42">
        <f>D11</f>
        <v>0</v>
      </c>
      <c r="J11" s="43"/>
    </row>
    <row r="12" spans="1:15">
      <c r="A12" s="31" t="s">
        <v>153</v>
      </c>
      <c r="B12" s="31"/>
      <c r="C12" s="41">
        <f>SUM(C3:C11)</f>
        <v>2</v>
      </c>
      <c r="D12" s="41">
        <f>SUM(D2:D11)</f>
        <v>0</v>
      </c>
      <c r="E12" s="41">
        <f>SUM(E2:E11)</f>
        <v>0</v>
      </c>
      <c r="F12" s="41">
        <f>SUM(F2:F11)</f>
        <v>0</v>
      </c>
      <c r="G12" s="41">
        <f t="shared" ref="G12:I12" si="2">SUM(G2:G11)</f>
        <v>0</v>
      </c>
      <c r="H12" s="41">
        <f t="shared" si="2"/>
        <v>0</v>
      </c>
      <c r="I12" s="41">
        <f t="shared" si="2"/>
        <v>0</v>
      </c>
      <c r="J12" s="43"/>
    </row>
    <row r="14" spans="1:15">
      <c r="A14" s="44" t="s">
        <v>401</v>
      </c>
      <c r="B14" s="45"/>
      <c r="C14" s="45"/>
      <c r="D14" s="45"/>
      <c r="E14" s="45"/>
      <c r="F14" s="45"/>
      <c r="G14" s="45"/>
      <c r="H14" s="45"/>
      <c r="I14" s="45"/>
      <c r="J14" s="46"/>
      <c r="K14" s="46"/>
      <c r="L14" s="46"/>
      <c r="M14" s="46"/>
      <c r="N14" s="46"/>
      <c r="O14" s="46"/>
    </row>
    <row r="15" ht="28.5" spans="1:15">
      <c r="A15" s="47" t="s">
        <v>6</v>
      </c>
      <c r="B15" s="48" t="s">
        <v>402</v>
      </c>
      <c r="C15" s="48" t="s">
        <v>403</v>
      </c>
      <c r="D15" s="48" t="s">
        <v>404</v>
      </c>
      <c r="E15" s="48" t="s">
        <v>405</v>
      </c>
      <c r="F15" s="48" t="s">
        <v>406</v>
      </c>
      <c r="G15" s="48" t="s">
        <v>407</v>
      </c>
      <c r="H15" s="48" t="s">
        <v>408</v>
      </c>
      <c r="I15" s="48" t="s">
        <v>409</v>
      </c>
      <c r="J15" s="46"/>
      <c r="K15" s="49" t="s">
        <v>410</v>
      </c>
      <c r="L15" s="50" t="s">
        <v>411</v>
      </c>
      <c r="M15" s="51" t="s">
        <v>412</v>
      </c>
      <c r="N15" s="52" t="s">
        <v>231</v>
      </c>
      <c r="O15" s="53" t="s">
        <v>413</v>
      </c>
    </row>
    <row r="16" spans="1:15">
      <c r="A16" s="54" t="s">
        <v>414</v>
      </c>
      <c r="B16" s="55"/>
      <c r="C16" s="55"/>
      <c r="D16" s="55"/>
      <c r="E16" s="55"/>
      <c r="F16" s="55"/>
      <c r="G16" s="55"/>
      <c r="H16" s="55"/>
      <c r="I16" s="55"/>
      <c r="J16" s="46"/>
      <c r="K16" s="56" t="s">
        <v>415</v>
      </c>
      <c r="L16" s="57" t="s">
        <v>400</v>
      </c>
      <c r="M16" s="58"/>
      <c r="N16" s="59"/>
      <c r="O16" s="60"/>
    </row>
    <row r="17" spans="1:16">
      <c r="A17" s="54" t="s">
        <v>416</v>
      </c>
      <c r="B17" s="55"/>
      <c r="C17" s="55"/>
      <c r="D17" s="55"/>
      <c r="E17" s="55"/>
      <c r="F17" s="55"/>
      <c r="G17" s="55"/>
      <c r="H17" s="55"/>
      <c r="I17" s="55"/>
      <c r="J17" s="46"/>
      <c r="K17" s="56"/>
      <c r="L17" s="57" t="s">
        <v>417</v>
      </c>
      <c r="M17" s="58"/>
      <c r="N17" s="59"/>
      <c r="O17" s="60"/>
    </row>
    <row r="18" spans="1:16">
      <c r="A18" s="54" t="s">
        <v>418</v>
      </c>
      <c r="B18" s="55"/>
      <c r="C18" s="55"/>
      <c r="D18" s="55"/>
      <c r="E18" s="55"/>
      <c r="F18" s="55"/>
      <c r="G18" s="55"/>
      <c r="H18" s="55"/>
      <c r="I18" s="55"/>
      <c r="J18" s="46"/>
      <c r="K18" s="56"/>
      <c r="L18" s="57" t="s">
        <v>418</v>
      </c>
      <c r="M18" s="58"/>
      <c r="N18" s="59"/>
      <c r="O18" s="60"/>
    </row>
    <row r="19" spans="1:16">
      <c r="A19" s="54" t="s">
        <v>419</v>
      </c>
      <c r="B19" s="55"/>
      <c r="C19" s="55"/>
      <c r="D19" s="55"/>
      <c r="E19" s="55"/>
      <c r="F19" s="55"/>
      <c r="G19" s="55"/>
      <c r="H19" s="55"/>
      <c r="I19" s="55"/>
      <c r="J19" s="46"/>
      <c r="K19" s="56"/>
      <c r="L19" s="57" t="s">
        <v>420</v>
      </c>
      <c r="M19" s="58"/>
      <c r="N19" s="59"/>
      <c r="O19" s="60"/>
    </row>
    <row r="20" spans="1:16">
      <c r="A20" s="54" t="s">
        <v>421</v>
      </c>
      <c r="B20" s="55"/>
      <c r="C20" s="55"/>
      <c r="D20" s="55"/>
      <c r="E20" s="55"/>
      <c r="F20" s="55"/>
      <c r="G20" s="55"/>
      <c r="H20" s="55"/>
      <c r="I20" s="55"/>
      <c r="J20" s="46"/>
      <c r="K20" s="56"/>
      <c r="L20" s="57" t="s">
        <v>422</v>
      </c>
      <c r="M20" s="58"/>
      <c r="N20" s="59"/>
      <c r="O20" s="60"/>
    </row>
    <row r="21" spans="1:16">
      <c r="A21" s="54" t="s">
        <v>153</v>
      </c>
      <c r="B21" s="55"/>
      <c r="C21" s="55"/>
      <c r="D21" s="55"/>
      <c r="E21" s="55"/>
      <c r="F21" s="55"/>
      <c r="G21" s="55"/>
      <c r="H21" s="55"/>
      <c r="I21" s="55"/>
      <c r="J21" s="46"/>
      <c r="K21" s="56"/>
      <c r="L21" s="57" t="s">
        <v>416</v>
      </c>
      <c r="M21" s="58"/>
      <c r="N21" s="59"/>
      <c r="O21" s="60"/>
    </row>
    <row r="22" ht="22.25" customHeight="1" spans="1:16">
      <c r="A22" s="61" t="s">
        <v>423</v>
      </c>
      <c r="B22" s="62">
        <f>C21+D21+E21+F21+G21</f>
        <v>0</v>
      </c>
      <c r="C22" s="63" t="e">
        <f>C21/B22</f>
        <v>#DIV/0!</v>
      </c>
      <c r="D22" s="63" t="e">
        <f>D21/B22</f>
        <v>#DIV/0!</v>
      </c>
      <c r="E22" s="63" t="e">
        <f>E21/B22</f>
        <v>#DIV/0!</v>
      </c>
      <c r="F22" s="63" t="e">
        <f>F21/B22</f>
        <v>#DIV/0!</v>
      </c>
      <c r="G22" s="63" t="e">
        <f>G21/B22</f>
        <v>#DIV/0!</v>
      </c>
      <c r="H22" s="46"/>
      <c r="I22" s="46"/>
      <c r="J22" s="46"/>
      <c r="K22" s="56"/>
      <c r="L22" s="57" t="s">
        <v>419</v>
      </c>
      <c r="M22" s="58"/>
      <c r="N22" s="59"/>
      <c r="O22" s="60"/>
    </row>
    <row r="23" spans="1:16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56"/>
      <c r="L23" s="57" t="s">
        <v>414</v>
      </c>
      <c r="M23" s="58"/>
      <c r="N23" s="59"/>
      <c r="O23" s="60"/>
      <c r="P23" s="60">
        <f>O23-B16</f>
        <v>0</v>
      </c>
    </row>
    <row r="24" spans="1:16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56"/>
      <c r="L24" s="57" t="s">
        <v>421</v>
      </c>
      <c r="M24" s="58"/>
      <c r="N24" s="59"/>
      <c r="O24" s="60"/>
    </row>
    <row r="25" spans="1:16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56" t="s">
        <v>424</v>
      </c>
      <c r="L25" s="57"/>
      <c r="M25" s="58">
        <f>SUM(M16:M24)</f>
        <v>0</v>
      </c>
      <c r="N25" s="59">
        <f>SUM(N16:N24)</f>
        <v>0</v>
      </c>
      <c r="O25" s="60">
        <f>SUM(O16:O24)</f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2"/>
  <sheetViews>
    <sheetView workbookViewId="0">
      <selection activeCell="F29" sqref="F29"/>
    </sheetView>
  </sheetViews>
  <sheetFormatPr defaultColWidth="8.91666666666667" defaultRowHeight="14.25"/>
  <cols>
    <col min="1" max="1" width="4.75" customWidth="1"/>
    <col min="2" max="2" width="11.9166666666667" customWidth="1"/>
    <col min="3" max="3" width="13.5833333333333" customWidth="1"/>
    <col min="4" max="4" width="9.91666666666667" customWidth="1"/>
  </cols>
  <sheetData>
    <row r="1" spans="2:15">
      <c r="B1" s="22"/>
      <c r="H1" s="29"/>
    </row>
    <row r="2" spans="2:15">
      <c r="B2" s="8" t="s">
        <v>277</v>
      </c>
      <c r="C2" s="12" t="s">
        <v>425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153</v>
      </c>
    </row>
    <row r="3" spans="2:15">
      <c r="B3" s="8">
        <v>1</v>
      </c>
      <c r="C3" s="12" t="s">
        <v>426</v>
      </c>
      <c r="D3" s="30"/>
      <c r="E3" s="30">
        <f>D3</f>
        <v>0</v>
      </c>
      <c r="F3" s="30">
        <f>D3</f>
        <v>0</v>
      </c>
      <c r="G3" s="30">
        <f>D3</f>
        <v>0</v>
      </c>
      <c r="H3" s="30">
        <f t="shared" ref="H3:H8" si="0">SUM(D3:G3)</f>
        <v>0</v>
      </c>
    </row>
    <row r="4" spans="2:15">
      <c r="B4" s="8">
        <v>2</v>
      </c>
      <c r="C4" s="12" t="s">
        <v>427</v>
      </c>
      <c r="D4" s="31">
        <f>SUM(C16:E16)+SUM(C22:E22)</f>
        <v>0</v>
      </c>
      <c r="E4" s="31">
        <f>SUM(F16:H16)+SUM(F22:H22)</f>
        <v>0</v>
      </c>
      <c r="F4" s="31">
        <f>SUM(I16:K16)+SUM(I22:K22)</f>
        <v>0</v>
      </c>
      <c r="G4" s="31">
        <f>SUM(L16:N16)+SUM(L22:N22)</f>
        <v>0</v>
      </c>
      <c r="H4" s="30">
        <f t="shared" si="0"/>
        <v>0</v>
      </c>
    </row>
    <row r="5" spans="2:15">
      <c r="B5" s="8">
        <v>3</v>
      </c>
      <c r="C5" s="12" t="s">
        <v>428</v>
      </c>
      <c r="D5" s="12"/>
      <c r="E5" s="12"/>
      <c r="F5" s="12"/>
      <c r="G5" s="12"/>
      <c r="H5" s="30">
        <f t="shared" si="0"/>
        <v>0</v>
      </c>
    </row>
    <row r="6" spans="2:15">
      <c r="B6" s="8">
        <v>4</v>
      </c>
      <c r="C6" s="12" t="s">
        <v>429</v>
      </c>
      <c r="D6" s="12"/>
      <c r="E6" s="12"/>
      <c r="F6" s="12"/>
      <c r="G6" s="12"/>
      <c r="H6" s="30">
        <f t="shared" si="0"/>
        <v>0</v>
      </c>
    </row>
    <row r="7" spans="2:15">
      <c r="B7" s="8">
        <v>5</v>
      </c>
      <c r="C7" s="12" t="s">
        <v>430</v>
      </c>
      <c r="D7" s="12"/>
      <c r="E7" s="12"/>
      <c r="F7" s="12"/>
      <c r="G7" s="12"/>
      <c r="H7" s="30">
        <f t="shared" si="0"/>
        <v>0</v>
      </c>
    </row>
    <row r="8" spans="2:15">
      <c r="B8" s="8"/>
      <c r="C8" s="12" t="s">
        <v>153</v>
      </c>
      <c r="D8" s="31">
        <f>SUM(D3:D7)</f>
        <v>0</v>
      </c>
      <c r="E8" s="31">
        <f t="shared" ref="E8:G8" si="1">SUM(E3:E7)</f>
        <v>0</v>
      </c>
      <c r="F8" s="31">
        <f t="shared" si="1"/>
        <v>0</v>
      </c>
      <c r="G8" s="31">
        <f t="shared" si="1"/>
        <v>0</v>
      </c>
      <c r="H8" s="30">
        <f t="shared" si="0"/>
        <v>0</v>
      </c>
    </row>
    <row r="11" spans="2:15">
      <c r="B11" s="32" t="s">
        <v>431</v>
      </c>
    </row>
    <row r="12" spans="2:15">
      <c r="B12" t="s">
        <v>432</v>
      </c>
    </row>
    <row r="13" spans="2:15">
      <c r="B13" s="33" t="s">
        <v>433</v>
      </c>
      <c r="C13" s="34" t="s">
        <v>434</v>
      </c>
      <c r="D13" s="34" t="s">
        <v>435</v>
      </c>
      <c r="E13" s="34" t="s">
        <v>436</v>
      </c>
      <c r="F13" s="34" t="s">
        <v>367</v>
      </c>
      <c r="G13" s="34" t="s">
        <v>371</v>
      </c>
      <c r="H13" s="34" t="s">
        <v>437</v>
      </c>
      <c r="I13" s="34" t="s">
        <v>438</v>
      </c>
      <c r="J13" s="34" t="s">
        <v>439</v>
      </c>
      <c r="K13" s="34" t="s">
        <v>374</v>
      </c>
      <c r="L13" s="34" t="s">
        <v>440</v>
      </c>
      <c r="M13" s="34" t="s">
        <v>441</v>
      </c>
      <c r="N13" s="34" t="s">
        <v>442</v>
      </c>
      <c r="O13" s="34" t="s">
        <v>153</v>
      </c>
    </row>
    <row r="14" spans="2:15">
      <c r="B14" s="34">
        <v>0</v>
      </c>
      <c r="C14" s="34" t="s">
        <v>443</v>
      </c>
      <c r="D14" s="34" t="s">
        <v>443</v>
      </c>
      <c r="E14" s="34" t="s">
        <v>443</v>
      </c>
      <c r="F14" s="34" t="s">
        <v>443</v>
      </c>
      <c r="G14" s="34" t="s">
        <v>443</v>
      </c>
      <c r="H14" s="34" t="s">
        <v>443</v>
      </c>
      <c r="I14" s="34" t="s">
        <v>443</v>
      </c>
      <c r="J14" s="34" t="s">
        <v>443</v>
      </c>
      <c r="K14" s="34" t="s">
        <v>443</v>
      </c>
      <c r="L14" s="34" t="s">
        <v>443</v>
      </c>
      <c r="M14" s="34" t="s">
        <v>443</v>
      </c>
      <c r="N14" s="34" t="s">
        <v>443</v>
      </c>
      <c r="O14" s="34"/>
    </row>
    <row r="15" spans="2:15">
      <c r="B15" s="3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2:15">
      <c r="B16" s="35">
        <f>3.65%/12</f>
        <v>0.00304166666666667</v>
      </c>
      <c r="C16" s="36">
        <f>$B$16*C15</f>
        <v>0</v>
      </c>
      <c r="D16" s="36">
        <f>$B$16*D15</f>
        <v>0</v>
      </c>
      <c r="E16" s="36">
        <f>$B$16*E15</f>
        <v>0</v>
      </c>
      <c r="F16" s="36">
        <f t="shared" ref="F16:N16" si="2">$B$16*F15</f>
        <v>0</v>
      </c>
      <c r="G16" s="36">
        <f t="shared" si="2"/>
        <v>0</v>
      </c>
      <c r="H16" s="36">
        <f t="shared" si="2"/>
        <v>0</v>
      </c>
      <c r="I16" s="36">
        <f t="shared" si="2"/>
        <v>0</v>
      </c>
      <c r="J16" s="36">
        <f t="shared" si="2"/>
        <v>0</v>
      </c>
      <c r="K16" s="36">
        <f t="shared" si="2"/>
        <v>0</v>
      </c>
      <c r="L16" s="36">
        <f t="shared" si="2"/>
        <v>0</v>
      </c>
      <c r="M16" s="36">
        <f t="shared" si="2"/>
        <v>0</v>
      </c>
      <c r="N16" s="36">
        <f t="shared" si="2"/>
        <v>0</v>
      </c>
      <c r="O16" s="36">
        <f>SUM(C16:N16)</f>
        <v>0</v>
      </c>
    </row>
    <row r="18" spans="2:15">
      <c r="B18" s="32" t="s">
        <v>444</v>
      </c>
    </row>
    <row r="19" spans="2:15">
      <c r="B19" s="34" t="s">
        <v>433</v>
      </c>
      <c r="C19" s="34" t="s">
        <v>434</v>
      </c>
      <c r="D19" s="34" t="s">
        <v>435</v>
      </c>
      <c r="E19" s="34" t="s">
        <v>436</v>
      </c>
      <c r="F19" s="34" t="s">
        <v>367</v>
      </c>
      <c r="G19" s="34" t="s">
        <v>371</v>
      </c>
      <c r="H19" s="34" t="s">
        <v>437</v>
      </c>
      <c r="I19" s="34" t="s">
        <v>438</v>
      </c>
      <c r="J19" s="34" t="s">
        <v>439</v>
      </c>
      <c r="K19" s="34" t="s">
        <v>374</v>
      </c>
      <c r="L19" s="34" t="s">
        <v>440</v>
      </c>
      <c r="M19" s="34" t="s">
        <v>441</v>
      </c>
      <c r="N19" s="34" t="s">
        <v>442</v>
      </c>
      <c r="O19" s="34" t="s">
        <v>153</v>
      </c>
    </row>
    <row r="20" spans="2:15">
      <c r="B20" s="34">
        <v>0</v>
      </c>
      <c r="C20" s="34" t="s">
        <v>443</v>
      </c>
      <c r="D20" s="34" t="s">
        <v>443</v>
      </c>
      <c r="E20" s="34" t="s">
        <v>443</v>
      </c>
      <c r="F20" s="34" t="s">
        <v>443</v>
      </c>
      <c r="G20" s="34" t="s">
        <v>443</v>
      </c>
      <c r="H20" s="34" t="s">
        <v>443</v>
      </c>
      <c r="I20" s="34" t="s">
        <v>443</v>
      </c>
      <c r="J20" s="34" t="s">
        <v>443</v>
      </c>
      <c r="K20" s="34" t="s">
        <v>443</v>
      </c>
      <c r="L20" s="34" t="s">
        <v>443</v>
      </c>
      <c r="M20" s="34" t="s">
        <v>443</v>
      </c>
      <c r="N20" s="34" t="s">
        <v>443</v>
      </c>
      <c r="O20" s="37"/>
    </row>
    <row r="21" spans="2:15">
      <c r="B21" s="34">
        <v>0</v>
      </c>
      <c r="C21" s="12">
        <f t="shared" ref="C21:N21" si="3">C18+B21</f>
        <v>0</v>
      </c>
      <c r="D21" s="12">
        <f t="shared" si="3"/>
        <v>0</v>
      </c>
      <c r="E21" s="12">
        <f t="shared" si="3"/>
        <v>0</v>
      </c>
      <c r="F21" s="12">
        <f t="shared" si="3"/>
        <v>0</v>
      </c>
      <c r="G21" s="12">
        <f t="shared" si="3"/>
        <v>0</v>
      </c>
      <c r="H21" s="12">
        <f t="shared" si="3"/>
        <v>0</v>
      </c>
      <c r="I21" s="12">
        <f t="shared" si="3"/>
        <v>0</v>
      </c>
      <c r="J21" s="12">
        <f t="shared" si="3"/>
        <v>0</v>
      </c>
      <c r="K21" s="12">
        <f t="shared" si="3"/>
        <v>0</v>
      </c>
      <c r="L21" s="12">
        <f t="shared" si="3"/>
        <v>0</v>
      </c>
      <c r="M21" s="12">
        <f t="shared" si="3"/>
        <v>0</v>
      </c>
      <c r="N21" s="12">
        <f t="shared" si="3"/>
        <v>0</v>
      </c>
      <c r="O21" s="12"/>
    </row>
    <row r="22" spans="2:15">
      <c r="B22" s="35">
        <f>2.8%/12</f>
        <v>0.00233333333333333</v>
      </c>
      <c r="C22" s="30">
        <f>$B$22*C21</f>
        <v>0</v>
      </c>
      <c r="D22" s="30">
        <f t="shared" ref="D22:N22" si="4">$B$22*D21</f>
        <v>0</v>
      </c>
      <c r="E22" s="30">
        <f t="shared" si="4"/>
        <v>0</v>
      </c>
      <c r="F22" s="30">
        <f t="shared" si="4"/>
        <v>0</v>
      </c>
      <c r="G22" s="30">
        <f t="shared" si="4"/>
        <v>0</v>
      </c>
      <c r="H22" s="30">
        <f t="shared" si="4"/>
        <v>0</v>
      </c>
      <c r="I22" s="30">
        <f t="shared" si="4"/>
        <v>0</v>
      </c>
      <c r="J22" s="30">
        <f t="shared" si="4"/>
        <v>0</v>
      </c>
      <c r="K22" s="30">
        <f t="shared" si="4"/>
        <v>0</v>
      </c>
      <c r="L22" s="30">
        <f t="shared" si="4"/>
        <v>0</v>
      </c>
      <c r="M22" s="30">
        <f t="shared" si="4"/>
        <v>0</v>
      </c>
      <c r="N22" s="30">
        <f t="shared" si="4"/>
        <v>0</v>
      </c>
      <c r="O22" s="30">
        <f>SUM(C22:N22)</f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K32" sqref="K32"/>
    </sheetView>
  </sheetViews>
  <sheetFormatPr defaultColWidth="8.91666666666667" defaultRowHeight="14.25"/>
  <cols>
    <col min="1" max="5" width="12.75" customWidth="1"/>
    <col min="6" max="6" width="14.6666666666667" customWidth="1"/>
    <col min="7" max="11" width="12.75" customWidth="1"/>
    <col min="12" max="12" width="14.9166666666667" customWidth="1"/>
  </cols>
  <sheetData>
    <row r="1" spans="1:11">
      <c r="A1" s="1" t="s">
        <v>212</v>
      </c>
      <c r="B1" s="2"/>
      <c r="C1" s="2"/>
      <c r="D1" s="2"/>
      <c r="E1" s="2"/>
      <c r="F1" s="2"/>
      <c r="G1" s="3"/>
      <c r="H1" s="4"/>
      <c r="I1" s="5"/>
      <c r="J1" s="6"/>
      <c r="K1" s="6"/>
    </row>
    <row r="2" ht="16.5" spans="1:11">
      <c r="A2" s="7" t="s">
        <v>277</v>
      </c>
      <c r="B2" s="8" t="s">
        <v>445</v>
      </c>
      <c r="C2" s="8" t="s">
        <v>425</v>
      </c>
      <c r="D2" s="9" t="s">
        <v>46</v>
      </c>
      <c r="E2" s="9" t="s">
        <v>47</v>
      </c>
      <c r="F2" s="9" t="s">
        <v>48</v>
      </c>
      <c r="G2" s="10" t="s">
        <v>49</v>
      </c>
      <c r="H2" s="11"/>
      <c r="I2" s="11"/>
      <c r="J2" s="11"/>
      <c r="K2" s="11"/>
    </row>
    <row r="3" ht="16.5" spans="1:11">
      <c r="A3" s="7">
        <v>1</v>
      </c>
      <c r="B3" s="12" t="s">
        <v>212</v>
      </c>
      <c r="C3" s="12" t="s">
        <v>446</v>
      </c>
      <c r="D3" s="13"/>
      <c r="E3" s="13"/>
      <c r="F3" s="13"/>
      <c r="G3" s="14"/>
      <c r="H3" s="11"/>
      <c r="I3" s="11"/>
      <c r="J3" s="11"/>
      <c r="K3" s="11"/>
    </row>
    <row r="4" ht="16.5" spans="1:11">
      <c r="A4" s="7">
        <v>2</v>
      </c>
      <c r="B4" s="12" t="s">
        <v>212</v>
      </c>
      <c r="C4" s="12" t="s">
        <v>447</v>
      </c>
      <c r="D4" s="15"/>
      <c r="E4" s="15"/>
      <c r="F4" s="15"/>
      <c r="G4" s="16"/>
      <c r="H4" s="11"/>
      <c r="I4" s="11"/>
      <c r="J4" s="11"/>
      <c r="K4" s="11"/>
    </row>
    <row r="5" ht="16.5" spans="1:11">
      <c r="A5" s="7">
        <v>3</v>
      </c>
      <c r="B5" s="12" t="s">
        <v>212</v>
      </c>
      <c r="C5" s="12" t="s">
        <v>448</v>
      </c>
      <c r="D5" s="15"/>
      <c r="E5" s="15"/>
      <c r="F5" s="15"/>
      <c r="G5" s="16"/>
      <c r="H5" s="11"/>
      <c r="I5" s="11"/>
      <c r="J5" s="11"/>
      <c r="K5" s="11"/>
    </row>
    <row r="6" ht="16.5" spans="1:11">
      <c r="A6" s="7">
        <v>4</v>
      </c>
      <c r="B6" s="12" t="s">
        <v>212</v>
      </c>
      <c r="C6" s="8" t="s">
        <v>449</v>
      </c>
      <c r="D6" s="15"/>
      <c r="E6" s="15"/>
      <c r="F6" s="15"/>
      <c r="G6" s="16"/>
      <c r="H6" s="11"/>
      <c r="I6" s="11"/>
      <c r="J6" s="11"/>
      <c r="K6" s="11"/>
    </row>
    <row r="7" ht="16.5" spans="1:11">
      <c r="A7" s="7"/>
      <c r="B7" s="8"/>
      <c r="C7" s="12"/>
      <c r="D7" s="15"/>
      <c r="E7" s="15"/>
      <c r="F7" s="15"/>
      <c r="G7" s="16"/>
      <c r="H7" s="11"/>
      <c r="I7" s="11"/>
      <c r="J7" s="11"/>
      <c r="K7" s="11"/>
    </row>
    <row r="8" ht="17.25" spans="1:11">
      <c r="A8" s="17"/>
      <c r="B8" s="18" t="s">
        <v>153</v>
      </c>
      <c r="C8" s="19"/>
      <c r="D8" s="20">
        <f t="shared" ref="D8:G8" si="0">SUM(D3:D7)</f>
        <v>0</v>
      </c>
      <c r="E8" s="20">
        <f t="shared" si="0"/>
        <v>0</v>
      </c>
      <c r="F8" s="20">
        <f t="shared" si="0"/>
        <v>0</v>
      </c>
      <c r="G8" s="21">
        <f t="shared" si="0"/>
        <v>0</v>
      </c>
      <c r="H8" s="11"/>
      <c r="I8" s="11"/>
      <c r="J8" s="11"/>
      <c r="K8" s="11"/>
    </row>
    <row r="9" ht="17.25" spans="1:11">
      <c r="B9" s="22"/>
      <c r="H9" s="11"/>
      <c r="I9" s="11"/>
      <c r="J9" s="11"/>
      <c r="K9" s="11"/>
    </row>
    <row r="10" ht="16.5" spans="1:11">
      <c r="A10" s="23" t="s">
        <v>450</v>
      </c>
      <c r="B10" s="24"/>
      <c r="C10" s="24"/>
      <c r="D10" s="24"/>
      <c r="E10" s="24"/>
      <c r="F10" s="24"/>
      <c r="G10" s="25"/>
      <c r="H10" s="11"/>
      <c r="I10" s="11"/>
      <c r="J10" s="11"/>
      <c r="K10" s="11"/>
    </row>
    <row r="11" ht="16.5" spans="1:11">
      <c r="A11" s="7" t="s">
        <v>277</v>
      </c>
      <c r="B11" s="8" t="s">
        <v>425</v>
      </c>
      <c r="C11" s="12" t="s">
        <v>451</v>
      </c>
      <c r="D11" s="9" t="s">
        <v>46</v>
      </c>
      <c r="E11" s="9" t="s">
        <v>47</v>
      </c>
      <c r="F11" s="9" t="s">
        <v>48</v>
      </c>
      <c r="G11" s="10" t="s">
        <v>49</v>
      </c>
      <c r="H11" s="11"/>
      <c r="I11" s="11"/>
      <c r="J11" s="11"/>
      <c r="K11" s="11"/>
    </row>
    <row r="12" ht="16.5" spans="1:11">
      <c r="A12" s="7">
        <v>1</v>
      </c>
      <c r="B12" s="26" t="s">
        <v>452</v>
      </c>
      <c r="C12" s="12" t="s">
        <v>453</v>
      </c>
      <c r="D12" s="13">
        <f>收入及成本!B10*0.00015</f>
        <v>0</v>
      </c>
      <c r="E12" s="13">
        <f>收入及成本!C10*0.00015</f>
        <v>0</v>
      </c>
      <c r="F12" s="13">
        <f>收入及成本!D10*0.00015</f>
        <v>0</v>
      </c>
      <c r="G12" s="14">
        <f>收入及成本!E10*0.00015</f>
        <v>0</v>
      </c>
      <c r="H12" s="11"/>
      <c r="I12" s="11"/>
      <c r="J12" s="11"/>
      <c r="K12" s="11"/>
    </row>
    <row r="13" ht="16.5" spans="1:11">
      <c r="A13" s="7">
        <v>2</v>
      </c>
      <c r="B13" s="27"/>
      <c r="C13" s="12" t="s">
        <v>454</v>
      </c>
      <c r="D13" s="15">
        <f>收入及成本!I10*0.00015</f>
        <v>0</v>
      </c>
      <c r="E13" s="15">
        <f>收入及成本!J10*0.00015</f>
        <v>0</v>
      </c>
      <c r="F13" s="15">
        <f>收入及成本!K10*0.00015</f>
        <v>0</v>
      </c>
      <c r="G13" s="15">
        <f>收入及成本!L10*0.00015</f>
        <v>0</v>
      </c>
      <c r="H13" s="11"/>
      <c r="I13" s="11"/>
      <c r="J13" s="11"/>
      <c r="K13" s="11"/>
    </row>
    <row r="14" ht="16.5" spans="1:11">
      <c r="A14" s="7">
        <v>3</v>
      </c>
      <c r="B14" s="28"/>
      <c r="C14" s="12" t="s">
        <v>455</v>
      </c>
      <c r="D14" s="15">
        <f>资产预算!K3*0.00015</f>
        <v>0</v>
      </c>
      <c r="E14" s="15">
        <f>资产预算!L3*0.00015</f>
        <v>0</v>
      </c>
      <c r="F14" s="15">
        <f>资产预算!M3*0.00015</f>
        <v>0</v>
      </c>
      <c r="G14" s="15">
        <f>资产预算!N3*0.00015</f>
        <v>0</v>
      </c>
      <c r="H14" s="11"/>
      <c r="I14" s="11"/>
      <c r="J14" s="11"/>
      <c r="K14" s="11"/>
    </row>
    <row r="15" ht="16.5" spans="1:11">
      <c r="A15" s="7">
        <v>4</v>
      </c>
      <c r="B15" s="26" t="s">
        <v>456</v>
      </c>
      <c r="C15" s="12" t="s">
        <v>457</v>
      </c>
      <c r="D15" s="15"/>
      <c r="E15" s="15"/>
      <c r="F15" s="15"/>
      <c r="G15" s="16"/>
      <c r="H15" s="11"/>
      <c r="I15" s="11"/>
      <c r="J15" s="11"/>
      <c r="K15" s="11"/>
    </row>
    <row r="16" ht="16.5" spans="1:11">
      <c r="A16" s="7"/>
      <c r="B16" s="8" t="s">
        <v>105</v>
      </c>
      <c r="C16" s="12" t="s">
        <v>458</v>
      </c>
      <c r="D16" s="15"/>
      <c r="E16" s="15"/>
      <c r="F16" s="15"/>
      <c r="G16" s="16"/>
      <c r="H16" s="11"/>
      <c r="I16" s="11"/>
      <c r="J16" s="11"/>
      <c r="K16" s="11"/>
    </row>
    <row r="17" ht="17.25" spans="1:11">
      <c r="A17" s="17"/>
      <c r="B17" s="18" t="s">
        <v>153</v>
      </c>
      <c r="C17" s="19"/>
      <c r="D17" s="20">
        <f t="shared" ref="D17:G17" si="1">SUM(D12:D16)</f>
        <v>0</v>
      </c>
      <c r="E17" s="20">
        <f t="shared" si="1"/>
        <v>0</v>
      </c>
      <c r="F17" s="20">
        <f t="shared" si="1"/>
        <v>0</v>
      </c>
      <c r="G17" s="21">
        <f t="shared" si="1"/>
        <v>0</v>
      </c>
      <c r="H17" s="11"/>
      <c r="I17" s="11"/>
      <c r="J17" s="11"/>
      <c r="K17" s="11"/>
    </row>
    <row r="18" ht="16.5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16.5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</sheetData>
  <mergeCells count="3">
    <mergeCell ref="A1:G1"/>
    <mergeCell ref="A10:G10"/>
    <mergeCell ref="B12:B1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02A667-48C8-460A-BE6E-57C34C8A39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预算规则</vt:lpstr>
      <vt:lpstr>利润表</vt:lpstr>
      <vt:lpstr>现金流量表</vt:lpstr>
      <vt:lpstr>收入及成本</vt:lpstr>
      <vt:lpstr>产品成本</vt:lpstr>
      <vt:lpstr>其他收入及支出</vt:lpstr>
      <vt:lpstr>费用预算</vt:lpstr>
      <vt:lpstr>资产预算</vt:lpstr>
      <vt:lpstr>研发预算</vt:lpstr>
      <vt:lpstr>附件1.1费用预算（管理）</vt:lpstr>
      <vt:lpstr>附件1.2费用预算（销售）</vt:lpstr>
      <vt:lpstr>市场推广预算</vt:lpstr>
      <vt:lpstr>附件3（公共费用分摊表）</vt:lpstr>
      <vt:lpstr>附件2（人员预算)</vt:lpstr>
      <vt:lpstr>附件4（财务费用明细）</vt:lpstr>
      <vt:lpstr>附件5（其他收益明细）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Sarah．Xu </cp:lastModifiedBy>
  <dcterms:created xsi:type="dcterms:W3CDTF">2022-12-26T01:29:00Z</dcterms:created>
  <dcterms:modified xsi:type="dcterms:W3CDTF">2025-12-22T03:24:03Z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E8F4C4EBB4AF4CD6A36F955DDB832457_12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