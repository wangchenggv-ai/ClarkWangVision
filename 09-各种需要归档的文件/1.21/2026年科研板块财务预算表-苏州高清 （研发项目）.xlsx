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我的文档\9、科研板块\2026年经营预算\"/>
    </mc:Choice>
  </mc:AlternateContent>
  <xr:revisionPtr revIDLastSave="0" documentId="13_ncr:1_{28C77317-7935-48B4-94E8-45AE6F4E2076}" xr6:coauthVersionLast="47" xr6:coauthVersionMax="47" xr10:uidLastSave="{00000000-0000-0000-0000-000000000000}"/>
  <bookViews>
    <workbookView xWindow="-3435" yWindow="-21720" windowWidth="38640" windowHeight="21120" tabRatio="727" activeTab="2" xr2:uid="{00000000-000D-0000-FFFF-FFFF00000000}"/>
  </bookViews>
  <sheets>
    <sheet name="研发预算" sheetId="18" r:id="rId1"/>
    <sheet name="资产预算" sheetId="25" r:id="rId2"/>
    <sheet name="人员工时" sheetId="2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26" l="1"/>
  <c r="J25" i="26"/>
  <c r="I25" i="26"/>
  <c r="H25" i="26"/>
  <c r="G25" i="26"/>
  <c r="F25" i="26"/>
  <c r="E25" i="26"/>
  <c r="L24" i="26"/>
  <c r="A24" i="26"/>
  <c r="L23" i="26"/>
  <c r="A23" i="26"/>
  <c r="L22" i="26"/>
  <c r="A22" i="26"/>
  <c r="L21" i="26"/>
  <c r="A21" i="26"/>
  <c r="L20" i="26"/>
  <c r="A20" i="26"/>
  <c r="L19" i="26"/>
  <c r="A19" i="26"/>
  <c r="L18" i="26"/>
  <c r="A18" i="26"/>
  <c r="L17" i="26"/>
  <c r="A17" i="26"/>
  <c r="L16" i="26"/>
  <c r="A16" i="26"/>
  <c r="L15" i="26"/>
  <c r="A15" i="26"/>
  <c r="L14" i="26"/>
  <c r="A14" i="26"/>
  <c r="L13" i="26"/>
  <c r="A13" i="26"/>
  <c r="L12" i="26"/>
  <c r="A12" i="26"/>
  <c r="L11" i="26"/>
  <c r="A11" i="26"/>
  <c r="L10" i="26"/>
  <c r="A10" i="26"/>
  <c r="L9" i="26"/>
  <c r="A9" i="26"/>
  <c r="L8" i="26"/>
  <c r="A8" i="26"/>
  <c r="L7" i="26"/>
  <c r="A7" i="26"/>
  <c r="L6" i="26"/>
  <c r="A6" i="26"/>
  <c r="L5" i="26"/>
  <c r="A5" i="26"/>
  <c r="L25" i="26" l="1"/>
  <c r="H35" i="18" l="1"/>
  <c r="H36" i="18"/>
  <c r="H34" i="18"/>
  <c r="J46" i="18"/>
  <c r="B46" i="18"/>
  <c r="O45" i="18"/>
  <c r="N45" i="18"/>
  <c r="M45" i="18"/>
  <c r="L45" i="18"/>
  <c r="O44" i="18"/>
  <c r="N44" i="18"/>
  <c r="M44" i="18"/>
  <c r="L44" i="18"/>
  <c r="O43" i="18"/>
  <c r="O48" i="18" s="1"/>
  <c r="N43" i="18"/>
  <c r="N48" i="18" s="1"/>
  <c r="M43" i="18"/>
  <c r="M48" i="18" s="1"/>
  <c r="L43" i="18"/>
  <c r="L48" i="18" s="1"/>
  <c r="AF5" i="18"/>
  <c r="AF4" i="18"/>
  <c r="AF3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6" i="18"/>
  <c r="U3" i="18"/>
  <c r="U4" i="18"/>
  <c r="U5" i="18"/>
  <c r="O3" i="18"/>
  <c r="O4" i="18"/>
  <c r="O5" i="18"/>
  <c r="I4" i="18"/>
  <c r="I3" i="18"/>
  <c r="I5" i="18"/>
  <c r="D14" i="18"/>
  <c r="E14" i="18"/>
  <c r="F14" i="18"/>
  <c r="G14" i="18"/>
  <c r="D7" i="18"/>
  <c r="E7" i="18"/>
  <c r="F7" i="18"/>
  <c r="G7" i="18"/>
  <c r="D8" i="18"/>
  <c r="E8" i="18"/>
  <c r="F8" i="18"/>
  <c r="G8" i="18"/>
  <c r="D9" i="18"/>
  <c r="E9" i="18"/>
  <c r="F9" i="18"/>
  <c r="G9" i="18"/>
  <c r="D10" i="18"/>
  <c r="E10" i="18"/>
  <c r="F10" i="18"/>
  <c r="G10" i="18"/>
  <c r="E6" i="18"/>
  <c r="F6" i="18"/>
  <c r="G6" i="18"/>
  <c r="D6" i="18"/>
  <c r="J5" i="25"/>
  <c r="J6" i="25"/>
  <c r="J7" i="25"/>
  <c r="J8" i="25"/>
  <c r="J9" i="25"/>
  <c r="C14" i="18" l="1"/>
  <c r="O6" i="25"/>
  <c r="O8" i="25"/>
  <c r="O7" i="25"/>
  <c r="A6" i="25"/>
  <c r="A7" i="25"/>
  <c r="A8" i="25"/>
  <c r="A9" i="25"/>
  <c r="A10" i="25"/>
  <c r="A11" i="25"/>
  <c r="A12" i="25"/>
  <c r="A13" i="25"/>
  <c r="B5" i="18"/>
  <c r="B4" i="18"/>
  <c r="B3" i="18"/>
  <c r="AA1" i="18" l="1"/>
  <c r="E17" i="18" l="1"/>
  <c r="F17" i="18"/>
  <c r="G17" i="18"/>
  <c r="E18" i="18"/>
  <c r="F18" i="18"/>
  <c r="G18" i="18"/>
  <c r="E19" i="18"/>
  <c r="F19" i="18"/>
  <c r="G19" i="18"/>
  <c r="E20" i="18"/>
  <c r="F20" i="18"/>
  <c r="G20" i="18"/>
  <c r="E21" i="18"/>
  <c r="F21" i="18"/>
  <c r="G21" i="18"/>
  <c r="D18" i="18"/>
  <c r="D19" i="18"/>
  <c r="D20" i="18"/>
  <c r="D21" i="18"/>
  <c r="D17" i="18"/>
  <c r="E13" i="18"/>
  <c r="F13" i="18"/>
  <c r="G13" i="18"/>
  <c r="D13" i="18"/>
  <c r="E11" i="18"/>
  <c r="F11" i="18"/>
  <c r="G11" i="18"/>
  <c r="D11" i="18"/>
  <c r="AA6" i="18" l="1"/>
  <c r="D25" i="18"/>
  <c r="G48" i="18"/>
  <c r="F48" i="18"/>
  <c r="E48" i="18"/>
  <c r="D48" i="18"/>
  <c r="G28" i="18"/>
  <c r="F28" i="18"/>
  <c r="E28" i="18"/>
  <c r="AA27" i="18"/>
  <c r="V27" i="18"/>
  <c r="P27" i="18"/>
  <c r="J27" i="18"/>
  <c r="G27" i="18"/>
  <c r="F27" i="18"/>
  <c r="E27" i="18"/>
  <c r="D27" i="18"/>
  <c r="AA26" i="18"/>
  <c r="V26" i="18"/>
  <c r="P26" i="18"/>
  <c r="J26" i="18"/>
  <c r="G26" i="18"/>
  <c r="F26" i="18"/>
  <c r="E26" i="18"/>
  <c r="D26" i="18"/>
  <c r="AA25" i="18"/>
  <c r="V25" i="18"/>
  <c r="P25" i="18"/>
  <c r="E25" i="18"/>
  <c r="J25" i="18"/>
  <c r="G25" i="18"/>
  <c r="F25" i="18"/>
  <c r="AA24" i="18"/>
  <c r="V24" i="18"/>
  <c r="P24" i="18"/>
  <c r="J24" i="18"/>
  <c r="G24" i="18"/>
  <c r="F24" i="18"/>
  <c r="E24" i="18"/>
  <c r="D24" i="18"/>
  <c r="AA23" i="18"/>
  <c r="V23" i="18"/>
  <c r="P23" i="18"/>
  <c r="J23" i="18"/>
  <c r="G23" i="18"/>
  <c r="F23" i="18"/>
  <c r="E23" i="18"/>
  <c r="D23" i="18"/>
  <c r="AA22" i="18"/>
  <c r="V22" i="18"/>
  <c r="P22" i="18"/>
  <c r="J22" i="18"/>
  <c r="G22" i="18"/>
  <c r="F22" i="18"/>
  <c r="E22" i="18"/>
  <c r="D22" i="18"/>
  <c r="AA21" i="18"/>
  <c r="V21" i="18"/>
  <c r="P21" i="18"/>
  <c r="J21" i="18"/>
  <c r="C21" i="18"/>
  <c r="AA20" i="18"/>
  <c r="V20" i="18"/>
  <c r="P20" i="18"/>
  <c r="J20" i="18"/>
  <c r="C20" i="18"/>
  <c r="AA19" i="18"/>
  <c r="V19" i="18"/>
  <c r="P19" i="18"/>
  <c r="J19" i="18"/>
  <c r="C19" i="18"/>
  <c r="AA18" i="18"/>
  <c r="V18" i="18"/>
  <c r="P18" i="18"/>
  <c r="J18" i="18"/>
  <c r="C18" i="18"/>
  <c r="AA17" i="18"/>
  <c r="V17" i="18"/>
  <c r="P17" i="18"/>
  <c r="J17" i="18"/>
  <c r="C17" i="18"/>
  <c r="AA15" i="18"/>
  <c r="V15" i="18"/>
  <c r="P15" i="18"/>
  <c r="J15" i="18"/>
  <c r="C15" i="18"/>
  <c r="AA13" i="18"/>
  <c r="V13" i="18"/>
  <c r="P13" i="18"/>
  <c r="J13" i="18"/>
  <c r="C13" i="18"/>
  <c r="AA11" i="18"/>
  <c r="V11" i="18"/>
  <c r="P11" i="18"/>
  <c r="J11" i="18"/>
  <c r="C11" i="18"/>
  <c r="C10" i="18"/>
  <c r="AA10" i="18"/>
  <c r="V10" i="18"/>
  <c r="P10" i="18"/>
  <c r="J10" i="18"/>
  <c r="C9" i="18"/>
  <c r="AA9" i="18"/>
  <c r="V9" i="18"/>
  <c r="P9" i="18"/>
  <c r="J9" i="18"/>
  <c r="C8" i="18"/>
  <c r="AA8" i="18"/>
  <c r="V8" i="18"/>
  <c r="P8" i="18"/>
  <c r="J8" i="18"/>
  <c r="V6" i="18"/>
  <c r="P6" i="18"/>
  <c r="J6" i="18"/>
  <c r="D28" i="18"/>
  <c r="AE5" i="18"/>
  <c r="AD5" i="18"/>
  <c r="AC5" i="18"/>
  <c r="AB5" i="18"/>
  <c r="Z5" i="18"/>
  <c r="Y5" i="18"/>
  <c r="X5" i="18"/>
  <c r="W5" i="18"/>
  <c r="T5" i="18"/>
  <c r="S5" i="18"/>
  <c r="R5" i="18"/>
  <c r="Q5" i="18"/>
  <c r="N5" i="18"/>
  <c r="M5" i="18"/>
  <c r="K5" i="18"/>
  <c r="V1" i="18"/>
  <c r="P1" i="18"/>
  <c r="J1" i="18"/>
  <c r="N20" i="25"/>
  <c r="N23" i="25" s="1"/>
  <c r="L20" i="25"/>
  <c r="L23" i="25" s="1"/>
  <c r="K20" i="25"/>
  <c r="K23" i="25" s="1"/>
  <c r="J19" i="25"/>
  <c r="M20" i="25"/>
  <c r="M23" i="25" s="1"/>
  <c r="J17" i="25"/>
  <c r="J20" i="25" s="1"/>
  <c r="J23" i="25" s="1"/>
  <c r="J13" i="25"/>
  <c r="O13" i="25" s="1"/>
  <c r="J12" i="25"/>
  <c r="O12" i="25" s="1"/>
  <c r="J11" i="25"/>
  <c r="O11" i="25" s="1"/>
  <c r="J10" i="25"/>
  <c r="O10" i="25" s="1"/>
  <c r="O9" i="25"/>
  <c r="O5" i="25"/>
  <c r="A5" i="25"/>
  <c r="J4" i="25"/>
  <c r="A4" i="25"/>
  <c r="K3" i="25"/>
  <c r="V5" i="18" l="1"/>
  <c r="E31" i="18"/>
  <c r="J3" i="25"/>
  <c r="J24" i="25" s="1"/>
  <c r="M3" i="25"/>
  <c r="M24" i="25" s="1"/>
  <c r="N3" i="25"/>
  <c r="K24" i="25"/>
  <c r="C24" i="18"/>
  <c r="F31" i="18"/>
  <c r="C27" i="18"/>
  <c r="C23" i="18"/>
  <c r="C22" i="18"/>
  <c r="G5" i="18"/>
  <c r="C6" i="18"/>
  <c r="C28" i="18" s="1"/>
  <c r="J5" i="18"/>
  <c r="AA5" i="18"/>
  <c r="D30" i="18"/>
  <c r="P5" i="18"/>
  <c r="F5" i="18"/>
  <c r="G31" i="18"/>
  <c r="C25" i="18"/>
  <c r="D31" i="18"/>
  <c r="E5" i="18"/>
  <c r="D5" i="18"/>
  <c r="L5" i="18"/>
  <c r="C26" i="18"/>
  <c r="D32" i="18"/>
  <c r="C31" i="18" l="1"/>
  <c r="N24" i="25"/>
  <c r="D3" i="18"/>
  <c r="G32" i="18"/>
  <c r="F32" i="18"/>
  <c r="K4" i="18"/>
  <c r="C29" i="18"/>
  <c r="F29" i="18"/>
  <c r="O4" i="25"/>
  <c r="L3" i="25"/>
  <c r="C16" i="18"/>
  <c r="C5" i="18"/>
  <c r="F30" i="18"/>
  <c r="G30" i="18"/>
  <c r="C7" i="18"/>
  <c r="E30" i="18"/>
  <c r="C12" i="18"/>
  <c r="E32" i="18"/>
  <c r="C30" i="18" l="1"/>
  <c r="C32" i="18"/>
  <c r="G29" i="18"/>
  <c r="J12" i="18"/>
  <c r="V12" i="18"/>
  <c r="P12" i="18"/>
  <c r="AA12" i="18"/>
  <c r="F3" i="18"/>
  <c r="D4" i="18"/>
  <c r="D29" i="18"/>
  <c r="AB4" i="18"/>
  <c r="K3" i="18"/>
  <c r="AC4" i="18"/>
  <c r="E4" i="18"/>
  <c r="S3" i="18"/>
  <c r="M4" i="18"/>
  <c r="F4" i="18"/>
  <c r="Y4" i="18"/>
  <c r="Q4" i="18"/>
  <c r="AE4" i="18"/>
  <c r="N3" i="18"/>
  <c r="W3" i="18"/>
  <c r="P14" i="18"/>
  <c r="L24" i="25"/>
  <c r="V14" i="18"/>
  <c r="AA7" i="18"/>
  <c r="J7" i="18"/>
  <c r="P7" i="18"/>
  <c r="V7" i="18"/>
  <c r="Q3" i="18"/>
  <c r="W4" i="18"/>
  <c r="AB3" i="18"/>
  <c r="J16" i="18"/>
  <c r="AA16" i="18"/>
  <c r="V16" i="18"/>
  <c r="P16" i="18"/>
  <c r="R4" i="18"/>
  <c r="R3" i="18"/>
  <c r="AD4" i="18"/>
  <c r="AD3" i="18"/>
  <c r="Z4" i="18"/>
  <c r="Z3" i="18"/>
  <c r="X4" i="18"/>
  <c r="X3" i="18"/>
  <c r="T4" i="18"/>
  <c r="T3" i="18"/>
  <c r="Y3" i="18"/>
  <c r="G3" i="18" l="1"/>
  <c r="G4" i="18"/>
  <c r="E3" i="18"/>
  <c r="E29" i="18"/>
  <c r="AC3" i="18"/>
  <c r="M3" i="18"/>
  <c r="N4" i="18"/>
  <c r="J14" i="18"/>
  <c r="AE3" i="18"/>
  <c r="AA14" i="18"/>
  <c r="AA3" i="18" s="1"/>
  <c r="S4" i="18"/>
  <c r="L3" i="18"/>
  <c r="L4" i="18"/>
  <c r="V3" i="18"/>
  <c r="P4" i="18"/>
  <c r="V4" i="18"/>
  <c r="P3" i="18"/>
  <c r="C3" i="18" l="1"/>
  <c r="J3" i="18"/>
  <c r="C4" i="18"/>
  <c r="AA4" i="18"/>
  <c r="J4" i="18"/>
</calcChain>
</file>

<file path=xl/sharedStrings.xml><?xml version="1.0" encoding="utf-8"?>
<sst xmlns="http://schemas.openxmlformats.org/spreadsheetml/2006/main" count="253" uniqueCount="149">
  <si>
    <t>部门</t>
  </si>
  <si>
    <t>使用部门</t>
  </si>
  <si>
    <t>人员人工</t>
  </si>
  <si>
    <t>无形资产摊销</t>
  </si>
  <si>
    <t>单位：万元</t>
  </si>
  <si>
    <t>Q1</t>
  </si>
  <si>
    <t>Q2</t>
  </si>
  <si>
    <t>Q3</t>
  </si>
  <si>
    <t>Q4</t>
  </si>
  <si>
    <t>FY2025</t>
  </si>
  <si>
    <t>离焦镜片</t>
  </si>
  <si>
    <t>合计</t>
  </si>
  <si>
    <r>
      <rPr>
        <b/>
        <sz val="8"/>
        <color rgb="FF000000"/>
        <rFont val="微软雅黑"/>
        <family val="2"/>
        <charset val="134"/>
      </rPr>
      <t>Q1</t>
    </r>
  </si>
  <si>
    <r>
      <rPr>
        <b/>
        <sz val="8"/>
        <color rgb="FF000000"/>
        <rFont val="微软雅黑"/>
        <family val="2"/>
        <charset val="134"/>
      </rPr>
      <t>Q2</t>
    </r>
  </si>
  <si>
    <r>
      <rPr>
        <b/>
        <sz val="8"/>
        <color rgb="FF000000"/>
        <rFont val="微软雅黑"/>
        <family val="2"/>
        <charset val="134"/>
      </rPr>
      <t>Q3</t>
    </r>
  </si>
  <si>
    <r>
      <rPr>
        <b/>
        <sz val="8"/>
        <color rgb="FF000000"/>
        <rFont val="微软雅黑"/>
        <family val="2"/>
        <charset val="134"/>
      </rPr>
      <t>Q4</t>
    </r>
  </si>
  <si>
    <t xml:space="preserve">购买商品、接受劳务支付的现金 </t>
  </si>
  <si>
    <t xml:space="preserve">支付给职工以及为职工支付的现金 </t>
  </si>
  <si>
    <t xml:space="preserve">支付其他与经营活动有关的现金 </t>
  </si>
  <si>
    <t xml:space="preserve">支付其他与筹资活动有关的现金 </t>
  </si>
  <si>
    <t>使用权资产折旧</t>
  </si>
  <si>
    <t>备注</t>
  </si>
  <si>
    <t>注册费</t>
  </si>
  <si>
    <t>固定&amp;无形资产预算表</t>
  </si>
  <si>
    <t>序号</t>
  </si>
  <si>
    <t>资产名称</t>
  </si>
  <si>
    <t>项目名称</t>
  </si>
  <si>
    <t>资产用途</t>
  </si>
  <si>
    <t>计划采购日期</t>
  </si>
  <si>
    <t>计划到货日期</t>
  </si>
  <si>
    <t>数量</t>
  </si>
  <si>
    <t>单价</t>
  </si>
  <si>
    <t>预算金额</t>
  </si>
  <si>
    <t>总计</t>
  </si>
  <si>
    <t>生产设备</t>
  </si>
  <si>
    <t>办公类</t>
  </si>
  <si>
    <t>苏州高清-生产部</t>
  </si>
  <si>
    <t>苏州高清-研发部</t>
  </si>
  <si>
    <t>RD1202</t>
  </si>
  <si>
    <t>苏州高清-采购部</t>
  </si>
  <si>
    <t>RD1204</t>
  </si>
  <si>
    <t>RD1205</t>
  </si>
  <si>
    <t>苏州高清-市场部</t>
  </si>
  <si>
    <t>苏州高清-销售部</t>
  </si>
  <si>
    <t>苏州高清-质量管理部</t>
  </si>
  <si>
    <t>苏州高清-注册部</t>
  </si>
  <si>
    <t>苏州高清-总经办</t>
  </si>
  <si>
    <t>其他长期资产预算表</t>
  </si>
  <si>
    <t>项目编码</t>
  </si>
  <si>
    <t xml:space="preserve">购建固定资产、无形资产和其他长期资产支付的现金 </t>
  </si>
  <si>
    <r>
      <rPr>
        <b/>
        <sz val="11"/>
        <color rgb="FF000000"/>
        <rFont val="微软雅黑"/>
        <family val="2"/>
        <charset val="134"/>
      </rPr>
      <t>研发项目预算表</t>
    </r>
  </si>
  <si>
    <r>
      <rPr>
        <b/>
        <sz val="9"/>
        <color rgb="FF000000"/>
        <rFont val="微软雅黑"/>
        <family val="2"/>
        <charset val="134"/>
      </rPr>
      <t>单位：万元</t>
    </r>
  </si>
  <si>
    <t>分类</t>
  </si>
  <si>
    <t>资金支出总计</t>
  </si>
  <si>
    <t>费用化总计</t>
  </si>
  <si>
    <t>资本化总计</t>
  </si>
  <si>
    <t>材料</t>
  </si>
  <si>
    <t>子项目</t>
  </si>
  <si>
    <t>动力费</t>
  </si>
  <si>
    <t>试验费</t>
  </si>
  <si>
    <t>测试购置费</t>
  </si>
  <si>
    <t>检验费</t>
  </si>
  <si>
    <t>设备租赁费</t>
  </si>
  <si>
    <t>汇总</t>
  </si>
  <si>
    <t>设备运维费</t>
  </si>
  <si>
    <t>固定资产</t>
  </si>
  <si>
    <t>折旧费用</t>
  </si>
  <si>
    <t>设计费</t>
  </si>
  <si>
    <t>无形资产</t>
  </si>
  <si>
    <t>厂房建设</t>
  </si>
  <si>
    <t>其他摊销</t>
  </si>
  <si>
    <t>其他费用</t>
  </si>
  <si>
    <t>委托研发</t>
  </si>
  <si>
    <t>临床试验费</t>
  </si>
  <si>
    <t>临床人员人工</t>
  </si>
  <si>
    <t>临床材料费</t>
  </si>
  <si>
    <t>项目简称</t>
  </si>
  <si>
    <t>设备工时分配表</t>
  </si>
  <si>
    <t>无形资产</t>
    <phoneticPr fontId="26" type="noConversion"/>
  </si>
  <si>
    <t>角膜塑形镜OK7</t>
    <phoneticPr fontId="26" type="noConversion"/>
  </si>
  <si>
    <t>项目</t>
    <phoneticPr fontId="26" type="noConversion"/>
  </si>
  <si>
    <t>FY2026</t>
  </si>
  <si>
    <t>新项目</t>
    <phoneticPr fontId="26" type="noConversion"/>
  </si>
  <si>
    <t>新项目1</t>
    <phoneticPr fontId="26" type="noConversion"/>
  </si>
  <si>
    <t>计划开始时间</t>
    <phoneticPr fontId="26" type="noConversion"/>
  </si>
  <si>
    <t>项目编码</t>
    <phoneticPr fontId="26" type="noConversion"/>
  </si>
  <si>
    <t>项目简称</t>
    <phoneticPr fontId="26" type="noConversion"/>
  </si>
  <si>
    <t>FY2026</t>
    <phoneticPr fontId="26" type="noConversion"/>
  </si>
  <si>
    <r>
      <rPr>
        <b/>
        <sz val="8"/>
        <color rgb="FF000000"/>
        <rFont val="微软雅黑"/>
        <family val="2"/>
        <charset val="134"/>
      </rPr>
      <t>Q1</t>
    </r>
    <phoneticPr fontId="26" type="noConversion"/>
  </si>
  <si>
    <r>
      <rPr>
        <b/>
        <sz val="8"/>
        <color rgb="FF000000"/>
        <rFont val="微软雅黑"/>
        <family val="2"/>
        <charset val="134"/>
      </rPr>
      <t>Q2</t>
    </r>
    <phoneticPr fontId="26" type="noConversion"/>
  </si>
  <si>
    <r>
      <rPr>
        <b/>
        <sz val="8"/>
        <color rgb="FF000000"/>
        <rFont val="微软雅黑"/>
        <family val="2"/>
        <charset val="134"/>
      </rPr>
      <t>Q3</t>
    </r>
    <phoneticPr fontId="26" type="noConversion"/>
  </si>
  <si>
    <r>
      <rPr>
        <b/>
        <sz val="8"/>
        <color rgb="FF000000"/>
        <rFont val="微软雅黑"/>
        <family val="2"/>
        <charset val="134"/>
      </rPr>
      <t>Q4</t>
    </r>
    <phoneticPr fontId="26" type="noConversion"/>
  </si>
  <si>
    <t>计划完成时间</t>
    <phoneticPr fontId="26" type="noConversion"/>
  </si>
  <si>
    <t>项目人员工时分配表</t>
    <phoneticPr fontId="26" type="noConversion"/>
  </si>
  <si>
    <t>RD1206</t>
    <phoneticPr fontId="26" type="noConversion"/>
  </si>
  <si>
    <t>延期计划完成时间</t>
    <phoneticPr fontId="26" type="noConversion"/>
  </si>
  <si>
    <t>多焦软镜</t>
    <phoneticPr fontId="26" type="noConversion"/>
  </si>
  <si>
    <t>项目总预算</t>
    <phoneticPr fontId="26" type="noConversion"/>
  </si>
  <si>
    <t>项目总支出</t>
    <phoneticPr fontId="26" type="noConversion"/>
  </si>
  <si>
    <t>预算余额</t>
    <phoneticPr fontId="26" type="noConversion"/>
  </si>
  <si>
    <t>（单位：%）</t>
  </si>
  <si>
    <t>姓名</t>
  </si>
  <si>
    <t>岗位</t>
  </si>
  <si>
    <t>（渐近镜片）新项目</t>
  </si>
  <si>
    <t>年度计划总工时  %</t>
  </si>
  <si>
    <t>1-12月</t>
    <phoneticPr fontId="26" type="noConversion"/>
  </si>
  <si>
    <t>王成</t>
  </si>
  <si>
    <t>高视高清-总经办</t>
  </si>
  <si>
    <t>总经理</t>
  </si>
  <si>
    <t>沈锋</t>
  </si>
  <si>
    <t>高视高清-质量管理部</t>
  </si>
  <si>
    <t>质量经理</t>
  </si>
  <si>
    <t>徐畅</t>
  </si>
  <si>
    <t>微生物工程师</t>
  </si>
  <si>
    <t>唐洁琼</t>
  </si>
  <si>
    <t>质量工程师</t>
  </si>
  <si>
    <t>杨丹</t>
  </si>
  <si>
    <t>QC质检</t>
  </si>
  <si>
    <t>高静</t>
  </si>
  <si>
    <t>汪俊文</t>
  </si>
  <si>
    <t>高视高清-生产部</t>
  </si>
  <si>
    <t>厂务工程师</t>
  </si>
  <si>
    <t>罗孟杨</t>
  </si>
  <si>
    <t>生产工程师</t>
  </si>
  <si>
    <t>寇冰</t>
  </si>
  <si>
    <t>生产操作员</t>
  </si>
  <si>
    <t>孙川</t>
  </si>
  <si>
    <t>高视高清-注册部</t>
  </si>
  <si>
    <t>RA法规注册经理</t>
  </si>
  <si>
    <t>胡瑞雪</t>
  </si>
  <si>
    <t>高视高清-研发部</t>
  </si>
  <si>
    <t>临床应用专员</t>
  </si>
  <si>
    <t>肖真</t>
  </si>
  <si>
    <t>研发专家</t>
  </si>
  <si>
    <t>合  计</t>
  </si>
  <si>
    <t>项目计划周期（2026年）</t>
    <phoneticPr fontId="26" type="noConversion"/>
  </si>
  <si>
    <t>1-6月</t>
    <phoneticPr fontId="26" type="noConversion"/>
  </si>
  <si>
    <t>人员工时</t>
    <phoneticPr fontId="26" type="noConversion"/>
  </si>
  <si>
    <t>RD1202角膜塑形镜</t>
  </si>
  <si>
    <t>RD1204离焦镜片</t>
  </si>
  <si>
    <t>RD1205多焦软镜</t>
  </si>
  <si>
    <t>直接人工</t>
    <phoneticPr fontId="28" type="noConversion"/>
  </si>
  <si>
    <t>制造费用</t>
    <phoneticPr fontId="28" type="noConversion"/>
  </si>
  <si>
    <t>已终止</t>
    <phoneticPr fontId="26" type="noConversion"/>
  </si>
  <si>
    <t>管理&amp;非项目</t>
    <phoneticPr fontId="28" type="noConversion"/>
  </si>
  <si>
    <t>生产操作</t>
    <phoneticPr fontId="28" type="noConversion"/>
  </si>
  <si>
    <t>生产管理&amp;产品质量检测</t>
    <phoneticPr fontId="28" type="noConversion"/>
  </si>
  <si>
    <t>管理&amp;体系&amp;其他</t>
    <phoneticPr fontId="28" type="noConversion"/>
  </si>
  <si>
    <t>项目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</si>
</sst>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(* #,##0_);_(* \(#,##0\);_(* &quot;&quot;\ \-\ &quot;&quot;_);_(@_)"/>
    <numFmt numFmtId="177" formatCode="yyyy&quot;年&quot;m&quot;月&quot;;@"/>
    <numFmt numFmtId="178" formatCode="0_);[Red]\(0\)"/>
  </numFmts>
  <fonts count="32">
    <font>
      <sz val="11"/>
      <color indexed="8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color indexed="8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9"/>
      <color indexed="8"/>
      <name val="等线"/>
      <family val="3"/>
      <charset val="134"/>
      <scheme val="minor"/>
    </font>
    <font>
      <sz val="9"/>
      <color indexed="8"/>
      <name val="等线"/>
      <family val="3"/>
      <charset val="134"/>
      <scheme val="minor"/>
    </font>
    <font>
      <b/>
      <sz val="11"/>
      <color rgb="FF000000"/>
      <name val="微软雅黑"/>
      <family val="2"/>
      <charset val="134"/>
    </font>
    <font>
      <b/>
      <sz val="12"/>
      <name val="微软雅黑"/>
      <family val="2"/>
      <charset val="134"/>
    </font>
    <font>
      <b/>
      <sz val="9"/>
      <name val="微软雅黑"/>
      <family val="2"/>
      <charset val="134"/>
    </font>
    <font>
      <sz val="11"/>
      <color theme="1"/>
      <name val="等线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9"/>
      <color rgb="FF333333"/>
      <name val="Microsoft YaHei"/>
      <charset val="134"/>
    </font>
    <font>
      <sz val="11"/>
      <color theme="1"/>
      <name val="等线"/>
      <family val="3"/>
      <charset val="134"/>
      <scheme val="minor"/>
    </font>
    <font>
      <sz val="8"/>
      <name val="Arial"/>
      <family val="2"/>
    </font>
    <font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Microsoft YaHei"/>
      <charset val="134"/>
    </font>
    <font>
      <sz val="9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name val="Microsoft YaHei"/>
      <charset val="134"/>
    </font>
    <font>
      <sz val="9"/>
      <color rgb="FFFF000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 tint="-0.149754325998718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176" fontId="24" fillId="9" borderId="0">
      <alignment horizontal="right"/>
    </xf>
    <xf numFmtId="0" fontId="23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23" fillId="0" borderId="0"/>
  </cellStyleXfs>
  <cellXfs count="132">
    <xf numFmtId="0" fontId="0" fillId="0" borderId="0" xfId="0">
      <alignment vertical="center"/>
    </xf>
    <xf numFmtId="43" fontId="3" fillId="2" borderId="1" xfId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49" fontId="6" fillId="0" borderId="1" xfId="0" applyNumberFormat="1" applyFont="1" applyBorder="1">
      <alignment vertical="center"/>
    </xf>
    <xf numFmtId="43" fontId="9" fillId="4" borderId="1" xfId="1" applyFont="1" applyFill="1" applyBorder="1" applyAlignment="1">
      <alignment horizontal="center" vertical="center" wrapText="1"/>
    </xf>
    <xf numFmtId="49" fontId="11" fillId="5" borderId="10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0" fillId="0" borderId="0" xfId="0" applyFont="1" applyAlignment="1">
      <alignment horizontal="right" wrapText="1"/>
    </xf>
    <xf numFmtId="0" fontId="10" fillId="0" borderId="0" xfId="0" applyFont="1" applyAlignment="1">
      <alignment horizontal="left" wrapText="1"/>
    </xf>
    <xf numFmtId="0" fontId="10" fillId="5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 wrapText="1"/>
    </xf>
    <xf numFmtId="43" fontId="10" fillId="5" borderId="5" xfId="1" applyFont="1" applyFill="1" applyBorder="1" applyAlignment="1">
      <alignment horizontal="center" vertical="center"/>
    </xf>
    <xf numFmtId="43" fontId="10" fillId="5" borderId="6" xfId="1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43" fontId="6" fillId="6" borderId="6" xfId="1" applyFont="1" applyFill="1" applyBorder="1">
      <alignment vertical="center"/>
    </xf>
    <xf numFmtId="43" fontId="5" fillId="6" borderId="6" xfId="1" applyFont="1" applyFill="1" applyBorder="1">
      <alignment vertical="center"/>
    </xf>
    <xf numFmtId="43" fontId="6" fillId="5" borderId="1" xfId="1" applyFont="1" applyFill="1" applyBorder="1" applyAlignment="1">
      <alignment horizontal="center" vertical="center"/>
    </xf>
    <xf numFmtId="43" fontId="6" fillId="3" borderId="6" xfId="1" applyFont="1" applyFill="1" applyBorder="1">
      <alignment vertical="center"/>
    </xf>
    <xf numFmtId="0" fontId="6" fillId="0" borderId="1" xfId="3" applyFont="1" applyBorder="1" applyAlignment="1">
      <alignment vertical="center"/>
    </xf>
    <xf numFmtId="49" fontId="2" fillId="0" borderId="1" xfId="0" applyNumberFormat="1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>
      <alignment horizontal="left" vertical="center"/>
    </xf>
    <xf numFmtId="49" fontId="2" fillId="0" borderId="2" xfId="0" applyNumberFormat="1" applyFont="1" applyBorder="1" applyAlignment="1" applyProtection="1">
      <alignment horizontal="left" vertical="center" wrapText="1"/>
      <protection locked="0"/>
    </xf>
    <xf numFmtId="43" fontId="6" fillId="6" borderId="13" xfId="1" applyFont="1" applyFill="1" applyBorder="1">
      <alignment vertical="center"/>
    </xf>
    <xf numFmtId="49" fontId="12" fillId="0" borderId="14" xfId="0" applyNumberFormat="1" applyFont="1" applyBorder="1" applyAlignment="1">
      <alignment horizontal="left" vertical="center" wrapText="1"/>
    </xf>
    <xf numFmtId="43" fontId="6" fillId="6" borderId="14" xfId="1" applyFont="1" applyFill="1" applyBorder="1">
      <alignment vertical="center"/>
    </xf>
    <xf numFmtId="49" fontId="12" fillId="0" borderId="10" xfId="0" applyNumberFormat="1" applyFont="1" applyBorder="1" applyAlignment="1">
      <alignment horizontal="left" vertical="center" wrapText="1"/>
    </xf>
    <xf numFmtId="43" fontId="6" fillId="6" borderId="10" xfId="1" applyFont="1" applyFill="1" applyBorder="1">
      <alignment vertical="center"/>
    </xf>
    <xf numFmtId="0" fontId="6" fillId="0" borderId="0" xfId="0" applyFont="1">
      <alignment vertical="center"/>
    </xf>
    <xf numFmtId="0" fontId="18" fillId="0" borderId="0" xfId="0" applyFont="1" applyAlignment="1">
      <alignment horizontal="left"/>
    </xf>
    <xf numFmtId="9" fontId="5" fillId="0" borderId="6" xfId="2" applyFont="1" applyFill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19" fillId="0" borderId="0" xfId="0" applyFont="1" applyAlignment="1"/>
    <xf numFmtId="0" fontId="20" fillId="0" borderId="0" xfId="0" applyFont="1" applyAlignment="1"/>
    <xf numFmtId="49" fontId="10" fillId="6" borderId="4" xfId="0" applyNumberFormat="1" applyFont="1" applyFill="1" applyBorder="1" applyAlignment="1">
      <alignment horizontal="center" vertical="center"/>
    </xf>
    <xf numFmtId="43" fontId="6" fillId="3" borderId="16" xfId="1" applyFont="1" applyFill="1" applyBorder="1">
      <alignment vertical="center"/>
    </xf>
    <xf numFmtId="43" fontId="5" fillId="0" borderId="1" xfId="1" applyFont="1" applyFill="1" applyBorder="1">
      <alignment vertical="center"/>
    </xf>
    <xf numFmtId="0" fontId="9" fillId="0" borderId="0" xfId="0" applyFont="1" applyAlignment="1"/>
    <xf numFmtId="0" fontId="9" fillId="0" borderId="0" xfId="0" applyFont="1" applyAlignment="1">
      <alignment wrapText="1"/>
    </xf>
    <xf numFmtId="177" fontId="9" fillId="0" borderId="0" xfId="0" applyNumberFormat="1" applyFont="1" applyAlignment="1">
      <alignment wrapText="1"/>
    </xf>
    <xf numFmtId="0" fontId="21" fillId="4" borderId="0" xfId="5" applyFont="1" applyFill="1">
      <alignment vertical="center"/>
    </xf>
    <xf numFmtId="177" fontId="21" fillId="4" borderId="0" xfId="5" applyNumberFormat="1" applyFont="1" applyFill="1">
      <alignment vertical="center"/>
    </xf>
    <xf numFmtId="0" fontId="3" fillId="2" borderId="1" xfId="4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 wrapText="1"/>
    </xf>
    <xf numFmtId="177" fontId="3" fillId="2" borderId="1" xfId="4" applyNumberFormat="1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/>
    </xf>
    <xf numFmtId="0" fontId="9" fillId="4" borderId="1" xfId="4" applyFont="1" applyFill="1" applyBorder="1" applyAlignment="1">
      <alignment horizontal="center" vertical="center" wrapText="1"/>
    </xf>
    <xf numFmtId="177" fontId="9" fillId="4" borderId="1" xfId="4" applyNumberFormat="1" applyFont="1" applyFill="1" applyBorder="1" applyAlignment="1">
      <alignment horizontal="center" vertical="center" wrapText="1"/>
    </xf>
    <xf numFmtId="178" fontId="9" fillId="4" borderId="1" xfId="4" applyNumberFormat="1" applyFont="1" applyFill="1" applyBorder="1" applyAlignment="1">
      <alignment horizontal="center" vertical="center" wrapText="1"/>
    </xf>
    <xf numFmtId="0" fontId="22" fillId="8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8" fillId="4" borderId="17" xfId="5" applyFont="1" applyFill="1" applyBorder="1" applyAlignment="1"/>
    <xf numFmtId="43" fontId="4" fillId="0" borderId="0" xfId="0" applyNumberFormat="1" applyFont="1">
      <alignment vertical="center"/>
    </xf>
    <xf numFmtId="43" fontId="18" fillId="0" borderId="0" xfId="0" applyNumberFormat="1" applyFont="1" applyAlignment="1">
      <alignment horizontal="left"/>
    </xf>
    <xf numFmtId="43" fontId="2" fillId="0" borderId="10" xfId="1" applyFont="1" applyBorder="1">
      <alignment vertical="center"/>
    </xf>
    <xf numFmtId="43" fontId="6" fillId="6" borderId="18" xfId="1" applyFont="1" applyFill="1" applyBorder="1">
      <alignment vertical="center"/>
    </xf>
    <xf numFmtId="0" fontId="17" fillId="3" borderId="15" xfId="0" applyFont="1" applyFill="1" applyBorder="1" applyAlignment="1">
      <alignment horizontal="center" vertical="center"/>
    </xf>
    <xf numFmtId="43" fontId="10" fillId="5" borderId="19" xfId="1" applyFont="1" applyFill="1" applyBorder="1" applyAlignment="1">
      <alignment horizontal="center" vertical="center"/>
    </xf>
    <xf numFmtId="43" fontId="17" fillId="0" borderId="0" xfId="0" applyNumberFormat="1" applyFont="1">
      <alignment vertical="center"/>
    </xf>
    <xf numFmtId="43" fontId="6" fillId="0" borderId="19" xfId="0" applyNumberFormat="1" applyFont="1" applyBorder="1">
      <alignment vertical="center"/>
    </xf>
    <xf numFmtId="0" fontId="8" fillId="4" borderId="17" xfId="5" applyFont="1" applyFill="1" applyBorder="1" applyAlignment="1">
      <alignment horizontal="right"/>
    </xf>
    <xf numFmtId="49" fontId="12" fillId="0" borderId="7" xfId="0" applyNumberFormat="1" applyFont="1" applyBorder="1" applyAlignment="1">
      <alignment horizontal="left" vertical="center" wrapText="1"/>
    </xf>
    <xf numFmtId="49" fontId="12" fillId="0" borderId="8" xfId="0" applyNumberFormat="1" applyFont="1" applyBorder="1" applyAlignment="1">
      <alignment horizontal="left" vertical="center" wrapText="1"/>
    </xf>
    <xf numFmtId="49" fontId="12" fillId="0" borderId="9" xfId="0" applyNumberFormat="1" applyFont="1" applyBorder="1" applyAlignment="1">
      <alignment horizontal="left" vertical="center" wrapText="1"/>
    </xf>
    <xf numFmtId="49" fontId="11" fillId="5" borderId="4" xfId="0" applyNumberFormat="1" applyFont="1" applyFill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left" vertical="center" wrapText="1"/>
    </xf>
    <xf numFmtId="43" fontId="6" fillId="6" borderId="21" xfId="1" applyFont="1" applyFill="1" applyBorder="1">
      <alignment vertical="center"/>
    </xf>
    <xf numFmtId="9" fontId="5" fillId="0" borderId="19" xfId="2" applyFont="1" applyFill="1" applyBorder="1" applyAlignment="1">
      <alignment horizontal="center" vertical="center"/>
    </xf>
    <xf numFmtId="49" fontId="12" fillId="0" borderId="21" xfId="0" applyNumberFormat="1" applyFont="1" applyBorder="1" applyAlignment="1">
      <alignment horizontal="left" vertical="center" wrapText="1"/>
    </xf>
    <xf numFmtId="49" fontId="11" fillId="5" borderId="19" xfId="0" applyNumberFormat="1" applyFont="1" applyFill="1" applyBorder="1" applyAlignment="1">
      <alignment horizontal="center" vertical="center" wrapText="1"/>
    </xf>
    <xf numFmtId="0" fontId="2" fillId="0" borderId="19" xfId="0" applyFont="1" applyBorder="1">
      <alignment vertical="center"/>
    </xf>
    <xf numFmtId="14" fontId="5" fillId="0" borderId="19" xfId="2" applyNumberFormat="1" applyFont="1" applyFill="1" applyBorder="1" applyAlignment="1">
      <alignment horizontal="center" vertical="center"/>
    </xf>
    <xf numFmtId="0" fontId="6" fillId="0" borderId="19" xfId="0" applyFont="1" applyBorder="1">
      <alignment vertical="center"/>
    </xf>
    <xf numFmtId="0" fontId="7" fillId="3" borderId="19" xfId="0" applyFont="1" applyFill="1" applyBorder="1" applyAlignment="1">
      <alignment horizontal="center" vertical="center"/>
    </xf>
    <xf numFmtId="49" fontId="11" fillId="5" borderId="19" xfId="0" applyNumberFormat="1" applyFont="1" applyFill="1" applyBorder="1" applyAlignment="1">
      <alignment horizontal="center" vertical="center"/>
    </xf>
    <xf numFmtId="43" fontId="5" fillId="0" borderId="19" xfId="1" applyFont="1" applyFill="1" applyBorder="1" applyAlignment="1">
      <alignment horizontal="center" vertical="center"/>
    </xf>
    <xf numFmtId="43" fontId="2" fillId="0" borderId="19" xfId="1" applyFont="1" applyBorder="1">
      <alignment vertical="center"/>
    </xf>
    <xf numFmtId="0" fontId="27" fillId="4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right" vertical="center"/>
    </xf>
    <xf numFmtId="0" fontId="6" fillId="4" borderId="15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2" fillId="4" borderId="19" xfId="9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9" fontId="9" fillId="0" borderId="19" xfId="0" applyNumberFormat="1" applyFont="1" applyBorder="1" applyAlignment="1">
      <alignment horizontal="center" vertical="center"/>
    </xf>
    <xf numFmtId="9" fontId="2" fillId="4" borderId="19" xfId="9" applyNumberFormat="1" applyFont="1" applyFill="1" applyBorder="1" applyAlignment="1">
      <alignment horizontal="center" vertical="center"/>
    </xf>
    <xf numFmtId="9" fontId="6" fillId="4" borderId="3" xfId="10" applyFont="1" applyFill="1" applyBorder="1" applyAlignment="1">
      <alignment horizontal="center" vertical="center"/>
    </xf>
    <xf numFmtId="9" fontId="2" fillId="4" borderId="19" xfId="1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4" borderId="2" xfId="9" applyFont="1" applyFill="1" applyBorder="1" applyAlignment="1">
      <alignment horizontal="left" vertical="center"/>
    </xf>
    <xf numFmtId="0" fontId="5" fillId="4" borderId="22" xfId="0" applyFont="1" applyFill="1" applyBorder="1" applyAlignment="1">
      <alignment horizontal="center" vertical="center"/>
    </xf>
    <xf numFmtId="49" fontId="31" fillId="4" borderId="19" xfId="0" applyNumberFormat="1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center" vertical="center"/>
    </xf>
    <xf numFmtId="9" fontId="6" fillId="4" borderId="4" xfId="10" applyFont="1" applyFill="1" applyBorder="1" applyAlignment="1">
      <alignment horizontal="center" vertical="center"/>
    </xf>
    <xf numFmtId="0" fontId="0" fillId="4" borderId="19" xfId="0" applyFill="1" applyBorder="1">
      <alignment vertical="center"/>
    </xf>
    <xf numFmtId="49" fontId="31" fillId="4" borderId="20" xfId="0" applyNumberFormat="1" applyFont="1" applyFill="1" applyBorder="1" applyAlignment="1">
      <alignment horizontal="center" vertical="center"/>
    </xf>
    <xf numFmtId="9" fontId="5" fillId="4" borderId="3" xfId="10" applyFont="1" applyFill="1" applyBorder="1" applyAlignment="1">
      <alignment horizontal="center" vertical="center"/>
    </xf>
    <xf numFmtId="49" fontId="31" fillId="4" borderId="23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 wrapText="1"/>
    </xf>
    <xf numFmtId="9" fontId="6" fillId="4" borderId="23" xfId="10" applyFont="1" applyFill="1" applyBorder="1" applyAlignment="1">
      <alignment horizontal="center" vertical="center"/>
    </xf>
    <xf numFmtId="9" fontId="6" fillId="4" borderId="24" xfId="1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 wrapText="1"/>
    </xf>
    <xf numFmtId="9" fontId="6" fillId="4" borderId="19" xfId="10" applyFont="1" applyFill="1" applyBorder="1" applyAlignment="1">
      <alignment horizontal="center" vertical="center"/>
    </xf>
    <xf numFmtId="9" fontId="6" fillId="4" borderId="25" xfId="1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5" fillId="10" borderId="3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</cellXfs>
  <cellStyles count="12">
    <cellStyle name="Decimal_0dp" xfId="6" xr:uid="{00000000-0005-0000-0000-000034000000}"/>
    <cellStyle name="百分比" xfId="2" builtinId="5"/>
    <cellStyle name="百分比 2" xfId="10" xr:uid="{13D869D2-26E6-42DB-9E9D-FE6196027A95}"/>
    <cellStyle name="常规" xfId="0" builtinId="0"/>
    <cellStyle name="常规 11" xfId="11" xr:uid="{8185C497-A41C-40F4-9476-5494C1B19760}"/>
    <cellStyle name="常规 2" xfId="3" xr:uid="{00000000-0005-0000-0000-000031000000}"/>
    <cellStyle name="常规 3 2" xfId="4" xr:uid="{00000000-0005-0000-0000-000032000000}"/>
    <cellStyle name="常规 30" xfId="9" xr:uid="{83B8CDB5-C041-4403-A730-8B72F5293213}"/>
    <cellStyle name="常规 5 7" xfId="7" xr:uid="{00000000-0005-0000-0000-000035000000}"/>
    <cellStyle name="常规 8" xfId="5" xr:uid="{00000000-0005-0000-0000-000033000000}"/>
    <cellStyle name="常规 8 7" xfId="8" xr:uid="{9DC557E5-EF24-4A83-BEBB-8402E1DAB872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179"/>
  <sheetViews>
    <sheetView showGridLines="0" zoomScaleNormal="100" workbookViewId="0">
      <selection activeCell="X37" sqref="X37"/>
    </sheetView>
  </sheetViews>
  <sheetFormatPr defaultColWidth="9" defaultRowHeight="14" outlineLevelCol="1"/>
  <cols>
    <col min="1" max="1" width="22.33203125" customWidth="1"/>
    <col min="2" max="2" width="11.6640625" customWidth="1"/>
    <col min="3" max="3" width="9.5" customWidth="1"/>
    <col min="4" max="5" width="9.83203125" customWidth="1"/>
    <col min="6" max="7" width="8.58203125" customWidth="1"/>
    <col min="8" max="9" width="9.83203125" customWidth="1"/>
    <col min="10" max="10" width="10.5" customWidth="1"/>
    <col min="11" max="15" width="8.58203125" customWidth="1" outlineLevel="1"/>
    <col min="16" max="16" width="8.58203125" customWidth="1"/>
    <col min="17" max="21" width="8.58203125" customWidth="1" outlineLevel="1"/>
    <col min="22" max="22" width="8.58203125" customWidth="1"/>
    <col min="23" max="26" width="8.58203125" customWidth="1" outlineLevel="1"/>
    <col min="27" max="27" width="8.58203125" customWidth="1"/>
    <col min="28" max="31" width="8.58203125" customWidth="1" outlineLevel="1"/>
    <col min="35" max="35" width="10" customWidth="1"/>
  </cols>
  <sheetData>
    <row r="1" spans="1:37" ht="22" customHeight="1">
      <c r="A1" s="11" t="s">
        <v>50</v>
      </c>
      <c r="B1" s="11"/>
      <c r="C1" s="66"/>
      <c r="D1" s="12"/>
      <c r="E1" s="12"/>
      <c r="F1" s="12"/>
      <c r="G1" s="12"/>
      <c r="H1" s="13" t="s">
        <v>51</v>
      </c>
      <c r="I1" s="13"/>
      <c r="J1" s="14" t="str">
        <f>A43</f>
        <v>RD1202</v>
      </c>
      <c r="K1" s="40"/>
      <c r="L1" s="41"/>
      <c r="M1" s="41"/>
      <c r="N1" s="41"/>
      <c r="O1" s="41"/>
      <c r="P1" s="14" t="str">
        <f>A44</f>
        <v>RD1204</v>
      </c>
      <c r="Q1" s="40"/>
      <c r="R1" s="41"/>
      <c r="S1" s="41"/>
      <c r="T1" s="41"/>
      <c r="U1" s="41"/>
      <c r="V1" s="14" t="str">
        <f>A45</f>
        <v>RD1205</v>
      </c>
      <c r="W1" s="40"/>
      <c r="X1" s="41"/>
      <c r="Y1" s="41"/>
      <c r="Z1" s="41"/>
      <c r="AA1" s="14" t="str">
        <f>A46</f>
        <v>新项目1</v>
      </c>
      <c r="AB1" s="40"/>
      <c r="AC1" s="41"/>
      <c r="AD1" s="41"/>
      <c r="AE1" s="41"/>
      <c r="AF1" s="14" t="s">
        <v>94</v>
      </c>
    </row>
    <row r="2" spans="1:37" s="9" customFormat="1">
      <c r="A2" s="15" t="s">
        <v>52</v>
      </c>
      <c r="B2" s="64" t="s">
        <v>9</v>
      </c>
      <c r="C2" s="16" t="s">
        <v>81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21</v>
      </c>
      <c r="I2" s="16" t="s">
        <v>9</v>
      </c>
      <c r="J2" s="16" t="s">
        <v>81</v>
      </c>
      <c r="K2" s="42" t="s">
        <v>5</v>
      </c>
      <c r="L2" s="42" t="s">
        <v>6</v>
      </c>
      <c r="M2" s="42" t="s">
        <v>7</v>
      </c>
      <c r="N2" s="42" t="s">
        <v>8</v>
      </c>
      <c r="O2" s="16" t="s">
        <v>9</v>
      </c>
      <c r="P2" s="16" t="s">
        <v>81</v>
      </c>
      <c r="Q2" s="42" t="s">
        <v>5</v>
      </c>
      <c r="R2" s="42" t="s">
        <v>6</v>
      </c>
      <c r="S2" s="42" t="s">
        <v>7</v>
      </c>
      <c r="T2" s="42" t="s">
        <v>8</v>
      </c>
      <c r="U2" s="16" t="s">
        <v>9</v>
      </c>
      <c r="V2" s="16" t="s">
        <v>81</v>
      </c>
      <c r="W2" s="42" t="s">
        <v>5</v>
      </c>
      <c r="X2" s="42" t="s">
        <v>6</v>
      </c>
      <c r="Y2" s="42" t="s">
        <v>7</v>
      </c>
      <c r="Z2" s="42" t="s">
        <v>8</v>
      </c>
      <c r="AA2" s="16" t="s">
        <v>81</v>
      </c>
      <c r="AB2" s="17" t="s">
        <v>5</v>
      </c>
      <c r="AC2" s="17" t="s">
        <v>6</v>
      </c>
      <c r="AD2" s="17" t="s">
        <v>7</v>
      </c>
      <c r="AE2" s="17" t="s">
        <v>8</v>
      </c>
      <c r="AF2" s="16" t="s">
        <v>9</v>
      </c>
      <c r="AI2"/>
      <c r="AJ2"/>
      <c r="AK2" s="4"/>
    </row>
    <row r="3" spans="1:37" s="10" customFormat="1">
      <c r="A3" s="18" t="s">
        <v>53</v>
      </c>
      <c r="B3" s="65">
        <f>SUM(B6:B27)-B16-B19-B21</f>
        <v>435.96000000000004</v>
      </c>
      <c r="C3" s="20">
        <f>SUM(D3:G3)</f>
        <v>0</v>
      </c>
      <c r="D3" s="20">
        <f>SUM(D6:D27)-D16-D19-D21</f>
        <v>0</v>
      </c>
      <c r="E3" s="20">
        <f>SUM(E6:E27)-E16-E19-E21</f>
        <v>0</v>
      </c>
      <c r="F3" s="20">
        <f>SUM(F6:F27)-F16-F19-F21</f>
        <v>0</v>
      </c>
      <c r="G3" s="20">
        <f>SUM(G6:G27)-G16-G19-G21</f>
        <v>0</v>
      </c>
      <c r="H3" s="20"/>
      <c r="I3" s="20">
        <f t="shared" ref="I3" si="0">SUM(I6:I27)-I16-I19-I21</f>
        <v>118.80000000000001</v>
      </c>
      <c r="J3" s="20">
        <f t="shared" ref="J3:AF3" si="1">SUM(J6:J27)-J16-J19-J21</f>
        <v>0</v>
      </c>
      <c r="K3" s="20">
        <f t="shared" si="1"/>
        <v>0</v>
      </c>
      <c r="L3" s="20">
        <f t="shared" si="1"/>
        <v>0</v>
      </c>
      <c r="M3" s="20">
        <f t="shared" si="1"/>
        <v>0</v>
      </c>
      <c r="N3" s="20">
        <f t="shared" si="1"/>
        <v>0</v>
      </c>
      <c r="O3" s="20">
        <f t="shared" ref="O3" si="2">SUM(O6:O27)-O16-O19-O21</f>
        <v>217.44</v>
      </c>
      <c r="P3" s="20">
        <f t="shared" si="1"/>
        <v>0</v>
      </c>
      <c r="Q3" s="20">
        <f t="shared" si="1"/>
        <v>0</v>
      </c>
      <c r="R3" s="20">
        <f t="shared" si="1"/>
        <v>0</v>
      </c>
      <c r="S3" s="20">
        <f t="shared" si="1"/>
        <v>0</v>
      </c>
      <c r="T3" s="20">
        <f t="shared" si="1"/>
        <v>0</v>
      </c>
      <c r="U3" s="20">
        <f t="shared" ref="U3" si="3">SUM(U6:U27)-U16-U19-U21</f>
        <v>30.099999999999998</v>
      </c>
      <c r="V3" s="20">
        <f t="shared" si="1"/>
        <v>0</v>
      </c>
      <c r="W3" s="20">
        <f t="shared" si="1"/>
        <v>0</v>
      </c>
      <c r="X3" s="20">
        <f t="shared" si="1"/>
        <v>0</v>
      </c>
      <c r="Y3" s="20">
        <f t="shared" si="1"/>
        <v>0</v>
      </c>
      <c r="Z3" s="20">
        <f t="shared" si="1"/>
        <v>0</v>
      </c>
      <c r="AA3" s="20">
        <f t="shared" si="1"/>
        <v>0</v>
      </c>
      <c r="AB3" s="20">
        <f t="shared" si="1"/>
        <v>0</v>
      </c>
      <c r="AC3" s="20">
        <f t="shared" si="1"/>
        <v>0</v>
      </c>
      <c r="AD3" s="20">
        <f t="shared" si="1"/>
        <v>0</v>
      </c>
      <c r="AE3" s="20">
        <f t="shared" si="1"/>
        <v>0</v>
      </c>
      <c r="AF3" s="20">
        <f t="shared" si="1"/>
        <v>69.62</v>
      </c>
      <c r="AI3"/>
      <c r="AJ3"/>
    </row>
    <row r="4" spans="1:37" s="10" customFormat="1">
      <c r="A4" s="21" t="s">
        <v>54</v>
      </c>
      <c r="B4" s="65">
        <f>SUM(B6:B23)-B15-B18-B20</f>
        <v>458</v>
      </c>
      <c r="C4" s="20">
        <f t="shared" ref="C4:C27" si="4">SUM(D4:G4)</f>
        <v>0</v>
      </c>
      <c r="D4" s="20">
        <f>SUM(D6:D23)-D15-D18-D20</f>
        <v>0</v>
      </c>
      <c r="E4" s="20">
        <f t="shared" ref="E4:AF4" si="5">SUM(E6:E23)-E15-E18-E20</f>
        <v>0</v>
      </c>
      <c r="F4" s="20">
        <f t="shared" si="5"/>
        <v>0</v>
      </c>
      <c r="G4" s="20">
        <f t="shared" si="5"/>
        <v>0</v>
      </c>
      <c r="H4" s="20"/>
      <c r="I4" s="20">
        <f t="shared" ref="I4" si="6">SUM(I6:I23)-I15-I18-I20</f>
        <v>97.919999999999987</v>
      </c>
      <c r="J4" s="20">
        <f t="shared" si="5"/>
        <v>0</v>
      </c>
      <c r="K4" s="20">
        <f t="shared" si="5"/>
        <v>0</v>
      </c>
      <c r="L4" s="20">
        <f t="shared" si="5"/>
        <v>0</v>
      </c>
      <c r="M4" s="20">
        <f t="shared" si="5"/>
        <v>0</v>
      </c>
      <c r="N4" s="20">
        <f t="shared" si="5"/>
        <v>0</v>
      </c>
      <c r="O4" s="20">
        <f t="shared" ref="O4" si="7">SUM(O6:O23)-O15-O18-O20</f>
        <v>223.16</v>
      </c>
      <c r="P4" s="20">
        <f t="shared" si="5"/>
        <v>0</v>
      </c>
      <c r="Q4" s="20">
        <f t="shared" si="5"/>
        <v>0</v>
      </c>
      <c r="R4" s="20">
        <f t="shared" si="5"/>
        <v>0</v>
      </c>
      <c r="S4" s="20">
        <f t="shared" si="5"/>
        <v>0</v>
      </c>
      <c r="T4" s="20">
        <f t="shared" si="5"/>
        <v>0</v>
      </c>
      <c r="U4" s="20">
        <f t="shared" ref="U4" si="8">SUM(U6:U23)-U15-U18-U20</f>
        <v>45.16</v>
      </c>
      <c r="V4" s="20">
        <f t="shared" si="5"/>
        <v>0</v>
      </c>
      <c r="W4" s="20">
        <f t="shared" si="5"/>
        <v>0</v>
      </c>
      <c r="X4" s="20">
        <f t="shared" si="5"/>
        <v>0</v>
      </c>
      <c r="Y4" s="20">
        <f t="shared" si="5"/>
        <v>0</v>
      </c>
      <c r="Z4" s="20">
        <f t="shared" si="5"/>
        <v>0</v>
      </c>
      <c r="AA4" s="20">
        <f t="shared" si="5"/>
        <v>0</v>
      </c>
      <c r="AB4" s="20">
        <f t="shared" si="5"/>
        <v>0</v>
      </c>
      <c r="AC4" s="20">
        <f t="shared" si="5"/>
        <v>0</v>
      </c>
      <c r="AD4" s="20">
        <f t="shared" si="5"/>
        <v>0</v>
      </c>
      <c r="AE4" s="20">
        <f t="shared" si="5"/>
        <v>0</v>
      </c>
      <c r="AF4" s="20">
        <f t="shared" si="5"/>
        <v>91.76</v>
      </c>
      <c r="AI4"/>
      <c r="AJ4"/>
    </row>
    <row r="5" spans="1:37" s="10" customFormat="1">
      <c r="A5" s="21" t="s">
        <v>55</v>
      </c>
      <c r="B5" s="65">
        <f>SUM(B24:B27)</f>
        <v>40.79</v>
      </c>
      <c r="C5" s="20">
        <f t="shared" si="4"/>
        <v>0</v>
      </c>
      <c r="D5" s="19">
        <f>SUM(D24:D27)</f>
        <v>0</v>
      </c>
      <c r="E5" s="19">
        <f t="shared" ref="E5:AF5" si="9">SUM(E24:E27)</f>
        <v>0</v>
      </c>
      <c r="F5" s="19">
        <f t="shared" si="9"/>
        <v>0</v>
      </c>
      <c r="G5" s="19">
        <f t="shared" si="9"/>
        <v>0</v>
      </c>
      <c r="H5" s="19"/>
      <c r="I5" s="19">
        <f t="shared" ref="I5" si="10">SUM(I24:I27)</f>
        <v>40.79</v>
      </c>
      <c r="J5" s="19">
        <f t="shared" si="9"/>
        <v>0</v>
      </c>
      <c r="K5" s="19">
        <f t="shared" si="9"/>
        <v>0</v>
      </c>
      <c r="L5" s="19">
        <f t="shared" si="9"/>
        <v>0</v>
      </c>
      <c r="M5" s="19">
        <f t="shared" si="9"/>
        <v>0</v>
      </c>
      <c r="N5" s="19">
        <f t="shared" si="9"/>
        <v>0</v>
      </c>
      <c r="O5" s="19">
        <f t="shared" ref="O5" si="11">SUM(O24:O27)</f>
        <v>0</v>
      </c>
      <c r="P5" s="19">
        <f t="shared" si="9"/>
        <v>0</v>
      </c>
      <c r="Q5" s="19">
        <f t="shared" si="9"/>
        <v>0</v>
      </c>
      <c r="R5" s="19">
        <f t="shared" si="9"/>
        <v>0</v>
      </c>
      <c r="S5" s="19">
        <f t="shared" si="9"/>
        <v>0</v>
      </c>
      <c r="T5" s="19">
        <f t="shared" si="9"/>
        <v>0</v>
      </c>
      <c r="U5" s="19">
        <f t="shared" ref="U5" si="12">SUM(U24:U27)</f>
        <v>0</v>
      </c>
      <c r="V5" s="19">
        <f t="shared" si="9"/>
        <v>0</v>
      </c>
      <c r="W5" s="19">
        <f t="shared" si="9"/>
        <v>0</v>
      </c>
      <c r="X5" s="19">
        <f t="shared" si="9"/>
        <v>0</v>
      </c>
      <c r="Y5" s="19">
        <f t="shared" si="9"/>
        <v>0</v>
      </c>
      <c r="Z5" s="19">
        <f t="shared" si="9"/>
        <v>0</v>
      </c>
      <c r="AA5" s="19">
        <f t="shared" si="9"/>
        <v>0</v>
      </c>
      <c r="AB5" s="19">
        <f t="shared" si="9"/>
        <v>0</v>
      </c>
      <c r="AC5" s="19">
        <f t="shared" si="9"/>
        <v>0</v>
      </c>
      <c r="AD5" s="19">
        <f t="shared" si="9"/>
        <v>0</v>
      </c>
      <c r="AE5" s="19">
        <f t="shared" si="9"/>
        <v>0</v>
      </c>
      <c r="AF5" s="19">
        <f t="shared" si="9"/>
        <v>0</v>
      </c>
      <c r="AI5"/>
      <c r="AJ5"/>
    </row>
    <row r="6" spans="1:37" s="10" customFormat="1">
      <c r="A6" s="22" t="s">
        <v>56</v>
      </c>
      <c r="B6" s="67">
        <f>I6+O6+U6+AF6</f>
        <v>23.489999999999995</v>
      </c>
      <c r="C6" s="23">
        <f t="shared" si="4"/>
        <v>0</v>
      </c>
      <c r="D6" s="24">
        <f>K6+Q6+W6+AB6</f>
        <v>0</v>
      </c>
      <c r="E6" s="24">
        <f>L6+R6+X6+AC6</f>
        <v>0</v>
      </c>
      <c r="F6" s="24">
        <f>M6+S6+Y6+AD6</f>
        <v>0</v>
      </c>
      <c r="G6" s="24">
        <f>N6+T6+Z6+AE6</f>
        <v>0</v>
      </c>
      <c r="H6" s="25" t="s">
        <v>57</v>
      </c>
      <c r="I6" s="26">
        <v>16.149999999999999</v>
      </c>
      <c r="J6" s="26">
        <f>SUM(K6:N6)</f>
        <v>0</v>
      </c>
      <c r="K6" s="24"/>
      <c r="L6" s="24"/>
      <c r="M6" s="24"/>
      <c r="N6" s="24"/>
      <c r="O6" s="24">
        <v>4.51</v>
      </c>
      <c r="P6" s="26">
        <f>SUM(Q6:T6)</f>
        <v>0</v>
      </c>
      <c r="Q6" s="24"/>
      <c r="R6" s="24"/>
      <c r="S6" s="24"/>
      <c r="T6" s="24"/>
      <c r="U6" s="24"/>
      <c r="V6" s="26">
        <f>SUM(W6:Z6)</f>
        <v>0</v>
      </c>
      <c r="W6" s="24"/>
      <c r="X6" s="24"/>
      <c r="Y6" s="24"/>
      <c r="Z6" s="24"/>
      <c r="AA6" s="43">
        <f>SUM(AB6:AE6)</f>
        <v>0</v>
      </c>
      <c r="AB6" s="44"/>
      <c r="AC6" s="44"/>
      <c r="AD6" s="44"/>
      <c r="AE6" s="44"/>
      <c r="AF6" s="26">
        <v>2.83</v>
      </c>
      <c r="AI6"/>
      <c r="AJ6"/>
    </row>
    <row r="7" spans="1:37" s="10" customFormat="1">
      <c r="A7" s="27" t="s">
        <v>58</v>
      </c>
      <c r="B7" s="67">
        <f t="shared" ref="B7:B27" si="13">I7+O7+U7+AF7</f>
        <v>2.63</v>
      </c>
      <c r="C7" s="23">
        <f t="shared" si="4"/>
        <v>0</v>
      </c>
      <c r="D7" s="24">
        <f t="shared" ref="D7:D10" si="14">K7+Q7+W7+AB7</f>
        <v>0</v>
      </c>
      <c r="E7" s="24">
        <f t="shared" ref="E7:E10" si="15">L7+R7+X7+AC7</f>
        <v>0</v>
      </c>
      <c r="F7" s="24">
        <f t="shared" ref="F7:F10" si="16">M7+S7+Y7+AD7</f>
        <v>0</v>
      </c>
      <c r="G7" s="24">
        <f t="shared" ref="G7:G10" si="17">N7+T7+Z7+AE7</f>
        <v>0</v>
      </c>
      <c r="H7" s="25" t="s">
        <v>57</v>
      </c>
      <c r="I7" s="26">
        <v>0.55000000000000004</v>
      </c>
      <c r="J7" s="26">
        <f t="shared" ref="J7:J27" si="18">SUM(K7:N7)</f>
        <v>0</v>
      </c>
      <c r="K7" s="24"/>
      <c r="L7" s="24"/>
      <c r="M7" s="24"/>
      <c r="N7" s="24"/>
      <c r="O7" s="24">
        <v>1.2</v>
      </c>
      <c r="P7" s="26">
        <f t="shared" ref="P7:P27" si="19">SUM(Q7:T7)</f>
        <v>0</v>
      </c>
      <c r="Q7" s="24"/>
      <c r="R7" s="24"/>
      <c r="S7" s="24"/>
      <c r="T7" s="24"/>
      <c r="U7" s="24">
        <v>0.25</v>
      </c>
      <c r="V7" s="26">
        <f t="shared" ref="V7:V27" si="20">SUM(W7:Z7)</f>
        <v>0</v>
      </c>
      <c r="W7" s="24"/>
      <c r="X7" s="24"/>
      <c r="Y7" s="24"/>
      <c r="Z7" s="24"/>
      <c r="AA7" s="43">
        <f t="shared" ref="AA7:AA27" si="21">SUM(AB7:AE7)</f>
        <v>0</v>
      </c>
      <c r="AB7" s="44"/>
      <c r="AC7" s="44"/>
      <c r="AD7" s="44"/>
      <c r="AE7" s="44"/>
      <c r="AF7" s="26">
        <v>0.63</v>
      </c>
      <c r="AI7"/>
      <c r="AJ7"/>
    </row>
    <row r="8" spans="1:37" s="10" customFormat="1">
      <c r="A8" s="22" t="s">
        <v>59</v>
      </c>
      <c r="B8" s="67">
        <f t="shared" si="13"/>
        <v>16.12</v>
      </c>
      <c r="C8" s="23">
        <f>SUM(D8:G8)</f>
        <v>0</v>
      </c>
      <c r="D8" s="24">
        <f t="shared" si="14"/>
        <v>0</v>
      </c>
      <c r="E8" s="24">
        <f t="shared" si="15"/>
        <v>0</v>
      </c>
      <c r="F8" s="24">
        <f t="shared" si="16"/>
        <v>0</v>
      </c>
      <c r="G8" s="24">
        <f t="shared" si="17"/>
        <v>0</v>
      </c>
      <c r="H8" s="25" t="s">
        <v>57</v>
      </c>
      <c r="I8" s="26">
        <v>0.1</v>
      </c>
      <c r="J8" s="26">
        <f t="shared" si="18"/>
        <v>0</v>
      </c>
      <c r="K8" s="24"/>
      <c r="L8" s="24"/>
      <c r="M8" s="24"/>
      <c r="N8" s="24"/>
      <c r="O8" s="24">
        <v>16.02</v>
      </c>
      <c r="P8" s="26">
        <f t="shared" si="19"/>
        <v>0</v>
      </c>
      <c r="Q8" s="24"/>
      <c r="R8" s="24"/>
      <c r="S8" s="24"/>
      <c r="T8" s="24"/>
      <c r="U8" s="24"/>
      <c r="V8" s="26">
        <f t="shared" si="20"/>
        <v>0</v>
      </c>
      <c r="W8" s="24"/>
      <c r="X8" s="24"/>
      <c r="Y8" s="24"/>
      <c r="Z8" s="24"/>
      <c r="AA8" s="43">
        <f t="shared" si="21"/>
        <v>0</v>
      </c>
      <c r="AB8" s="44"/>
      <c r="AC8" s="44"/>
      <c r="AD8" s="44"/>
      <c r="AE8" s="44"/>
      <c r="AF8" s="26"/>
      <c r="AI8"/>
      <c r="AJ8"/>
    </row>
    <row r="9" spans="1:37" s="10" customFormat="1">
      <c r="A9" s="22" t="s">
        <v>60</v>
      </c>
      <c r="B9" s="67">
        <f t="shared" si="13"/>
        <v>0</v>
      </c>
      <c r="C9" s="23">
        <f t="shared" si="4"/>
        <v>0</v>
      </c>
      <c r="D9" s="24">
        <f t="shared" si="14"/>
        <v>0</v>
      </c>
      <c r="E9" s="24">
        <f t="shared" si="15"/>
        <v>0</v>
      </c>
      <c r="F9" s="24">
        <f t="shared" si="16"/>
        <v>0</v>
      </c>
      <c r="G9" s="24">
        <f t="shared" si="17"/>
        <v>0</v>
      </c>
      <c r="H9" s="25" t="s">
        <v>57</v>
      </c>
      <c r="I9" s="26"/>
      <c r="J9" s="26">
        <f t="shared" si="18"/>
        <v>0</v>
      </c>
      <c r="K9" s="24"/>
      <c r="L9" s="24"/>
      <c r="M9" s="24"/>
      <c r="N9" s="24"/>
      <c r="O9" s="24"/>
      <c r="P9" s="26">
        <f t="shared" si="19"/>
        <v>0</v>
      </c>
      <c r="Q9" s="24"/>
      <c r="R9" s="24"/>
      <c r="S9" s="24"/>
      <c r="T9" s="24"/>
      <c r="U9" s="24"/>
      <c r="V9" s="26">
        <f t="shared" si="20"/>
        <v>0</v>
      </c>
      <c r="W9" s="24"/>
      <c r="X9" s="24"/>
      <c r="Y9" s="24"/>
      <c r="Z9" s="24"/>
      <c r="AA9" s="43">
        <f t="shared" si="21"/>
        <v>0</v>
      </c>
      <c r="AB9" s="44"/>
      <c r="AC9" s="44"/>
      <c r="AD9" s="44"/>
      <c r="AE9" s="44"/>
      <c r="AF9" s="26"/>
      <c r="AI9"/>
      <c r="AJ9"/>
    </row>
    <row r="10" spans="1:37" s="10" customFormat="1">
      <c r="A10" s="22" t="s">
        <v>61</v>
      </c>
      <c r="B10" s="67">
        <f t="shared" si="13"/>
        <v>2.1799999999999997</v>
      </c>
      <c r="C10" s="23">
        <f t="shared" si="4"/>
        <v>0</v>
      </c>
      <c r="D10" s="24">
        <f t="shared" si="14"/>
        <v>0</v>
      </c>
      <c r="E10" s="24">
        <f t="shared" si="15"/>
        <v>0</v>
      </c>
      <c r="F10" s="24">
        <f t="shared" si="16"/>
        <v>0</v>
      </c>
      <c r="G10" s="24">
        <f t="shared" si="17"/>
        <v>0</v>
      </c>
      <c r="H10" s="25" t="s">
        <v>57</v>
      </c>
      <c r="I10" s="26">
        <v>7.0000000000000007E-2</v>
      </c>
      <c r="J10" s="26">
        <f t="shared" si="18"/>
        <v>0</v>
      </c>
      <c r="K10" s="24"/>
      <c r="L10" s="24"/>
      <c r="M10" s="24"/>
      <c r="N10" s="24"/>
      <c r="O10" s="24">
        <v>1.9</v>
      </c>
      <c r="P10" s="26">
        <f t="shared" si="19"/>
        <v>0</v>
      </c>
      <c r="Q10" s="24"/>
      <c r="R10" s="24"/>
      <c r="S10" s="24"/>
      <c r="T10" s="24"/>
      <c r="U10" s="24">
        <v>0.16</v>
      </c>
      <c r="V10" s="26">
        <f t="shared" si="20"/>
        <v>0</v>
      </c>
      <c r="W10" s="24"/>
      <c r="X10" s="24"/>
      <c r="Y10" s="24"/>
      <c r="Z10" s="24"/>
      <c r="AA10" s="43">
        <f t="shared" si="21"/>
        <v>0</v>
      </c>
      <c r="AB10" s="44"/>
      <c r="AC10" s="44"/>
      <c r="AD10" s="44"/>
      <c r="AE10" s="44"/>
      <c r="AF10" s="26">
        <v>0.05</v>
      </c>
      <c r="AI10"/>
      <c r="AJ10"/>
    </row>
    <row r="11" spans="1:37" s="10" customFormat="1" ht="12" customHeight="1">
      <c r="A11" s="22" t="s">
        <v>62</v>
      </c>
      <c r="B11" s="67">
        <f t="shared" si="13"/>
        <v>0</v>
      </c>
      <c r="C11" s="23">
        <f t="shared" si="4"/>
        <v>0</v>
      </c>
      <c r="D11" s="24">
        <f t="shared" ref="D11" si="22">K11+Q11+W11+AB11</f>
        <v>0</v>
      </c>
      <c r="E11" s="24">
        <f>L11+R11+X11+AC11</f>
        <v>0</v>
      </c>
      <c r="F11" s="24">
        <f>M11+S11+Y11+AD11</f>
        <v>0</v>
      </c>
      <c r="G11" s="24">
        <f>N11+T11+Z11+AE11</f>
        <v>0</v>
      </c>
      <c r="H11" s="25" t="s">
        <v>57</v>
      </c>
      <c r="I11" s="26"/>
      <c r="J11" s="26">
        <f t="shared" si="18"/>
        <v>0</v>
      </c>
      <c r="K11" s="24"/>
      <c r="L11" s="24"/>
      <c r="M11" s="24"/>
      <c r="N11" s="24"/>
      <c r="O11" s="24"/>
      <c r="P11" s="26">
        <f t="shared" si="19"/>
        <v>0</v>
      </c>
      <c r="Q11" s="24"/>
      <c r="R11" s="24"/>
      <c r="S11" s="24"/>
      <c r="T11" s="24"/>
      <c r="U11" s="24"/>
      <c r="V11" s="26">
        <f t="shared" si="20"/>
        <v>0</v>
      </c>
      <c r="W11" s="24"/>
      <c r="X11" s="24"/>
      <c r="Y11" s="24"/>
      <c r="Z11" s="24"/>
      <c r="AA11" s="43">
        <f t="shared" si="21"/>
        <v>0</v>
      </c>
      <c r="AB11" s="44"/>
      <c r="AC11" s="44"/>
      <c r="AD11" s="44"/>
      <c r="AE11" s="44"/>
      <c r="AF11" s="26"/>
    </row>
    <row r="12" spans="1:37" ht="14" customHeight="1">
      <c r="A12" s="28" t="s">
        <v>20</v>
      </c>
      <c r="B12" s="67">
        <f t="shared" si="13"/>
        <v>25.33</v>
      </c>
      <c r="C12" s="23">
        <f t="shared" si="4"/>
        <v>0</v>
      </c>
      <c r="D12" s="24"/>
      <c r="E12" s="24"/>
      <c r="F12" s="24"/>
      <c r="G12" s="24"/>
      <c r="H12" s="25" t="s">
        <v>63</v>
      </c>
      <c r="I12" s="26">
        <v>5.29</v>
      </c>
      <c r="J12" s="26">
        <f t="shared" si="18"/>
        <v>0</v>
      </c>
      <c r="K12" s="24"/>
      <c r="L12" s="24"/>
      <c r="M12" s="24"/>
      <c r="N12" s="24"/>
      <c r="O12" s="24">
        <v>12.03</v>
      </c>
      <c r="P12" s="26">
        <f t="shared" si="19"/>
        <v>0</v>
      </c>
      <c r="Q12" s="24"/>
      <c r="R12" s="24"/>
      <c r="S12" s="24"/>
      <c r="T12" s="24"/>
      <c r="U12" s="24">
        <v>2.5099999999999998</v>
      </c>
      <c r="V12" s="26">
        <f t="shared" si="20"/>
        <v>0</v>
      </c>
      <c r="W12" s="24"/>
      <c r="X12" s="24"/>
      <c r="Y12" s="24"/>
      <c r="Z12" s="24"/>
      <c r="AA12" s="43">
        <f t="shared" si="21"/>
        <v>0</v>
      </c>
      <c r="AB12" s="44"/>
      <c r="AC12" s="44"/>
      <c r="AD12" s="44"/>
      <c r="AE12" s="44"/>
      <c r="AF12" s="26">
        <v>5.5</v>
      </c>
    </row>
    <row r="13" spans="1:37" s="10" customFormat="1" ht="13">
      <c r="A13" s="22" t="s">
        <v>64</v>
      </c>
      <c r="B13" s="67">
        <f t="shared" si="13"/>
        <v>0</v>
      </c>
      <c r="C13" s="23">
        <f t="shared" si="4"/>
        <v>0</v>
      </c>
      <c r="D13" s="24">
        <f>K13+Q13+W13+AB13</f>
        <v>0</v>
      </c>
      <c r="E13" s="24">
        <f>L13+R13+X13+AC13</f>
        <v>0</v>
      </c>
      <c r="F13" s="24">
        <f>M13+S13+Y13+AD13</f>
        <v>0</v>
      </c>
      <c r="G13" s="24">
        <f>N13+T13+Z13+AE13</f>
        <v>0</v>
      </c>
      <c r="H13" s="25" t="s">
        <v>57</v>
      </c>
      <c r="I13" s="26"/>
      <c r="J13" s="26">
        <f t="shared" si="18"/>
        <v>0</v>
      </c>
      <c r="K13" s="24"/>
      <c r="L13" s="24"/>
      <c r="M13" s="24"/>
      <c r="N13" s="24"/>
      <c r="O13" s="24"/>
      <c r="P13" s="26">
        <f t="shared" si="19"/>
        <v>0</v>
      </c>
      <c r="Q13" s="24"/>
      <c r="R13" s="24"/>
      <c r="S13" s="24"/>
      <c r="T13" s="24"/>
      <c r="U13" s="24"/>
      <c r="V13" s="26">
        <f t="shared" si="20"/>
        <v>0</v>
      </c>
      <c r="W13" s="24"/>
      <c r="X13" s="24"/>
      <c r="Y13" s="24"/>
      <c r="Z13" s="24"/>
      <c r="AA13" s="43">
        <f t="shared" si="21"/>
        <v>0</v>
      </c>
      <c r="AB13" s="44"/>
      <c r="AC13" s="44"/>
      <c r="AD13" s="44"/>
      <c r="AE13" s="44"/>
      <c r="AF13" s="26"/>
    </row>
    <row r="14" spans="1:37" s="10" customFormat="1" ht="13">
      <c r="A14" s="29" t="s">
        <v>2</v>
      </c>
      <c r="B14" s="67">
        <f t="shared" si="13"/>
        <v>318.37</v>
      </c>
      <c r="C14" s="23">
        <f t="shared" si="4"/>
        <v>0</v>
      </c>
      <c r="D14" s="24">
        <f>K14+Q14+W14+AB14</f>
        <v>0</v>
      </c>
      <c r="E14" s="24">
        <f t="shared" ref="E14" si="23">L14+R14+X14+AC14</f>
        <v>0</v>
      </c>
      <c r="F14" s="24">
        <f t="shared" ref="F14" si="24">M14+S14+Y14+AD14</f>
        <v>0</v>
      </c>
      <c r="G14" s="24">
        <f t="shared" ref="G14" si="25">N14+T14+Z14+AE14</f>
        <v>0</v>
      </c>
      <c r="H14" s="25" t="s">
        <v>63</v>
      </c>
      <c r="I14" s="26">
        <v>54.16</v>
      </c>
      <c r="J14" s="26">
        <f>SUM(K14:N14)</f>
        <v>0</v>
      </c>
      <c r="K14" s="24"/>
      <c r="L14" s="24"/>
      <c r="M14" s="24"/>
      <c r="N14" s="24"/>
      <c r="O14" s="24">
        <v>177.28</v>
      </c>
      <c r="P14" s="26">
        <f>SUM(Q14:T14)</f>
        <v>0</v>
      </c>
      <c r="Q14" s="24"/>
      <c r="R14" s="24"/>
      <c r="S14" s="24"/>
      <c r="T14" s="24"/>
      <c r="U14" s="24">
        <v>26.74</v>
      </c>
      <c r="V14" s="26">
        <f>SUM(W14:Z14)</f>
        <v>0</v>
      </c>
      <c r="W14" s="24"/>
      <c r="X14" s="24"/>
      <c r="Y14" s="24"/>
      <c r="Z14" s="24"/>
      <c r="AA14" s="43">
        <f t="shared" si="21"/>
        <v>0</v>
      </c>
      <c r="AB14" s="44"/>
      <c r="AC14" s="44"/>
      <c r="AD14" s="44"/>
      <c r="AE14" s="44"/>
      <c r="AF14" s="26">
        <v>60.19</v>
      </c>
    </row>
    <row r="15" spans="1:37" s="10" customFormat="1" ht="13">
      <c r="A15" s="22" t="s">
        <v>65</v>
      </c>
      <c r="B15" s="67">
        <f t="shared" si="13"/>
        <v>0</v>
      </c>
      <c r="C15" s="23">
        <f t="shared" si="4"/>
        <v>0</v>
      </c>
      <c r="D15" s="24"/>
      <c r="E15" s="24"/>
      <c r="F15" s="24"/>
      <c r="G15" s="24"/>
      <c r="H15" s="25" t="s">
        <v>57</v>
      </c>
      <c r="I15" s="26"/>
      <c r="J15" s="26">
        <f t="shared" si="18"/>
        <v>0</v>
      </c>
      <c r="K15" s="24"/>
      <c r="L15" s="24"/>
      <c r="M15" s="24"/>
      <c r="N15" s="24"/>
      <c r="O15" s="24"/>
      <c r="P15" s="26">
        <f t="shared" si="19"/>
        <v>0</v>
      </c>
      <c r="Q15" s="24"/>
      <c r="R15" s="24"/>
      <c r="S15" s="24"/>
      <c r="T15" s="24"/>
      <c r="U15" s="24"/>
      <c r="V15" s="26">
        <f t="shared" si="20"/>
        <v>0</v>
      </c>
      <c r="W15" s="24"/>
      <c r="X15" s="24"/>
      <c r="Y15" s="24"/>
      <c r="Z15" s="24"/>
      <c r="AA15" s="43">
        <f t="shared" si="21"/>
        <v>0</v>
      </c>
      <c r="AB15" s="44"/>
      <c r="AC15" s="44"/>
      <c r="AD15" s="44"/>
      <c r="AE15" s="44"/>
      <c r="AF15" s="26"/>
    </row>
    <row r="16" spans="1:37" s="10" customFormat="1" ht="13">
      <c r="A16" s="28" t="s">
        <v>66</v>
      </c>
      <c r="B16" s="67">
        <f t="shared" si="13"/>
        <v>61.2</v>
      </c>
      <c r="C16" s="23">
        <f>SUM(D16:G16)</f>
        <v>0</v>
      </c>
      <c r="D16" s="24"/>
      <c r="E16" s="24"/>
      <c r="F16" s="24"/>
      <c r="G16" s="24"/>
      <c r="H16" s="25" t="s">
        <v>63</v>
      </c>
      <c r="I16" s="26">
        <v>19.25</v>
      </c>
      <c r="J16" s="26">
        <f t="shared" si="18"/>
        <v>0</v>
      </c>
      <c r="K16" s="24"/>
      <c r="L16" s="24"/>
      <c r="M16" s="24"/>
      <c r="N16" s="24"/>
      <c r="O16" s="24">
        <v>5.72</v>
      </c>
      <c r="P16" s="26">
        <f t="shared" si="19"/>
        <v>0</v>
      </c>
      <c r="Q16" s="24"/>
      <c r="R16" s="24"/>
      <c r="S16" s="24"/>
      <c r="T16" s="24"/>
      <c r="U16" s="24">
        <v>14.61</v>
      </c>
      <c r="V16" s="26">
        <f t="shared" si="20"/>
        <v>0</v>
      </c>
      <c r="W16" s="24"/>
      <c r="X16" s="24"/>
      <c r="Y16" s="24"/>
      <c r="Z16" s="24"/>
      <c r="AA16" s="43">
        <f t="shared" si="21"/>
        <v>0</v>
      </c>
      <c r="AB16" s="44"/>
      <c r="AC16" s="44"/>
      <c r="AD16" s="44"/>
      <c r="AE16" s="44"/>
      <c r="AF16" s="26">
        <v>21.62</v>
      </c>
    </row>
    <row r="17" spans="1:32" s="10" customFormat="1" ht="13">
      <c r="A17" s="22" t="s">
        <v>67</v>
      </c>
      <c r="B17" s="67">
        <f t="shared" si="13"/>
        <v>0</v>
      </c>
      <c r="C17" s="23">
        <f t="shared" si="4"/>
        <v>0</v>
      </c>
      <c r="D17" s="24">
        <f>K17+Q17+W17+AB17</f>
        <v>0</v>
      </c>
      <c r="E17" s="24">
        <f>L17+R17+X17+AC17</f>
        <v>0</v>
      </c>
      <c r="F17" s="24">
        <f>M17+S17+Y17+AD17</f>
        <v>0</v>
      </c>
      <c r="G17" s="24">
        <f>N17+T17+Z17+AE17</f>
        <v>0</v>
      </c>
      <c r="H17" s="25" t="s">
        <v>57</v>
      </c>
      <c r="I17" s="26"/>
      <c r="J17" s="26">
        <f t="shared" si="18"/>
        <v>0</v>
      </c>
      <c r="K17" s="24"/>
      <c r="L17" s="24"/>
      <c r="M17" s="24"/>
      <c r="N17" s="24"/>
      <c r="O17" s="24"/>
      <c r="P17" s="26">
        <f t="shared" si="19"/>
        <v>0</v>
      </c>
      <c r="Q17" s="24"/>
      <c r="R17" s="24"/>
      <c r="S17" s="24"/>
      <c r="T17" s="24"/>
      <c r="U17" s="24"/>
      <c r="V17" s="26">
        <f t="shared" si="20"/>
        <v>0</v>
      </c>
      <c r="W17" s="24"/>
      <c r="X17" s="24"/>
      <c r="Y17" s="24"/>
      <c r="Z17" s="24"/>
      <c r="AA17" s="43">
        <f t="shared" si="21"/>
        <v>0</v>
      </c>
      <c r="AB17" s="44"/>
      <c r="AC17" s="44"/>
      <c r="AD17" s="44"/>
      <c r="AE17" s="44"/>
      <c r="AF17" s="26"/>
    </row>
    <row r="18" spans="1:32" s="10" customFormat="1" ht="13">
      <c r="A18" s="22" t="s">
        <v>68</v>
      </c>
      <c r="B18" s="67">
        <f t="shared" si="13"/>
        <v>0</v>
      </c>
      <c r="C18" s="23">
        <f t="shared" si="4"/>
        <v>0</v>
      </c>
      <c r="D18" s="24">
        <f t="shared" ref="D18:D21" si="26">K18+Q18+W18+AB18</f>
        <v>0</v>
      </c>
      <c r="E18" s="24">
        <f t="shared" ref="E18:G21" si="27">L18+R18+X18+AC18</f>
        <v>0</v>
      </c>
      <c r="F18" s="24">
        <f t="shared" si="27"/>
        <v>0</v>
      </c>
      <c r="G18" s="24">
        <f t="shared" si="27"/>
        <v>0</v>
      </c>
      <c r="H18" s="25" t="s">
        <v>57</v>
      </c>
      <c r="I18" s="26"/>
      <c r="J18" s="26">
        <f t="shared" si="18"/>
        <v>0</v>
      </c>
      <c r="K18" s="24"/>
      <c r="L18" s="24"/>
      <c r="M18" s="24"/>
      <c r="N18" s="24"/>
      <c r="O18" s="24"/>
      <c r="P18" s="26">
        <f t="shared" si="19"/>
        <v>0</v>
      </c>
      <c r="Q18" s="24"/>
      <c r="R18" s="24"/>
      <c r="S18" s="24"/>
      <c r="T18" s="24"/>
      <c r="U18" s="24"/>
      <c r="V18" s="26">
        <f t="shared" si="20"/>
        <v>0</v>
      </c>
      <c r="W18" s="24"/>
      <c r="X18" s="24"/>
      <c r="Y18" s="24"/>
      <c r="Z18" s="24"/>
      <c r="AA18" s="43">
        <f t="shared" si="21"/>
        <v>0</v>
      </c>
      <c r="AB18" s="44"/>
      <c r="AC18" s="44"/>
      <c r="AD18" s="44"/>
      <c r="AE18" s="44"/>
      <c r="AF18" s="26"/>
    </row>
    <row r="19" spans="1:32" s="10" customFormat="1" ht="13">
      <c r="A19" s="5" t="s">
        <v>3</v>
      </c>
      <c r="B19" s="67">
        <f t="shared" si="13"/>
        <v>1.6300000000000001</v>
      </c>
      <c r="C19" s="23">
        <f t="shared" si="4"/>
        <v>0</v>
      </c>
      <c r="D19" s="24">
        <f t="shared" si="26"/>
        <v>0</v>
      </c>
      <c r="E19" s="24">
        <f t="shared" si="27"/>
        <v>0</v>
      </c>
      <c r="F19" s="24">
        <f t="shared" si="27"/>
        <v>0</v>
      </c>
      <c r="G19" s="24">
        <f t="shared" si="27"/>
        <v>0</v>
      </c>
      <c r="H19" s="25" t="s">
        <v>63</v>
      </c>
      <c r="I19" s="26">
        <v>0.66</v>
      </c>
      <c r="J19" s="26">
        <f t="shared" si="18"/>
        <v>0</v>
      </c>
      <c r="K19" s="24"/>
      <c r="L19" s="24"/>
      <c r="M19" s="24"/>
      <c r="N19" s="24"/>
      <c r="O19" s="24"/>
      <c r="P19" s="26">
        <f t="shared" si="19"/>
        <v>0</v>
      </c>
      <c r="Q19" s="24"/>
      <c r="R19" s="24"/>
      <c r="S19" s="24"/>
      <c r="T19" s="24"/>
      <c r="U19" s="24">
        <v>0.45</v>
      </c>
      <c r="V19" s="26">
        <f t="shared" si="20"/>
        <v>0</v>
      </c>
      <c r="W19" s="24"/>
      <c r="X19" s="24"/>
      <c r="Y19" s="24"/>
      <c r="Z19" s="24"/>
      <c r="AA19" s="43">
        <f t="shared" si="21"/>
        <v>0</v>
      </c>
      <c r="AB19" s="44"/>
      <c r="AC19" s="44"/>
      <c r="AD19" s="44"/>
      <c r="AE19" s="44"/>
      <c r="AF19" s="26">
        <v>0.52</v>
      </c>
    </row>
    <row r="20" spans="1:32" s="10" customFormat="1" ht="13">
      <c r="A20" s="22" t="s">
        <v>69</v>
      </c>
      <c r="B20" s="67">
        <f t="shared" si="13"/>
        <v>0</v>
      </c>
      <c r="C20" s="23">
        <f t="shared" si="4"/>
        <v>0</v>
      </c>
      <c r="D20" s="24">
        <f t="shared" si="26"/>
        <v>0</v>
      </c>
      <c r="E20" s="24">
        <f t="shared" si="27"/>
        <v>0</v>
      </c>
      <c r="F20" s="24">
        <f t="shared" si="27"/>
        <v>0</v>
      </c>
      <c r="G20" s="24">
        <f t="shared" si="27"/>
        <v>0</v>
      </c>
      <c r="H20" s="25" t="s">
        <v>63</v>
      </c>
      <c r="I20" s="26"/>
      <c r="J20" s="26">
        <f t="shared" si="18"/>
        <v>0</v>
      </c>
      <c r="K20" s="24"/>
      <c r="L20" s="24"/>
      <c r="M20" s="24"/>
      <c r="N20" s="24"/>
      <c r="O20" s="24"/>
      <c r="P20" s="26">
        <f t="shared" si="19"/>
        <v>0</v>
      </c>
      <c r="Q20" s="24"/>
      <c r="R20" s="24"/>
      <c r="S20" s="24"/>
      <c r="T20" s="24"/>
      <c r="U20" s="24"/>
      <c r="V20" s="26">
        <f t="shared" si="20"/>
        <v>0</v>
      </c>
      <c r="W20" s="24"/>
      <c r="X20" s="24"/>
      <c r="Y20" s="24"/>
      <c r="Z20" s="24"/>
      <c r="AA20" s="43">
        <f t="shared" si="21"/>
        <v>0</v>
      </c>
      <c r="AB20" s="44"/>
      <c r="AC20" s="44"/>
      <c r="AD20" s="44"/>
      <c r="AE20" s="44"/>
      <c r="AF20" s="26"/>
    </row>
    <row r="21" spans="1:32" s="10" customFormat="1" ht="13">
      <c r="A21" s="28" t="s">
        <v>70</v>
      </c>
      <c r="B21" s="67">
        <f t="shared" si="13"/>
        <v>0</v>
      </c>
      <c r="C21" s="23">
        <f t="shared" si="4"/>
        <v>0</v>
      </c>
      <c r="D21" s="24">
        <f t="shared" si="26"/>
        <v>0</v>
      </c>
      <c r="E21" s="24">
        <f t="shared" si="27"/>
        <v>0</v>
      </c>
      <c r="F21" s="24">
        <f t="shared" si="27"/>
        <v>0</v>
      </c>
      <c r="G21" s="24">
        <f t="shared" si="27"/>
        <v>0</v>
      </c>
      <c r="H21" s="25" t="s">
        <v>63</v>
      </c>
      <c r="I21" s="26"/>
      <c r="J21" s="26">
        <f t="shared" si="18"/>
        <v>0</v>
      </c>
      <c r="K21" s="24"/>
      <c r="L21" s="24"/>
      <c r="M21" s="24"/>
      <c r="N21" s="24"/>
      <c r="O21" s="24"/>
      <c r="P21" s="26">
        <f t="shared" si="19"/>
        <v>0</v>
      </c>
      <c r="Q21" s="24"/>
      <c r="R21" s="24"/>
      <c r="S21" s="24"/>
      <c r="T21" s="24"/>
      <c r="U21" s="24"/>
      <c r="V21" s="26">
        <f t="shared" si="20"/>
        <v>0</v>
      </c>
      <c r="W21" s="24"/>
      <c r="X21" s="24"/>
      <c r="Y21" s="24"/>
      <c r="Z21" s="24"/>
      <c r="AA21" s="43">
        <f t="shared" si="21"/>
        <v>0</v>
      </c>
      <c r="AB21" s="44"/>
      <c r="AC21" s="44"/>
      <c r="AD21" s="44"/>
      <c r="AE21" s="44"/>
      <c r="AF21" s="26"/>
    </row>
    <row r="22" spans="1:32" s="10" customFormat="1" ht="13">
      <c r="A22" s="22" t="s">
        <v>71</v>
      </c>
      <c r="B22" s="67">
        <f t="shared" si="13"/>
        <v>7.05</v>
      </c>
      <c r="C22" s="23">
        <f t="shared" si="4"/>
        <v>0</v>
      </c>
      <c r="D22" s="24">
        <f t="shared" ref="D22:D27" si="28">K22+Q22+W22+AB22</f>
        <v>0</v>
      </c>
      <c r="E22" s="24">
        <f t="shared" ref="E22:E27" si="29">L22+R22+X22+AC22</f>
        <v>0</v>
      </c>
      <c r="F22" s="24">
        <f t="shared" ref="F22:F27" si="30">M22+S22+Y22+AD22</f>
        <v>0</v>
      </c>
      <c r="G22" s="24">
        <f t="shared" ref="G22:G27" si="31">N22+T22+Z22+AE22</f>
        <v>0</v>
      </c>
      <c r="H22" s="25" t="s">
        <v>57</v>
      </c>
      <c r="I22" s="26">
        <v>1.69</v>
      </c>
      <c r="J22" s="26">
        <f t="shared" si="18"/>
        <v>0</v>
      </c>
      <c r="K22" s="24"/>
      <c r="L22" s="24"/>
      <c r="M22" s="24"/>
      <c r="N22" s="24"/>
      <c r="O22" s="24">
        <v>4.5</v>
      </c>
      <c r="P22" s="26">
        <f t="shared" si="19"/>
        <v>0</v>
      </c>
      <c r="Q22" s="24"/>
      <c r="R22" s="24"/>
      <c r="S22" s="24"/>
      <c r="T22" s="24"/>
      <c r="U22" s="24">
        <v>0.44</v>
      </c>
      <c r="V22" s="26">
        <f t="shared" si="20"/>
        <v>0</v>
      </c>
      <c r="W22" s="24"/>
      <c r="X22" s="24"/>
      <c r="Y22" s="24"/>
      <c r="Z22" s="24"/>
      <c r="AA22" s="43">
        <f t="shared" si="21"/>
        <v>0</v>
      </c>
      <c r="AB22" s="44"/>
      <c r="AC22" s="44"/>
      <c r="AD22" s="44"/>
      <c r="AE22" s="44"/>
      <c r="AF22" s="26">
        <v>0.42</v>
      </c>
    </row>
    <row r="23" spans="1:32" s="10" customFormat="1" ht="13">
      <c r="A23" s="22" t="s">
        <v>72</v>
      </c>
      <c r="B23" s="67">
        <f t="shared" si="13"/>
        <v>0</v>
      </c>
      <c r="C23" s="23">
        <f t="shared" si="4"/>
        <v>0</v>
      </c>
      <c r="D23" s="24">
        <f t="shared" si="28"/>
        <v>0</v>
      </c>
      <c r="E23" s="24">
        <f t="shared" si="29"/>
        <v>0</v>
      </c>
      <c r="F23" s="24">
        <f t="shared" si="30"/>
        <v>0</v>
      </c>
      <c r="G23" s="24">
        <f t="shared" si="31"/>
        <v>0</v>
      </c>
      <c r="H23" s="25" t="s">
        <v>57</v>
      </c>
      <c r="I23" s="26"/>
      <c r="J23" s="26">
        <f t="shared" si="18"/>
        <v>0</v>
      </c>
      <c r="K23" s="24"/>
      <c r="L23" s="24"/>
      <c r="M23" s="24"/>
      <c r="N23" s="24"/>
      <c r="O23" s="24"/>
      <c r="P23" s="26">
        <f t="shared" si="19"/>
        <v>0</v>
      </c>
      <c r="Q23" s="24"/>
      <c r="R23" s="24"/>
      <c r="S23" s="24"/>
      <c r="T23" s="24"/>
      <c r="U23" s="24"/>
      <c r="V23" s="26">
        <f t="shared" si="20"/>
        <v>0</v>
      </c>
      <c r="W23" s="24"/>
      <c r="X23" s="24"/>
      <c r="Y23" s="24"/>
      <c r="Z23" s="24"/>
      <c r="AA23" s="43">
        <f t="shared" si="21"/>
        <v>0</v>
      </c>
      <c r="AB23" s="44"/>
      <c r="AC23" s="44"/>
      <c r="AD23" s="44"/>
      <c r="AE23" s="44"/>
      <c r="AF23" s="26"/>
    </row>
    <row r="24" spans="1:32" ht="15" customHeight="1">
      <c r="A24" s="22" t="s">
        <v>22</v>
      </c>
      <c r="B24" s="67">
        <f t="shared" si="13"/>
        <v>0</v>
      </c>
      <c r="C24" s="23">
        <f t="shared" si="4"/>
        <v>0</v>
      </c>
      <c r="D24" s="24">
        <f t="shared" si="28"/>
        <v>0</v>
      </c>
      <c r="E24" s="24">
        <f t="shared" si="29"/>
        <v>0</v>
      </c>
      <c r="F24" s="24">
        <f t="shared" si="30"/>
        <v>0</v>
      </c>
      <c r="G24" s="24">
        <f t="shared" si="31"/>
        <v>0</v>
      </c>
      <c r="H24" s="25" t="s">
        <v>57</v>
      </c>
      <c r="I24" s="26"/>
      <c r="J24" s="26">
        <f t="shared" si="18"/>
        <v>0</v>
      </c>
      <c r="K24" s="24"/>
      <c r="L24" s="24"/>
      <c r="M24" s="24"/>
      <c r="N24" s="24"/>
      <c r="O24" s="24"/>
      <c r="P24" s="26">
        <f t="shared" si="19"/>
        <v>0</v>
      </c>
      <c r="Q24" s="24"/>
      <c r="R24" s="24"/>
      <c r="S24" s="24"/>
      <c r="T24" s="24"/>
      <c r="U24" s="24"/>
      <c r="V24" s="26">
        <f t="shared" si="20"/>
        <v>0</v>
      </c>
      <c r="W24" s="24"/>
      <c r="X24" s="24"/>
      <c r="Y24" s="24"/>
      <c r="Z24" s="24"/>
      <c r="AA24" s="43">
        <f t="shared" si="21"/>
        <v>0</v>
      </c>
      <c r="AB24" s="44"/>
      <c r="AC24" s="44"/>
      <c r="AD24" s="44"/>
      <c r="AE24" s="44"/>
      <c r="AF24" s="26"/>
    </row>
    <row r="25" spans="1:32" ht="15" customHeight="1">
      <c r="A25" s="28" t="s">
        <v>73</v>
      </c>
      <c r="B25" s="67">
        <f t="shared" si="13"/>
        <v>34.68</v>
      </c>
      <c r="C25" s="23">
        <f t="shared" si="4"/>
        <v>0</v>
      </c>
      <c r="D25" s="24">
        <f t="shared" si="28"/>
        <v>0</v>
      </c>
      <c r="E25" s="24">
        <f t="shared" si="29"/>
        <v>0</v>
      </c>
      <c r="F25" s="24">
        <f t="shared" si="30"/>
        <v>0</v>
      </c>
      <c r="G25" s="24">
        <f t="shared" si="31"/>
        <v>0</v>
      </c>
      <c r="H25" s="25" t="s">
        <v>57</v>
      </c>
      <c r="I25" s="26">
        <v>34.68</v>
      </c>
      <c r="J25" s="26">
        <f t="shared" si="18"/>
        <v>0</v>
      </c>
      <c r="K25" s="24"/>
      <c r="L25" s="24"/>
      <c r="M25" s="24"/>
      <c r="N25" s="24"/>
      <c r="O25" s="24"/>
      <c r="P25" s="26">
        <f t="shared" si="19"/>
        <v>0</v>
      </c>
      <c r="Q25" s="24"/>
      <c r="R25" s="24"/>
      <c r="S25" s="24"/>
      <c r="T25" s="24"/>
      <c r="U25" s="24"/>
      <c r="V25" s="26">
        <f t="shared" si="20"/>
        <v>0</v>
      </c>
      <c r="W25" s="24"/>
      <c r="X25" s="24"/>
      <c r="Y25" s="24"/>
      <c r="Z25" s="24"/>
      <c r="AA25" s="43">
        <f t="shared" si="21"/>
        <v>0</v>
      </c>
      <c r="AB25" s="44"/>
      <c r="AC25" s="44"/>
      <c r="AD25" s="44"/>
      <c r="AE25" s="44"/>
      <c r="AF25" s="26"/>
    </row>
    <row r="26" spans="1:32" ht="15" customHeight="1">
      <c r="A26" s="30" t="s">
        <v>74</v>
      </c>
      <c r="B26" s="67">
        <f t="shared" si="13"/>
        <v>6.11</v>
      </c>
      <c r="C26" s="31">
        <f t="shared" si="4"/>
        <v>0</v>
      </c>
      <c r="D26" s="24">
        <f t="shared" si="28"/>
        <v>0</v>
      </c>
      <c r="E26" s="24">
        <f t="shared" si="29"/>
        <v>0</v>
      </c>
      <c r="F26" s="24">
        <f t="shared" si="30"/>
        <v>0</v>
      </c>
      <c r="G26" s="24">
        <f t="shared" si="31"/>
        <v>0</v>
      </c>
      <c r="H26" s="25" t="s">
        <v>57</v>
      </c>
      <c r="I26" s="26">
        <v>6.11</v>
      </c>
      <c r="J26" s="26">
        <f t="shared" si="18"/>
        <v>0</v>
      </c>
      <c r="K26" s="24"/>
      <c r="L26" s="24"/>
      <c r="M26" s="24"/>
      <c r="N26" s="24"/>
      <c r="O26" s="24"/>
      <c r="P26" s="26">
        <f t="shared" si="19"/>
        <v>0</v>
      </c>
      <c r="Q26" s="24"/>
      <c r="R26" s="24"/>
      <c r="S26" s="24"/>
      <c r="T26" s="24"/>
      <c r="U26" s="24"/>
      <c r="V26" s="26">
        <f t="shared" si="20"/>
        <v>0</v>
      </c>
      <c r="W26" s="24"/>
      <c r="X26" s="24"/>
      <c r="Y26" s="24"/>
      <c r="Z26" s="24"/>
      <c r="AA26" s="43">
        <f t="shared" si="21"/>
        <v>0</v>
      </c>
      <c r="AB26" s="44"/>
      <c r="AC26" s="44"/>
      <c r="AD26" s="44"/>
      <c r="AE26" s="44"/>
      <c r="AF26" s="26"/>
    </row>
    <row r="27" spans="1:32" ht="15" customHeight="1">
      <c r="A27" s="28" t="s">
        <v>75</v>
      </c>
      <c r="B27" s="67">
        <f t="shared" si="13"/>
        <v>0</v>
      </c>
      <c r="C27" s="63">
        <f t="shared" si="4"/>
        <v>0</v>
      </c>
      <c r="D27" s="24">
        <f t="shared" si="28"/>
        <v>0</v>
      </c>
      <c r="E27" s="24">
        <f t="shared" si="29"/>
        <v>0</v>
      </c>
      <c r="F27" s="24">
        <f t="shared" si="30"/>
        <v>0</v>
      </c>
      <c r="G27" s="24">
        <f t="shared" si="31"/>
        <v>0</v>
      </c>
      <c r="H27" s="25" t="s">
        <v>57</v>
      </c>
      <c r="I27" s="26"/>
      <c r="J27" s="26">
        <f t="shared" si="18"/>
        <v>0</v>
      </c>
      <c r="K27" s="24"/>
      <c r="L27" s="24"/>
      <c r="M27" s="24"/>
      <c r="N27" s="24"/>
      <c r="O27" s="24"/>
      <c r="P27" s="26">
        <f t="shared" si="19"/>
        <v>0</v>
      </c>
      <c r="Q27" s="24"/>
      <c r="R27" s="24"/>
      <c r="S27" s="24"/>
      <c r="T27" s="24"/>
      <c r="U27" s="24"/>
      <c r="V27" s="26">
        <f t="shared" si="20"/>
        <v>0</v>
      </c>
      <c r="W27" s="24"/>
      <c r="X27" s="24"/>
      <c r="Y27" s="24"/>
      <c r="Z27" s="24"/>
      <c r="AA27" s="43">
        <f t="shared" si="21"/>
        <v>0</v>
      </c>
      <c r="AB27" s="44"/>
      <c r="AC27" s="44"/>
      <c r="AD27" s="44"/>
      <c r="AE27" s="44"/>
      <c r="AF27" s="26"/>
    </row>
    <row r="28" spans="1:32" ht="15" customHeight="1">
      <c r="A28" s="32" t="s">
        <v>16</v>
      </c>
      <c r="B28" s="32"/>
      <c r="C28" s="33">
        <f>C6</f>
        <v>0</v>
      </c>
      <c r="D28" s="33">
        <f>D6</f>
        <v>0</v>
      </c>
      <c r="E28" s="33">
        <f>E6</f>
        <v>0</v>
      </c>
      <c r="F28" s="33">
        <f>F6</f>
        <v>0</v>
      </c>
      <c r="G28" s="33">
        <f>G6</f>
        <v>0</v>
      </c>
      <c r="AF28" s="130" t="s">
        <v>143</v>
      </c>
    </row>
    <row r="29" spans="1:32" ht="15" customHeight="1">
      <c r="A29" s="34" t="s">
        <v>17</v>
      </c>
      <c r="B29" s="34"/>
      <c r="C29" s="35">
        <f>C14</f>
        <v>0</v>
      </c>
      <c r="D29" s="35">
        <f>D14</f>
        <v>0</v>
      </c>
      <c r="E29" s="35">
        <f>E14</f>
        <v>0</v>
      </c>
      <c r="F29" s="35">
        <f>F14</f>
        <v>0</v>
      </c>
      <c r="G29" s="35">
        <f>G14</f>
        <v>0</v>
      </c>
    </row>
    <row r="30" spans="1:32" ht="15" customHeight="1">
      <c r="A30" s="34" t="s">
        <v>18</v>
      </c>
      <c r="B30" s="34"/>
      <c r="C30" s="35">
        <f>C7+C8+C9+C10+C11+C13+C17+C22+C23+C24</f>
        <v>0</v>
      </c>
      <c r="D30" s="35">
        <f>D7+D8+D9+D10+D11+D13+D17+D22+D23+D24</f>
        <v>0</v>
      </c>
      <c r="E30" s="35">
        <f>E7+E8+E9+E10+E11+E13+E17+E22+E23+E24</f>
        <v>0</v>
      </c>
      <c r="F30" s="35">
        <f>F7+F8+F9+F10+F11+F13+F17+F22+F23+F24</f>
        <v>0</v>
      </c>
      <c r="G30" s="35">
        <f>G7+G8+G9+G10+G11+G13+G17+G22+G23+G24</f>
        <v>0</v>
      </c>
    </row>
    <row r="31" spans="1:32" ht="21" customHeight="1">
      <c r="A31" s="34" t="s">
        <v>49</v>
      </c>
      <c r="B31" s="34"/>
      <c r="C31" s="35">
        <f>C15+C25+C26+C27</f>
        <v>0</v>
      </c>
      <c r="D31" s="35">
        <f>D15+D25+D26+D27</f>
        <v>0</v>
      </c>
      <c r="E31" s="35">
        <f>E15+E25+E26+E27</f>
        <v>0</v>
      </c>
      <c r="F31" s="35">
        <f>F15+F25+F26+F27</f>
        <v>0</v>
      </c>
      <c r="G31" s="35">
        <f>G15+G25+G26+G27</f>
        <v>0</v>
      </c>
    </row>
    <row r="32" spans="1:32">
      <c r="A32" s="76" t="s">
        <v>19</v>
      </c>
      <c r="B32" s="76"/>
      <c r="C32" s="74">
        <f>C12</f>
        <v>0</v>
      </c>
      <c r="D32" s="74">
        <f>D12</f>
        <v>0</v>
      </c>
      <c r="E32" s="74">
        <f>E12</f>
        <v>0</v>
      </c>
      <c r="F32" s="74">
        <f>F12</f>
        <v>0</v>
      </c>
      <c r="G32" s="74">
        <f>G12</f>
        <v>0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</row>
    <row r="33" spans="1:31" ht="24">
      <c r="A33" s="77" t="s">
        <v>85</v>
      </c>
      <c r="B33" s="77" t="s">
        <v>86</v>
      </c>
      <c r="C33" s="77" t="s">
        <v>84</v>
      </c>
      <c r="D33" s="77" t="s">
        <v>92</v>
      </c>
      <c r="E33" s="77" t="s">
        <v>95</v>
      </c>
      <c r="F33" s="77" t="s">
        <v>97</v>
      </c>
      <c r="G33" s="77" t="s">
        <v>98</v>
      </c>
      <c r="H33" s="77" t="s">
        <v>99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</row>
    <row r="34" spans="1:31">
      <c r="A34" s="78" t="s">
        <v>38</v>
      </c>
      <c r="B34" s="78" t="s">
        <v>79</v>
      </c>
      <c r="C34" s="79">
        <v>44583</v>
      </c>
      <c r="D34" s="79">
        <v>46022</v>
      </c>
      <c r="E34" s="79"/>
      <c r="F34" s="83">
        <v>4075</v>
      </c>
      <c r="G34" s="83">
        <v>3056.74</v>
      </c>
      <c r="H34" s="83">
        <f>F34-G34</f>
        <v>1018.2600000000002</v>
      </c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</row>
    <row r="35" spans="1:31">
      <c r="A35" s="78" t="s">
        <v>40</v>
      </c>
      <c r="B35" s="78" t="s">
        <v>10</v>
      </c>
      <c r="C35" s="79">
        <v>45184</v>
      </c>
      <c r="D35" s="79">
        <v>46203</v>
      </c>
      <c r="E35" s="79"/>
      <c r="F35" s="83">
        <v>784.47</v>
      </c>
      <c r="G35" s="83">
        <v>589.91999999999996</v>
      </c>
      <c r="H35" s="83">
        <f t="shared" ref="H35:H36" si="32">F35-G35</f>
        <v>194.55000000000007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</row>
    <row r="36" spans="1:31">
      <c r="A36" s="78" t="s">
        <v>41</v>
      </c>
      <c r="B36" s="78" t="s">
        <v>96</v>
      </c>
      <c r="C36" s="79">
        <v>45250</v>
      </c>
      <c r="D36" s="79">
        <v>46387</v>
      </c>
      <c r="E36" s="79"/>
      <c r="F36" s="83">
        <v>811.36</v>
      </c>
      <c r="G36" s="83">
        <v>82.83</v>
      </c>
      <c r="H36" s="83">
        <f t="shared" si="32"/>
        <v>728.53</v>
      </c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</row>
    <row r="37" spans="1:31">
      <c r="A37" s="78" t="s">
        <v>83</v>
      </c>
      <c r="B37" s="78"/>
      <c r="C37" s="78"/>
      <c r="D37" s="78"/>
      <c r="E37" s="78"/>
      <c r="F37" s="84"/>
      <c r="G37" s="84"/>
      <c r="H37" s="84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</row>
    <row r="38" spans="1:31">
      <c r="A38" s="78"/>
      <c r="B38" s="78"/>
      <c r="C38" s="78"/>
      <c r="D38" s="78"/>
      <c r="E38" s="78"/>
      <c r="F38" s="84"/>
      <c r="G38" s="84"/>
      <c r="H38" s="8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</row>
    <row r="39" spans="1:31">
      <c r="A39" s="80"/>
      <c r="B39" s="80" t="s">
        <v>11</v>
      </c>
      <c r="C39" s="75"/>
      <c r="D39" s="75"/>
      <c r="E39" s="75"/>
      <c r="F39" s="83"/>
      <c r="G39" s="83"/>
      <c r="H39" s="83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</row>
    <row r="40" spans="1:31">
      <c r="A40" s="73"/>
      <c r="B40" s="73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</row>
    <row r="41" spans="1:31" ht="16.5">
      <c r="A41" s="11" t="s">
        <v>93</v>
      </c>
      <c r="B41" s="61"/>
      <c r="C41" s="37"/>
      <c r="D41" s="37"/>
      <c r="E41" s="37"/>
      <c r="F41" s="37"/>
      <c r="G41" s="37"/>
      <c r="H41" s="37"/>
      <c r="I41" s="11" t="s">
        <v>77</v>
      </c>
      <c r="J41" s="11"/>
      <c r="K41" s="37"/>
      <c r="L41" s="37"/>
      <c r="M41" s="37"/>
      <c r="N41" s="37"/>
      <c r="O41" s="37"/>
    </row>
    <row r="42" spans="1:31" ht="29" customHeight="1">
      <c r="A42" s="72" t="s">
        <v>85</v>
      </c>
      <c r="B42" s="72" t="s">
        <v>86</v>
      </c>
      <c r="C42" s="72" t="s">
        <v>87</v>
      </c>
      <c r="D42" s="72" t="s">
        <v>88</v>
      </c>
      <c r="E42" s="72" t="s">
        <v>89</v>
      </c>
      <c r="F42" s="72" t="s">
        <v>90</v>
      </c>
      <c r="G42" s="72" t="s">
        <v>91</v>
      </c>
      <c r="H42" s="37"/>
      <c r="I42" s="81" t="s">
        <v>48</v>
      </c>
      <c r="J42" s="81" t="s">
        <v>76</v>
      </c>
      <c r="K42" s="82" t="s">
        <v>81</v>
      </c>
      <c r="L42" s="82" t="s">
        <v>12</v>
      </c>
      <c r="M42" s="82" t="s">
        <v>13</v>
      </c>
      <c r="N42" s="82" t="s">
        <v>14</v>
      </c>
      <c r="O42" s="82" t="s">
        <v>15</v>
      </c>
    </row>
    <row r="43" spans="1:31">
      <c r="A43" s="3" t="s">
        <v>38</v>
      </c>
      <c r="B43" s="3" t="s">
        <v>79</v>
      </c>
      <c r="C43" s="38"/>
      <c r="D43" s="38"/>
      <c r="E43" s="38"/>
      <c r="F43" s="38"/>
      <c r="G43" s="38"/>
      <c r="H43" s="37"/>
      <c r="I43" s="78" t="s">
        <v>38</v>
      </c>
      <c r="J43" s="78" t="s">
        <v>79</v>
      </c>
      <c r="K43" s="75"/>
      <c r="L43" s="75">
        <f>L34</f>
        <v>0</v>
      </c>
      <c r="M43" s="75">
        <f t="shared" ref="M43:O43" si="33">M34</f>
        <v>0</v>
      </c>
      <c r="N43" s="75">
        <f t="shared" si="33"/>
        <v>0</v>
      </c>
      <c r="O43" s="75">
        <f t="shared" si="33"/>
        <v>0</v>
      </c>
    </row>
    <row r="44" spans="1:31">
      <c r="A44" s="3" t="s">
        <v>40</v>
      </c>
      <c r="B44" s="3" t="s">
        <v>10</v>
      </c>
      <c r="C44" s="38"/>
      <c r="D44" s="38"/>
      <c r="E44" s="38"/>
      <c r="F44" s="38"/>
      <c r="G44" s="38"/>
      <c r="H44" s="37"/>
      <c r="I44" s="78" t="s">
        <v>40</v>
      </c>
      <c r="J44" s="78" t="s">
        <v>10</v>
      </c>
      <c r="K44" s="75"/>
      <c r="L44" s="75">
        <f t="shared" ref="L44:O44" si="34">L35</f>
        <v>0</v>
      </c>
      <c r="M44" s="75">
        <f t="shared" si="34"/>
        <v>0</v>
      </c>
      <c r="N44" s="75">
        <f t="shared" si="34"/>
        <v>0</v>
      </c>
      <c r="O44" s="75">
        <f t="shared" si="34"/>
        <v>0</v>
      </c>
    </row>
    <row r="45" spans="1:31">
      <c r="A45" s="3" t="s">
        <v>41</v>
      </c>
      <c r="B45" s="3" t="s">
        <v>96</v>
      </c>
      <c r="C45" s="38"/>
      <c r="D45" s="38"/>
      <c r="E45" s="38"/>
      <c r="F45" s="38"/>
      <c r="G45" s="38"/>
      <c r="H45" s="37"/>
      <c r="I45" s="78" t="s">
        <v>41</v>
      </c>
      <c r="J45" s="78" t="s">
        <v>96</v>
      </c>
      <c r="K45" s="75"/>
      <c r="L45" s="75">
        <f t="shared" ref="L45:O45" si="35">L36</f>
        <v>0</v>
      </c>
      <c r="M45" s="75">
        <f t="shared" si="35"/>
        <v>0</v>
      </c>
      <c r="N45" s="75">
        <f t="shared" si="35"/>
        <v>0</v>
      </c>
      <c r="O45" s="75">
        <f t="shared" si="35"/>
        <v>0</v>
      </c>
    </row>
    <row r="46" spans="1:31">
      <c r="A46" s="3" t="s">
        <v>83</v>
      </c>
      <c r="B46" s="3">
        <f>B37</f>
        <v>0</v>
      </c>
      <c r="C46" s="38"/>
      <c r="D46" s="38"/>
      <c r="E46" s="38"/>
      <c r="F46" s="38"/>
      <c r="G46" s="38"/>
      <c r="H46" s="37"/>
      <c r="I46" s="78" t="s">
        <v>83</v>
      </c>
      <c r="J46" s="78">
        <f>B37</f>
        <v>0</v>
      </c>
      <c r="K46" s="75"/>
      <c r="L46" s="75"/>
      <c r="M46" s="75"/>
      <c r="N46" s="75"/>
      <c r="O46" s="75"/>
    </row>
    <row r="47" spans="1:31">
      <c r="A47" s="3"/>
      <c r="B47" s="3"/>
      <c r="C47" s="38"/>
      <c r="D47" s="38"/>
      <c r="E47" s="38"/>
      <c r="F47" s="38"/>
      <c r="G47" s="38"/>
      <c r="H47" s="37"/>
      <c r="I47" s="78"/>
      <c r="J47" s="78"/>
      <c r="K47" s="75"/>
      <c r="L47" s="75"/>
      <c r="M47" s="75"/>
      <c r="N47" s="75"/>
      <c r="O47" s="75"/>
    </row>
    <row r="48" spans="1:31">
      <c r="A48" s="39"/>
      <c r="B48" s="39" t="s">
        <v>11</v>
      </c>
      <c r="C48" s="38"/>
      <c r="D48" s="38">
        <f>SUM(D43:D47)</f>
        <v>0</v>
      </c>
      <c r="E48" s="38">
        <f>SUM(E43:E47)</f>
        <v>0</v>
      </c>
      <c r="F48" s="38">
        <f>SUM(F43:F47)</f>
        <v>0</v>
      </c>
      <c r="G48" s="38">
        <f>SUM(G43:G47)</f>
        <v>0</v>
      </c>
      <c r="H48" s="37"/>
      <c r="I48" s="80"/>
      <c r="J48" s="80" t="s">
        <v>11</v>
      </c>
      <c r="K48" s="75"/>
      <c r="L48" s="75">
        <f>SUM(L43:L47)</f>
        <v>0</v>
      </c>
      <c r="M48" s="75">
        <f>SUM(M43:M47)</f>
        <v>0</v>
      </c>
      <c r="N48" s="75">
        <f>SUM(N43:N47)</f>
        <v>0</v>
      </c>
      <c r="O48" s="75">
        <f>SUM(O43:O47)</f>
        <v>0</v>
      </c>
    </row>
    <row r="49" spans="1:9">
      <c r="A49" s="37"/>
      <c r="B49" s="37"/>
      <c r="C49" s="37"/>
      <c r="D49" s="37"/>
      <c r="E49" s="37"/>
      <c r="F49" s="37"/>
      <c r="G49" s="37"/>
      <c r="H49" s="37"/>
      <c r="I49" s="37"/>
    </row>
    <row r="50" spans="1:9">
      <c r="A50" s="37"/>
      <c r="B50" s="37"/>
      <c r="C50" s="37"/>
      <c r="D50" s="37"/>
      <c r="E50" s="37"/>
      <c r="F50" s="37"/>
      <c r="G50" s="37"/>
      <c r="H50" s="37"/>
      <c r="I50" s="37"/>
    </row>
    <row r="51" spans="1:9">
      <c r="A51" s="37"/>
      <c r="B51" s="37"/>
      <c r="C51" s="37"/>
      <c r="D51" s="37"/>
      <c r="E51" s="37"/>
      <c r="F51" s="37"/>
      <c r="G51" s="37"/>
      <c r="H51" s="37"/>
      <c r="I51" s="37"/>
    </row>
    <row r="52" spans="1:9">
      <c r="A52" s="37"/>
      <c r="B52" s="37"/>
      <c r="C52" s="37"/>
      <c r="D52" s="37"/>
      <c r="E52" s="37"/>
      <c r="F52" s="37"/>
      <c r="G52" s="37"/>
      <c r="H52" s="37"/>
      <c r="I52" s="37"/>
    </row>
    <row r="53" spans="1:9">
      <c r="A53" s="37"/>
      <c r="B53" s="37"/>
      <c r="C53" s="37"/>
      <c r="D53" s="37"/>
      <c r="E53" s="37"/>
      <c r="F53" s="37"/>
      <c r="G53" s="37"/>
      <c r="H53" s="37"/>
      <c r="I53" s="37"/>
    </row>
    <row r="54" spans="1:9">
      <c r="A54" s="37"/>
      <c r="B54" s="37"/>
      <c r="C54" s="37"/>
      <c r="D54" s="37"/>
      <c r="E54" s="37"/>
      <c r="F54" s="37"/>
      <c r="G54" s="37"/>
      <c r="H54" s="37"/>
      <c r="I54" s="37"/>
    </row>
    <row r="55" spans="1:9">
      <c r="A55" s="37"/>
      <c r="B55" s="37"/>
      <c r="C55" s="37"/>
      <c r="D55" s="37"/>
      <c r="E55" s="37"/>
      <c r="F55" s="37"/>
      <c r="G55" s="37"/>
      <c r="H55" s="37"/>
      <c r="I55" s="37"/>
    </row>
    <row r="56" spans="1:9">
      <c r="A56" s="37"/>
      <c r="B56" s="37"/>
      <c r="C56" s="37"/>
      <c r="D56" s="37"/>
      <c r="E56" s="37"/>
      <c r="F56" s="37"/>
      <c r="G56" s="37"/>
      <c r="H56" s="37"/>
      <c r="I56" s="37"/>
    </row>
    <row r="57" spans="1:9">
      <c r="A57" s="37"/>
      <c r="B57" s="37"/>
      <c r="C57" s="37"/>
      <c r="D57" s="37"/>
      <c r="E57" s="37"/>
      <c r="F57" s="37"/>
      <c r="G57" s="37"/>
      <c r="H57" s="37"/>
      <c r="I57" s="37"/>
    </row>
    <row r="58" spans="1:9">
      <c r="A58" s="37"/>
      <c r="B58" s="37"/>
      <c r="C58" s="37"/>
      <c r="D58" s="37"/>
      <c r="E58" s="37"/>
      <c r="F58" s="37"/>
      <c r="G58" s="37"/>
      <c r="H58" s="37"/>
      <c r="I58" s="37"/>
    </row>
    <row r="59" spans="1:9">
      <c r="A59" s="37"/>
      <c r="B59" s="37"/>
      <c r="C59" s="37"/>
      <c r="D59" s="37"/>
      <c r="E59" s="37"/>
      <c r="F59" s="37"/>
      <c r="G59" s="37"/>
      <c r="H59" s="37"/>
      <c r="I59" s="37"/>
    </row>
    <row r="60" spans="1:9">
      <c r="A60" s="37"/>
      <c r="B60" s="37"/>
      <c r="C60" s="37"/>
      <c r="D60" s="37"/>
      <c r="E60" s="37"/>
      <c r="F60" s="37"/>
      <c r="G60" s="37"/>
      <c r="H60" s="37"/>
      <c r="I60" s="37"/>
    </row>
    <row r="61" spans="1:9">
      <c r="A61" s="37"/>
      <c r="B61" s="37"/>
      <c r="C61" s="37"/>
      <c r="D61" s="37"/>
      <c r="E61" s="37"/>
      <c r="F61" s="37"/>
      <c r="G61" s="37"/>
      <c r="H61" s="37"/>
      <c r="I61" s="37"/>
    </row>
    <row r="62" spans="1:9">
      <c r="A62" s="37"/>
      <c r="B62" s="37"/>
      <c r="C62" s="37"/>
      <c r="D62" s="37"/>
      <c r="E62" s="37"/>
      <c r="F62" s="37"/>
      <c r="G62" s="37"/>
      <c r="H62" s="37"/>
      <c r="I62" s="37"/>
    </row>
    <row r="63" spans="1:9">
      <c r="A63" s="37"/>
      <c r="B63" s="37"/>
      <c r="C63" s="37"/>
      <c r="D63" s="37"/>
      <c r="E63" s="37"/>
      <c r="F63" s="37"/>
      <c r="G63" s="37"/>
      <c r="H63" s="37"/>
      <c r="I63" s="37"/>
    </row>
    <row r="64" spans="1:9">
      <c r="A64" s="37"/>
      <c r="B64" s="37"/>
      <c r="C64" s="37"/>
      <c r="D64" s="37"/>
      <c r="E64" s="37"/>
      <c r="F64" s="37"/>
      <c r="G64" s="37"/>
      <c r="H64" s="37"/>
      <c r="I64" s="37"/>
    </row>
    <row r="65" spans="1:9">
      <c r="A65" s="37"/>
      <c r="B65" s="37"/>
      <c r="C65" s="37"/>
      <c r="D65" s="37"/>
      <c r="E65" s="37"/>
      <c r="F65" s="37"/>
      <c r="G65" s="37"/>
      <c r="H65" s="37"/>
      <c r="I65" s="37"/>
    </row>
    <row r="66" spans="1:9">
      <c r="A66" s="37"/>
      <c r="B66" s="37"/>
      <c r="C66" s="37"/>
      <c r="D66" s="37"/>
      <c r="E66" s="37"/>
      <c r="F66" s="37"/>
      <c r="G66" s="37"/>
      <c r="H66" s="37"/>
      <c r="I66" s="37"/>
    </row>
    <row r="67" spans="1:9">
      <c r="A67" s="37"/>
      <c r="B67" s="37"/>
      <c r="C67" s="37"/>
      <c r="D67" s="37"/>
      <c r="E67" s="37"/>
      <c r="F67" s="37"/>
      <c r="G67" s="37"/>
      <c r="H67" s="37"/>
      <c r="I67" s="37"/>
    </row>
    <row r="68" spans="1:9">
      <c r="A68" s="37"/>
      <c r="B68" s="37"/>
      <c r="C68" s="37"/>
      <c r="D68" s="37"/>
      <c r="E68" s="37"/>
      <c r="F68" s="37"/>
      <c r="G68" s="37"/>
      <c r="H68" s="37"/>
      <c r="I68" s="37"/>
    </row>
    <row r="69" spans="1:9">
      <c r="A69" s="37"/>
      <c r="B69" s="37"/>
      <c r="C69" s="37"/>
      <c r="D69" s="37"/>
      <c r="E69" s="37"/>
      <c r="F69" s="37"/>
      <c r="G69" s="37"/>
      <c r="H69" s="37"/>
      <c r="I69" s="37"/>
    </row>
    <row r="70" spans="1:9">
      <c r="A70" s="37"/>
      <c r="B70" s="37"/>
      <c r="C70" s="37"/>
      <c r="D70" s="37"/>
      <c r="E70" s="37"/>
      <c r="F70" s="37"/>
      <c r="G70" s="37"/>
      <c r="H70" s="37"/>
      <c r="I70" s="37"/>
    </row>
    <row r="71" spans="1:9">
      <c r="A71" s="37"/>
      <c r="B71" s="37"/>
      <c r="C71" s="37"/>
      <c r="D71" s="37"/>
      <c r="E71" s="37"/>
      <c r="F71" s="37"/>
      <c r="G71" s="37"/>
      <c r="H71" s="37"/>
      <c r="I71" s="37"/>
    </row>
    <row r="72" spans="1:9">
      <c r="A72" s="37"/>
      <c r="B72" s="37"/>
      <c r="C72" s="37"/>
      <c r="D72" s="37"/>
      <c r="E72" s="37"/>
      <c r="F72" s="37"/>
      <c r="G72" s="37"/>
      <c r="H72" s="37"/>
      <c r="I72" s="37"/>
    </row>
    <row r="73" spans="1:9">
      <c r="A73" s="37"/>
      <c r="B73" s="37"/>
      <c r="C73" s="37"/>
      <c r="D73" s="37"/>
      <c r="E73" s="37"/>
      <c r="F73" s="37"/>
      <c r="G73" s="37"/>
      <c r="H73" s="37"/>
      <c r="I73" s="37"/>
    </row>
    <row r="74" spans="1:9">
      <c r="A74" s="37"/>
      <c r="B74" s="37"/>
      <c r="C74" s="37"/>
      <c r="D74" s="37"/>
      <c r="E74" s="37"/>
      <c r="F74" s="37"/>
      <c r="G74" s="37"/>
      <c r="H74" s="37"/>
      <c r="I74" s="37"/>
    </row>
    <row r="75" spans="1:9">
      <c r="A75" s="37"/>
      <c r="B75" s="37"/>
      <c r="C75" s="37"/>
      <c r="D75" s="37"/>
      <c r="E75" s="37"/>
      <c r="F75" s="37"/>
      <c r="G75" s="37"/>
      <c r="H75" s="37"/>
      <c r="I75" s="37"/>
    </row>
    <row r="76" spans="1:9">
      <c r="A76" s="37"/>
      <c r="B76" s="37"/>
      <c r="C76" s="37"/>
      <c r="D76" s="37"/>
      <c r="E76" s="37"/>
      <c r="F76" s="37"/>
      <c r="G76" s="37"/>
      <c r="H76" s="37"/>
      <c r="I76" s="37"/>
    </row>
    <row r="77" spans="1:9">
      <c r="A77" s="37"/>
      <c r="B77" s="37"/>
      <c r="C77" s="37"/>
      <c r="D77" s="37"/>
      <c r="E77" s="37"/>
      <c r="F77" s="37"/>
      <c r="G77" s="37"/>
      <c r="H77" s="37"/>
      <c r="I77" s="37"/>
    </row>
    <row r="78" spans="1:9">
      <c r="A78" s="37"/>
      <c r="B78" s="37"/>
      <c r="C78" s="37"/>
      <c r="D78" s="37"/>
      <c r="E78" s="37"/>
      <c r="F78" s="37"/>
      <c r="G78" s="37"/>
      <c r="H78" s="37"/>
      <c r="I78" s="37"/>
    </row>
    <row r="79" spans="1:9">
      <c r="A79" s="37"/>
      <c r="B79" s="37"/>
      <c r="C79" s="37"/>
      <c r="D79" s="37"/>
      <c r="E79" s="37"/>
      <c r="F79" s="37"/>
      <c r="G79" s="37"/>
      <c r="H79" s="37"/>
      <c r="I79" s="37"/>
    </row>
    <row r="80" spans="1:9">
      <c r="A80" s="37"/>
      <c r="B80" s="37"/>
      <c r="C80" s="37"/>
      <c r="D80" s="37"/>
      <c r="E80" s="37"/>
      <c r="F80" s="37"/>
      <c r="G80" s="37"/>
      <c r="H80" s="37"/>
      <c r="I80" s="37"/>
    </row>
    <row r="81" spans="1:9">
      <c r="A81" s="37"/>
      <c r="B81" s="37"/>
      <c r="C81" s="37"/>
      <c r="D81" s="37"/>
      <c r="E81" s="37"/>
      <c r="F81" s="37"/>
      <c r="G81" s="37"/>
      <c r="H81" s="37"/>
      <c r="I81" s="37"/>
    </row>
    <row r="82" spans="1:9">
      <c r="A82" s="37"/>
      <c r="B82" s="37"/>
      <c r="C82" s="37"/>
      <c r="D82" s="37"/>
      <c r="E82" s="37"/>
      <c r="F82" s="37"/>
      <c r="G82" s="37"/>
      <c r="H82" s="37"/>
      <c r="I82" s="37"/>
    </row>
    <row r="83" spans="1:9">
      <c r="A83" s="37"/>
      <c r="B83" s="37"/>
      <c r="C83" s="37"/>
      <c r="D83" s="37"/>
      <c r="E83" s="37"/>
      <c r="F83" s="37"/>
      <c r="G83" s="37"/>
      <c r="H83" s="37"/>
      <c r="I83" s="37"/>
    </row>
    <row r="84" spans="1:9">
      <c r="A84" s="37"/>
      <c r="B84" s="37"/>
      <c r="C84" s="37"/>
      <c r="D84" s="37"/>
      <c r="E84" s="37"/>
      <c r="F84" s="37"/>
      <c r="G84" s="37"/>
      <c r="H84" s="37"/>
      <c r="I84" s="37"/>
    </row>
    <row r="85" spans="1:9">
      <c r="A85" s="37"/>
      <c r="B85" s="37"/>
      <c r="C85" s="37"/>
      <c r="D85" s="37"/>
      <c r="E85" s="37"/>
      <c r="F85" s="37"/>
      <c r="G85" s="37"/>
      <c r="H85" s="37"/>
      <c r="I85" s="37"/>
    </row>
    <row r="86" spans="1:9">
      <c r="A86" s="37"/>
      <c r="B86" s="37"/>
      <c r="C86" s="37"/>
      <c r="D86" s="37"/>
      <c r="E86" s="37"/>
      <c r="F86" s="37"/>
      <c r="G86" s="37"/>
      <c r="H86" s="37"/>
      <c r="I86" s="37"/>
    </row>
    <row r="87" spans="1:9">
      <c r="A87" s="37"/>
      <c r="B87" s="37"/>
      <c r="C87" s="37"/>
      <c r="D87" s="37"/>
      <c r="E87" s="37"/>
      <c r="F87" s="37"/>
      <c r="G87" s="37"/>
      <c r="H87" s="37"/>
      <c r="I87" s="37"/>
    </row>
    <row r="88" spans="1:9">
      <c r="A88" s="37"/>
      <c r="B88" s="37"/>
      <c r="C88" s="37"/>
      <c r="D88" s="37"/>
      <c r="E88" s="37"/>
      <c r="F88" s="37"/>
      <c r="G88" s="37"/>
      <c r="H88" s="37"/>
      <c r="I88" s="37"/>
    </row>
    <row r="89" spans="1:9">
      <c r="A89" s="37"/>
      <c r="B89" s="37"/>
      <c r="C89" s="37"/>
      <c r="D89" s="37"/>
      <c r="E89" s="37"/>
      <c r="F89" s="37"/>
      <c r="G89" s="37"/>
      <c r="H89" s="37"/>
      <c r="I89" s="37"/>
    </row>
    <row r="90" spans="1:9">
      <c r="A90" s="37"/>
      <c r="B90" s="37"/>
      <c r="C90" s="37"/>
      <c r="D90" s="37"/>
      <c r="E90" s="37"/>
      <c r="F90" s="37"/>
      <c r="G90" s="37"/>
      <c r="H90" s="37"/>
      <c r="I90" s="37"/>
    </row>
    <row r="91" spans="1:9">
      <c r="A91" s="37"/>
      <c r="B91" s="37"/>
      <c r="C91" s="37"/>
      <c r="D91" s="37"/>
      <c r="E91" s="37"/>
      <c r="F91" s="37"/>
      <c r="G91" s="37"/>
      <c r="H91" s="37"/>
      <c r="I91" s="37"/>
    </row>
    <row r="92" spans="1:9">
      <c r="A92" s="37"/>
      <c r="B92" s="37"/>
      <c r="C92" s="37"/>
      <c r="D92" s="37"/>
      <c r="E92" s="37"/>
      <c r="F92" s="37"/>
      <c r="G92" s="37"/>
      <c r="H92" s="37"/>
      <c r="I92" s="37"/>
    </row>
    <row r="93" spans="1:9">
      <c r="A93" s="37"/>
      <c r="B93" s="37"/>
      <c r="C93" s="37"/>
      <c r="D93" s="37"/>
      <c r="E93" s="37"/>
      <c r="F93" s="37"/>
      <c r="G93" s="37"/>
      <c r="H93" s="37"/>
      <c r="I93" s="37"/>
    </row>
    <row r="94" spans="1:9">
      <c r="A94" s="37"/>
      <c r="B94" s="37"/>
      <c r="C94" s="37"/>
      <c r="D94" s="37"/>
      <c r="E94" s="37"/>
      <c r="F94" s="37"/>
      <c r="G94" s="37"/>
      <c r="H94" s="37"/>
      <c r="I94" s="37"/>
    </row>
    <row r="95" spans="1:9">
      <c r="A95" s="37"/>
      <c r="B95" s="37"/>
      <c r="C95" s="37"/>
      <c r="D95" s="37"/>
      <c r="E95" s="37"/>
      <c r="F95" s="37"/>
      <c r="G95" s="37"/>
      <c r="H95" s="37"/>
      <c r="I95" s="37"/>
    </row>
    <row r="96" spans="1:9">
      <c r="A96" s="37"/>
      <c r="B96" s="37"/>
      <c r="C96" s="37"/>
      <c r="D96" s="37"/>
      <c r="E96" s="37"/>
      <c r="F96" s="37"/>
      <c r="G96" s="37"/>
      <c r="H96" s="37"/>
      <c r="I96" s="37"/>
    </row>
    <row r="97" spans="1:9">
      <c r="A97" s="37"/>
      <c r="B97" s="37"/>
      <c r="C97" s="37"/>
      <c r="D97" s="37"/>
      <c r="E97" s="37"/>
      <c r="F97" s="37"/>
      <c r="G97" s="37"/>
      <c r="H97" s="37"/>
      <c r="I97" s="37"/>
    </row>
    <row r="98" spans="1:9">
      <c r="A98" s="37"/>
      <c r="B98" s="37"/>
      <c r="C98" s="37"/>
      <c r="D98" s="37"/>
      <c r="E98" s="37"/>
      <c r="F98" s="37"/>
      <c r="G98" s="37"/>
      <c r="H98" s="37"/>
      <c r="I98" s="37"/>
    </row>
    <row r="99" spans="1:9">
      <c r="A99" s="37"/>
      <c r="B99" s="37"/>
      <c r="C99" s="37"/>
      <c r="D99" s="37"/>
      <c r="E99" s="37"/>
      <c r="F99" s="37"/>
      <c r="G99" s="37"/>
      <c r="H99" s="37"/>
      <c r="I99" s="37"/>
    </row>
    <row r="100" spans="1:9">
      <c r="A100" s="37"/>
      <c r="B100" s="37"/>
      <c r="C100" s="37"/>
      <c r="D100" s="37"/>
      <c r="E100" s="37"/>
      <c r="F100" s="37"/>
      <c r="G100" s="37"/>
      <c r="H100" s="37"/>
      <c r="I100" s="37"/>
    </row>
    <row r="101" spans="1:9">
      <c r="A101" s="37"/>
      <c r="B101" s="37"/>
      <c r="C101" s="37"/>
      <c r="D101" s="37"/>
      <c r="E101" s="37"/>
      <c r="F101" s="37"/>
      <c r="G101" s="37"/>
      <c r="H101" s="37"/>
      <c r="I101" s="37"/>
    </row>
    <row r="102" spans="1:9">
      <c r="A102" s="37"/>
      <c r="B102" s="37"/>
      <c r="C102" s="37"/>
      <c r="D102" s="37"/>
      <c r="E102" s="37"/>
      <c r="F102" s="37"/>
      <c r="G102" s="37"/>
      <c r="H102" s="37"/>
      <c r="I102" s="37"/>
    </row>
    <row r="103" spans="1:9">
      <c r="A103" s="37"/>
      <c r="B103" s="37"/>
      <c r="C103" s="37"/>
      <c r="D103" s="37"/>
      <c r="E103" s="37"/>
      <c r="F103" s="37"/>
      <c r="G103" s="37"/>
      <c r="H103" s="37"/>
      <c r="I103" s="37"/>
    </row>
    <row r="104" spans="1:9">
      <c r="A104" s="37"/>
      <c r="B104" s="37"/>
      <c r="C104" s="37"/>
      <c r="D104" s="37"/>
      <c r="E104" s="37"/>
      <c r="F104" s="37"/>
      <c r="G104" s="37"/>
      <c r="H104" s="37"/>
      <c r="I104" s="37"/>
    </row>
    <row r="105" spans="1:9">
      <c r="A105" s="37"/>
      <c r="B105" s="37"/>
      <c r="C105" s="37"/>
      <c r="D105" s="37"/>
      <c r="E105" s="37"/>
      <c r="F105" s="37"/>
      <c r="G105" s="37"/>
      <c r="H105" s="37"/>
      <c r="I105" s="37"/>
    </row>
    <row r="106" spans="1:9">
      <c r="A106" s="37"/>
      <c r="B106" s="37"/>
      <c r="C106" s="37"/>
      <c r="D106" s="37"/>
      <c r="E106" s="37"/>
      <c r="F106" s="37"/>
      <c r="G106" s="37"/>
      <c r="H106" s="37"/>
      <c r="I106" s="37"/>
    </row>
    <row r="107" spans="1:9">
      <c r="A107" s="37"/>
      <c r="B107" s="37"/>
      <c r="C107" s="37"/>
      <c r="D107" s="37"/>
      <c r="E107" s="37"/>
      <c r="F107" s="37"/>
      <c r="G107" s="37"/>
      <c r="H107" s="37"/>
      <c r="I107" s="37"/>
    </row>
    <row r="108" spans="1:9">
      <c r="A108" s="37"/>
      <c r="B108" s="37"/>
      <c r="C108" s="37"/>
      <c r="D108" s="37"/>
      <c r="E108" s="37"/>
      <c r="F108" s="37"/>
      <c r="G108" s="37"/>
      <c r="H108" s="37"/>
      <c r="I108" s="37"/>
    </row>
    <row r="109" spans="1:9">
      <c r="A109" s="37"/>
      <c r="B109" s="37"/>
      <c r="C109" s="37"/>
      <c r="D109" s="37"/>
      <c r="E109" s="37"/>
      <c r="F109" s="37"/>
      <c r="G109" s="37"/>
      <c r="H109" s="37"/>
      <c r="I109" s="37"/>
    </row>
    <row r="110" spans="1:9">
      <c r="A110" s="37"/>
      <c r="B110" s="37"/>
      <c r="C110" s="37"/>
      <c r="D110" s="37"/>
      <c r="E110" s="37"/>
      <c r="F110" s="37"/>
      <c r="G110" s="37"/>
      <c r="H110" s="37"/>
      <c r="I110" s="37"/>
    </row>
    <row r="111" spans="1:9">
      <c r="A111" s="37"/>
      <c r="B111" s="37"/>
      <c r="C111" s="37"/>
      <c r="D111" s="37"/>
      <c r="E111" s="37"/>
      <c r="F111" s="37"/>
      <c r="G111" s="37"/>
      <c r="H111" s="37"/>
      <c r="I111" s="37"/>
    </row>
    <row r="112" spans="1:9">
      <c r="A112" s="37"/>
      <c r="B112" s="37"/>
      <c r="C112" s="37"/>
      <c r="D112" s="37"/>
      <c r="E112" s="37"/>
      <c r="F112" s="37"/>
      <c r="G112" s="37"/>
      <c r="H112" s="37"/>
      <c r="I112" s="37"/>
    </row>
    <row r="113" spans="1:9">
      <c r="A113" s="37"/>
      <c r="B113" s="37"/>
      <c r="C113" s="37"/>
      <c r="D113" s="37"/>
      <c r="E113" s="37"/>
      <c r="F113" s="37"/>
      <c r="G113" s="37"/>
      <c r="H113" s="37"/>
      <c r="I113" s="37"/>
    </row>
    <row r="114" spans="1:9">
      <c r="A114" s="37"/>
      <c r="B114" s="37"/>
      <c r="C114" s="37"/>
      <c r="D114" s="37"/>
      <c r="E114" s="37"/>
      <c r="F114" s="37"/>
      <c r="G114" s="37"/>
      <c r="H114" s="37"/>
      <c r="I114" s="37"/>
    </row>
    <row r="115" spans="1:9">
      <c r="A115" s="37"/>
      <c r="B115" s="37"/>
      <c r="C115" s="37"/>
      <c r="D115" s="37"/>
      <c r="E115" s="37"/>
      <c r="F115" s="37"/>
      <c r="G115" s="37"/>
      <c r="H115" s="37"/>
      <c r="I115" s="37"/>
    </row>
    <row r="116" spans="1:9">
      <c r="A116" s="37"/>
      <c r="B116" s="37"/>
      <c r="C116" s="37"/>
      <c r="D116" s="37"/>
      <c r="E116" s="37"/>
      <c r="F116" s="37"/>
      <c r="G116" s="37"/>
      <c r="H116" s="37"/>
      <c r="I116" s="37"/>
    </row>
    <row r="117" spans="1:9">
      <c r="A117" s="37"/>
      <c r="B117" s="37"/>
      <c r="C117" s="37"/>
      <c r="D117" s="37"/>
      <c r="E117" s="37"/>
      <c r="F117" s="37"/>
      <c r="G117" s="37"/>
      <c r="H117" s="37"/>
      <c r="I117" s="37"/>
    </row>
    <row r="118" spans="1:9">
      <c r="A118" s="37"/>
      <c r="B118" s="37"/>
      <c r="C118" s="37"/>
      <c r="D118" s="37"/>
      <c r="E118" s="37"/>
      <c r="F118" s="37"/>
      <c r="G118" s="37"/>
      <c r="H118" s="37"/>
      <c r="I118" s="37"/>
    </row>
    <row r="119" spans="1:9">
      <c r="A119" s="37"/>
      <c r="B119" s="37"/>
      <c r="C119" s="37"/>
      <c r="D119" s="37"/>
      <c r="E119" s="37"/>
      <c r="F119" s="37"/>
      <c r="G119" s="37"/>
      <c r="H119" s="37"/>
      <c r="I119" s="37"/>
    </row>
    <row r="120" spans="1:9">
      <c r="A120" s="37"/>
      <c r="B120" s="37"/>
      <c r="C120" s="37"/>
      <c r="D120" s="37"/>
      <c r="E120" s="37"/>
      <c r="F120" s="37"/>
      <c r="G120" s="37"/>
      <c r="H120" s="37"/>
      <c r="I120" s="37"/>
    </row>
    <row r="121" spans="1:9">
      <c r="A121" s="37"/>
      <c r="B121" s="37"/>
      <c r="C121" s="37"/>
      <c r="D121" s="37"/>
      <c r="E121" s="37"/>
      <c r="F121" s="37"/>
      <c r="G121" s="37"/>
      <c r="H121" s="37"/>
      <c r="I121" s="37"/>
    </row>
    <row r="122" spans="1:9">
      <c r="A122" s="37"/>
      <c r="B122" s="37"/>
      <c r="C122" s="37"/>
      <c r="D122" s="37"/>
      <c r="E122" s="37"/>
      <c r="F122" s="37"/>
      <c r="G122" s="37"/>
      <c r="H122" s="37"/>
      <c r="I122" s="37"/>
    </row>
    <row r="123" spans="1:9">
      <c r="A123" s="37"/>
      <c r="B123" s="37"/>
      <c r="C123" s="37"/>
      <c r="D123" s="37"/>
      <c r="E123" s="37"/>
      <c r="F123" s="37"/>
      <c r="G123" s="37"/>
      <c r="H123" s="37"/>
      <c r="I123" s="37"/>
    </row>
    <row r="124" spans="1:9">
      <c r="A124" s="37"/>
      <c r="B124" s="37"/>
      <c r="C124" s="37"/>
      <c r="D124" s="37"/>
      <c r="E124" s="37"/>
      <c r="F124" s="37"/>
      <c r="G124" s="37"/>
      <c r="H124" s="37"/>
      <c r="I124" s="37"/>
    </row>
    <row r="125" spans="1:9">
      <c r="A125" s="37"/>
      <c r="B125" s="37"/>
      <c r="C125" s="37"/>
      <c r="D125" s="37"/>
      <c r="E125" s="37"/>
      <c r="F125" s="37"/>
      <c r="G125" s="37"/>
      <c r="H125" s="37"/>
      <c r="I125" s="37"/>
    </row>
    <row r="126" spans="1:9">
      <c r="A126" s="37"/>
      <c r="B126" s="37"/>
      <c r="C126" s="37"/>
      <c r="D126" s="37"/>
      <c r="E126" s="37"/>
      <c r="F126" s="37"/>
      <c r="G126" s="37"/>
      <c r="H126" s="37"/>
      <c r="I126" s="37"/>
    </row>
    <row r="127" spans="1:9">
      <c r="A127" s="37"/>
      <c r="B127" s="37"/>
      <c r="C127" s="37"/>
      <c r="D127" s="37"/>
      <c r="E127" s="37"/>
      <c r="F127" s="37"/>
      <c r="G127" s="37"/>
      <c r="H127" s="37"/>
      <c r="I127" s="37"/>
    </row>
    <row r="128" spans="1:9">
      <c r="A128" s="37"/>
      <c r="B128" s="37"/>
      <c r="C128" s="37"/>
      <c r="D128" s="37"/>
      <c r="E128" s="37"/>
      <c r="F128" s="37"/>
      <c r="G128" s="37"/>
      <c r="H128" s="37"/>
      <c r="I128" s="37"/>
    </row>
    <row r="129" spans="1:9">
      <c r="A129" s="37"/>
      <c r="B129" s="37"/>
      <c r="C129" s="37"/>
      <c r="D129" s="37"/>
      <c r="E129" s="37"/>
      <c r="F129" s="37"/>
      <c r="G129" s="37"/>
      <c r="H129" s="37"/>
      <c r="I129" s="37"/>
    </row>
    <row r="130" spans="1:9">
      <c r="A130" s="37"/>
      <c r="B130" s="37"/>
      <c r="C130" s="37"/>
      <c r="D130" s="37"/>
      <c r="E130" s="37"/>
      <c r="F130" s="37"/>
      <c r="G130" s="37"/>
      <c r="H130" s="37"/>
      <c r="I130" s="37"/>
    </row>
    <row r="131" spans="1:9">
      <c r="A131" s="37"/>
      <c r="B131" s="37"/>
      <c r="C131" s="37"/>
      <c r="D131" s="37"/>
      <c r="E131" s="37"/>
      <c r="F131" s="37"/>
      <c r="G131" s="37"/>
      <c r="H131" s="37"/>
      <c r="I131" s="37"/>
    </row>
    <row r="132" spans="1:9">
      <c r="A132" s="37"/>
      <c r="B132" s="37"/>
      <c r="C132" s="37"/>
      <c r="D132" s="37"/>
      <c r="E132" s="37"/>
      <c r="F132" s="37"/>
      <c r="G132" s="37"/>
      <c r="H132" s="37"/>
      <c r="I132" s="37"/>
    </row>
    <row r="133" spans="1:9">
      <c r="A133" s="37"/>
      <c r="B133" s="37"/>
      <c r="C133" s="37"/>
      <c r="D133" s="37"/>
      <c r="E133" s="37"/>
      <c r="F133" s="37"/>
      <c r="G133" s="37"/>
      <c r="H133" s="37"/>
      <c r="I133" s="37"/>
    </row>
    <row r="134" spans="1:9">
      <c r="A134" s="37"/>
      <c r="B134" s="37"/>
      <c r="C134" s="37"/>
      <c r="D134" s="37"/>
      <c r="E134" s="37"/>
      <c r="F134" s="37"/>
      <c r="G134" s="37"/>
      <c r="H134" s="37"/>
      <c r="I134" s="37"/>
    </row>
    <row r="135" spans="1:9">
      <c r="A135" s="37"/>
      <c r="B135" s="37"/>
      <c r="C135" s="37"/>
      <c r="D135" s="37"/>
      <c r="E135" s="37"/>
      <c r="F135" s="37"/>
      <c r="G135" s="37"/>
      <c r="H135" s="37"/>
      <c r="I135" s="37"/>
    </row>
    <row r="136" spans="1:9">
      <c r="A136" s="37"/>
      <c r="B136" s="37"/>
      <c r="C136" s="37"/>
      <c r="D136" s="37"/>
      <c r="E136" s="37"/>
      <c r="F136" s="37"/>
      <c r="G136" s="37"/>
      <c r="H136" s="37"/>
      <c r="I136" s="37"/>
    </row>
    <row r="137" spans="1:9">
      <c r="A137" s="37"/>
      <c r="B137" s="37"/>
      <c r="C137" s="37"/>
      <c r="D137" s="37"/>
      <c r="E137" s="37"/>
      <c r="F137" s="37"/>
      <c r="G137" s="37"/>
      <c r="H137" s="37"/>
      <c r="I137" s="37"/>
    </row>
    <row r="138" spans="1:9">
      <c r="A138" s="37"/>
      <c r="B138" s="37"/>
      <c r="C138" s="37"/>
      <c r="D138" s="37"/>
      <c r="E138" s="37"/>
      <c r="F138" s="37"/>
      <c r="G138" s="37"/>
      <c r="H138" s="37"/>
      <c r="I138" s="37"/>
    </row>
    <row r="139" spans="1:9">
      <c r="A139" s="37"/>
      <c r="B139" s="37"/>
      <c r="C139" s="37"/>
      <c r="D139" s="37"/>
      <c r="E139" s="37"/>
      <c r="F139" s="37"/>
      <c r="G139" s="37"/>
      <c r="H139" s="37"/>
      <c r="I139" s="37"/>
    </row>
    <row r="140" spans="1:9">
      <c r="A140" s="37"/>
      <c r="B140" s="37"/>
      <c r="C140" s="37"/>
      <c r="D140" s="37"/>
      <c r="E140" s="37"/>
      <c r="F140" s="37"/>
      <c r="G140" s="37"/>
      <c r="H140" s="37"/>
      <c r="I140" s="37"/>
    </row>
    <row r="141" spans="1:9">
      <c r="A141" s="37"/>
      <c r="B141" s="37"/>
      <c r="C141" s="37"/>
      <c r="D141" s="37"/>
      <c r="E141" s="37"/>
      <c r="F141" s="37"/>
      <c r="G141" s="37"/>
      <c r="H141" s="37"/>
      <c r="I141" s="37"/>
    </row>
    <row r="142" spans="1:9">
      <c r="A142" s="37"/>
      <c r="B142" s="37"/>
      <c r="C142" s="37"/>
      <c r="D142" s="37"/>
      <c r="E142" s="37"/>
      <c r="F142" s="37"/>
      <c r="G142" s="37"/>
      <c r="H142" s="37"/>
      <c r="I142" s="37"/>
    </row>
    <row r="143" spans="1:9">
      <c r="A143" s="37"/>
      <c r="B143" s="37"/>
      <c r="C143" s="37"/>
      <c r="D143" s="37"/>
      <c r="E143" s="37"/>
      <c r="F143" s="37"/>
      <c r="G143" s="37"/>
      <c r="H143" s="37"/>
      <c r="I143" s="37"/>
    </row>
    <row r="144" spans="1:9">
      <c r="A144" s="37"/>
      <c r="B144" s="37"/>
      <c r="C144" s="37"/>
      <c r="D144" s="37"/>
      <c r="E144" s="37"/>
      <c r="F144" s="37"/>
      <c r="G144" s="37"/>
      <c r="H144" s="37"/>
      <c r="I144" s="37"/>
    </row>
    <row r="145" spans="1:9">
      <c r="A145" s="37"/>
      <c r="B145" s="37"/>
      <c r="C145" s="37"/>
      <c r="D145" s="37"/>
      <c r="E145" s="37"/>
      <c r="F145" s="37"/>
      <c r="G145" s="37"/>
      <c r="H145" s="37"/>
      <c r="I145" s="37"/>
    </row>
    <row r="146" spans="1:9">
      <c r="A146" s="37"/>
      <c r="B146" s="37"/>
      <c r="C146" s="37"/>
      <c r="D146" s="37"/>
      <c r="E146" s="37"/>
      <c r="F146" s="37"/>
      <c r="G146" s="37"/>
      <c r="H146" s="37"/>
      <c r="I146" s="37"/>
    </row>
    <row r="147" spans="1:9">
      <c r="A147" s="37"/>
      <c r="B147" s="37"/>
      <c r="C147" s="37"/>
      <c r="D147" s="37"/>
      <c r="E147" s="37"/>
      <c r="F147" s="37"/>
      <c r="G147" s="37"/>
      <c r="H147" s="37"/>
      <c r="I147" s="37"/>
    </row>
    <row r="148" spans="1:9">
      <c r="A148" s="37"/>
      <c r="B148" s="37"/>
      <c r="C148" s="37"/>
      <c r="D148" s="37"/>
      <c r="E148" s="37"/>
      <c r="F148" s="37"/>
      <c r="G148" s="37"/>
      <c r="H148" s="37"/>
      <c r="I148" s="37"/>
    </row>
    <row r="149" spans="1:9">
      <c r="A149" s="37"/>
      <c r="B149" s="37"/>
      <c r="C149" s="37"/>
      <c r="D149" s="37"/>
      <c r="E149" s="37"/>
      <c r="F149" s="37"/>
      <c r="G149" s="37"/>
      <c r="H149" s="37"/>
      <c r="I149" s="37"/>
    </row>
    <row r="150" spans="1:9">
      <c r="A150" s="37"/>
      <c r="B150" s="37"/>
      <c r="C150" s="37"/>
      <c r="D150" s="37"/>
      <c r="E150" s="37"/>
      <c r="F150" s="37"/>
      <c r="G150" s="37"/>
      <c r="H150" s="37"/>
      <c r="I150" s="37"/>
    </row>
    <row r="151" spans="1:9">
      <c r="A151" s="37"/>
      <c r="B151" s="37"/>
      <c r="C151" s="37"/>
      <c r="D151" s="37"/>
      <c r="E151" s="37"/>
      <c r="F151" s="37"/>
      <c r="G151" s="37"/>
      <c r="H151" s="37"/>
      <c r="I151" s="37"/>
    </row>
    <row r="152" spans="1:9">
      <c r="A152" s="37"/>
      <c r="B152" s="37"/>
      <c r="C152" s="37"/>
      <c r="D152" s="37"/>
      <c r="E152" s="37"/>
      <c r="F152" s="37"/>
      <c r="G152" s="37"/>
      <c r="H152" s="37"/>
      <c r="I152" s="37"/>
    </row>
    <row r="153" spans="1:9">
      <c r="A153" s="37"/>
      <c r="B153" s="37"/>
      <c r="C153" s="37"/>
      <c r="D153" s="37"/>
      <c r="E153" s="37"/>
      <c r="F153" s="37"/>
      <c r="G153" s="37"/>
      <c r="H153" s="37"/>
      <c r="I153" s="37"/>
    </row>
    <row r="154" spans="1:9">
      <c r="A154" s="37"/>
      <c r="B154" s="37"/>
      <c r="C154" s="37"/>
      <c r="D154" s="37"/>
      <c r="E154" s="37"/>
      <c r="F154" s="37"/>
      <c r="G154" s="37"/>
      <c r="H154" s="37"/>
      <c r="I154" s="37"/>
    </row>
    <row r="155" spans="1:9">
      <c r="A155" s="37"/>
      <c r="B155" s="37"/>
      <c r="C155" s="37"/>
      <c r="D155" s="37"/>
      <c r="E155" s="37"/>
      <c r="F155" s="37"/>
      <c r="G155" s="37"/>
      <c r="H155" s="37"/>
      <c r="I155" s="37"/>
    </row>
    <row r="156" spans="1:9">
      <c r="A156" s="37"/>
      <c r="B156" s="37"/>
      <c r="C156" s="37"/>
      <c r="D156" s="37"/>
      <c r="E156" s="37"/>
      <c r="F156" s="37"/>
      <c r="G156" s="37"/>
      <c r="H156" s="37"/>
      <c r="I156" s="37"/>
    </row>
    <row r="157" spans="1:9">
      <c r="A157" s="37"/>
      <c r="B157" s="37"/>
      <c r="C157" s="37"/>
      <c r="D157" s="37"/>
      <c r="E157" s="37"/>
      <c r="F157" s="37"/>
      <c r="G157" s="37"/>
      <c r="H157" s="37"/>
      <c r="I157" s="37"/>
    </row>
    <row r="158" spans="1:9">
      <c r="A158" s="37"/>
      <c r="B158" s="37"/>
      <c r="C158" s="37"/>
      <c r="D158" s="37"/>
      <c r="E158" s="37"/>
      <c r="F158" s="37"/>
      <c r="G158" s="37"/>
      <c r="H158" s="37"/>
      <c r="I158" s="37"/>
    </row>
    <row r="159" spans="1:9">
      <c r="A159" s="37"/>
      <c r="B159" s="37"/>
      <c r="C159" s="37"/>
      <c r="D159" s="37"/>
      <c r="E159" s="37"/>
      <c r="F159" s="37"/>
      <c r="G159" s="37"/>
      <c r="H159" s="37"/>
      <c r="I159" s="37"/>
    </row>
    <row r="160" spans="1:9">
      <c r="A160" s="37"/>
      <c r="B160" s="37"/>
      <c r="C160" s="37"/>
      <c r="D160" s="37"/>
      <c r="E160" s="37"/>
      <c r="F160" s="37"/>
      <c r="G160" s="37"/>
      <c r="H160" s="37"/>
      <c r="I160" s="37"/>
    </row>
    <row r="161" spans="1:9">
      <c r="A161" s="37"/>
      <c r="B161" s="37"/>
      <c r="C161" s="37"/>
      <c r="D161" s="37"/>
      <c r="E161" s="37"/>
      <c r="F161" s="37"/>
      <c r="G161" s="37"/>
      <c r="H161" s="37"/>
      <c r="I161" s="37"/>
    </row>
    <row r="162" spans="1:9">
      <c r="A162" s="37"/>
      <c r="B162" s="37"/>
      <c r="C162" s="37"/>
      <c r="D162" s="37"/>
      <c r="E162" s="37"/>
      <c r="F162" s="37"/>
      <c r="G162" s="37"/>
      <c r="H162" s="37"/>
      <c r="I162" s="37"/>
    </row>
    <row r="163" spans="1:9">
      <c r="A163" s="37"/>
      <c r="B163" s="37"/>
      <c r="C163" s="37"/>
      <c r="D163" s="37"/>
      <c r="E163" s="37"/>
      <c r="F163" s="37"/>
      <c r="G163" s="37"/>
      <c r="H163" s="37"/>
      <c r="I163" s="37"/>
    </row>
    <row r="164" spans="1:9">
      <c r="A164" s="37"/>
      <c r="B164" s="37"/>
      <c r="C164" s="37"/>
      <c r="D164" s="37"/>
      <c r="E164" s="37"/>
      <c r="F164" s="37"/>
      <c r="G164" s="37"/>
      <c r="H164" s="37"/>
      <c r="I164" s="37"/>
    </row>
    <row r="165" spans="1:9">
      <c r="A165" s="37"/>
      <c r="B165" s="37"/>
      <c r="C165" s="37"/>
      <c r="D165" s="37"/>
      <c r="E165" s="37"/>
      <c r="F165" s="37"/>
      <c r="G165" s="37"/>
      <c r="H165" s="37"/>
      <c r="I165" s="37"/>
    </row>
    <row r="166" spans="1:9">
      <c r="A166" s="37"/>
      <c r="B166" s="37"/>
      <c r="C166" s="37"/>
      <c r="D166" s="37"/>
      <c r="E166" s="37"/>
      <c r="F166" s="37"/>
      <c r="G166" s="37"/>
      <c r="H166" s="37"/>
      <c r="I166" s="37"/>
    </row>
    <row r="167" spans="1:9">
      <c r="A167" s="37"/>
      <c r="B167" s="37"/>
      <c r="C167" s="37"/>
      <c r="D167" s="37"/>
      <c r="E167" s="37"/>
      <c r="F167" s="37"/>
      <c r="G167" s="37"/>
      <c r="H167" s="37"/>
      <c r="I167" s="37"/>
    </row>
    <row r="168" spans="1:9">
      <c r="A168" s="37"/>
      <c r="B168" s="37"/>
      <c r="C168" s="37"/>
      <c r="D168" s="37"/>
      <c r="E168" s="37"/>
      <c r="F168" s="37"/>
      <c r="G168" s="37"/>
      <c r="H168" s="37"/>
      <c r="I168" s="37"/>
    </row>
    <row r="169" spans="1:9">
      <c r="A169" s="37"/>
      <c r="B169" s="37"/>
      <c r="C169" s="37"/>
      <c r="D169" s="37"/>
      <c r="E169" s="37"/>
      <c r="F169" s="37"/>
      <c r="G169" s="37"/>
      <c r="H169" s="37"/>
      <c r="I169" s="37"/>
    </row>
    <row r="170" spans="1:9">
      <c r="A170" s="37"/>
      <c r="B170" s="37"/>
      <c r="C170" s="37"/>
      <c r="D170" s="37"/>
      <c r="E170" s="37"/>
      <c r="F170" s="37"/>
      <c r="G170" s="37"/>
      <c r="H170" s="37"/>
      <c r="I170" s="37"/>
    </row>
    <row r="171" spans="1:9">
      <c r="A171" s="37"/>
      <c r="B171" s="37"/>
      <c r="C171" s="37"/>
      <c r="D171" s="37"/>
      <c r="E171" s="37"/>
      <c r="F171" s="37"/>
      <c r="G171" s="37"/>
      <c r="H171" s="37"/>
      <c r="I171" s="37"/>
    </row>
    <row r="172" spans="1:9">
      <c r="A172" s="37"/>
      <c r="B172" s="37"/>
      <c r="C172" s="37"/>
      <c r="D172" s="37"/>
      <c r="E172" s="37"/>
      <c r="F172" s="37"/>
      <c r="G172" s="37"/>
      <c r="H172" s="37"/>
      <c r="I172" s="37"/>
    </row>
    <row r="173" spans="1:9">
      <c r="A173" s="37"/>
      <c r="B173" s="37"/>
      <c r="C173" s="37"/>
      <c r="D173" s="37"/>
      <c r="E173" s="37"/>
      <c r="F173" s="37"/>
      <c r="G173" s="37"/>
      <c r="H173" s="37"/>
      <c r="I173" s="37"/>
    </row>
    <row r="174" spans="1:9">
      <c r="A174" s="37"/>
      <c r="B174" s="37"/>
      <c r="C174" s="37"/>
      <c r="D174" s="37"/>
      <c r="E174" s="37"/>
      <c r="F174" s="37"/>
      <c r="G174" s="37"/>
      <c r="H174" s="37"/>
      <c r="I174" s="37"/>
    </row>
    <row r="175" spans="1:9">
      <c r="A175" s="37"/>
      <c r="B175" s="37"/>
      <c r="C175" s="37"/>
      <c r="D175" s="37"/>
      <c r="E175" s="37"/>
      <c r="F175" s="37"/>
      <c r="G175" s="37"/>
      <c r="H175" s="37"/>
      <c r="I175" s="37"/>
    </row>
    <row r="176" spans="1:9">
      <c r="A176" s="37"/>
      <c r="B176" s="37"/>
      <c r="C176" s="37"/>
      <c r="D176" s="37"/>
      <c r="E176" s="37"/>
      <c r="F176" s="37"/>
      <c r="G176" s="37"/>
      <c r="H176" s="37"/>
      <c r="I176" s="37"/>
    </row>
    <row r="177" spans="1:9">
      <c r="A177" s="37"/>
      <c r="B177" s="37"/>
      <c r="C177" s="37"/>
      <c r="D177" s="37"/>
      <c r="E177" s="37"/>
      <c r="F177" s="37"/>
      <c r="G177" s="37"/>
      <c r="H177" s="37"/>
      <c r="I177" s="37"/>
    </row>
    <row r="178" spans="1:9">
      <c r="A178" s="37"/>
      <c r="B178" s="37"/>
      <c r="C178" s="37"/>
      <c r="D178" s="37"/>
      <c r="E178" s="37"/>
      <c r="F178" s="37"/>
      <c r="G178" s="37"/>
      <c r="H178" s="37"/>
      <c r="I178" s="37"/>
    </row>
    <row r="179" spans="1:9">
      <c r="A179" s="37"/>
      <c r="B179" s="37"/>
      <c r="C179" s="37"/>
      <c r="D179" s="37"/>
      <c r="E179" s="37"/>
      <c r="F179" s="37"/>
      <c r="G179" s="37"/>
      <c r="H179" s="37"/>
      <c r="I179" s="37"/>
    </row>
  </sheetData>
  <phoneticPr fontId="26" type="noConversion"/>
  <pageMargins left="0.7" right="0.7" top="0.75" bottom="0.75" header="0.3" footer="0.3"/>
  <ignoredErrors>
    <ignoredError sqref="E13:G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4"/>
  <sheetViews>
    <sheetView showGridLines="0" workbookViewId="0">
      <selection activeCell="M35" sqref="M35"/>
    </sheetView>
  </sheetViews>
  <sheetFormatPr defaultColWidth="9" defaultRowHeight="14.5"/>
  <cols>
    <col min="1" max="1" width="5" style="45" customWidth="1"/>
    <col min="2" max="2" width="17.4140625" style="46" customWidth="1"/>
    <col min="3" max="4" width="14.33203125" style="46" customWidth="1"/>
    <col min="5" max="5" width="11" style="46" customWidth="1"/>
    <col min="6" max="6" width="12.58203125" style="47" customWidth="1"/>
    <col min="7" max="7" width="12.4140625" style="47" customWidth="1"/>
    <col min="8" max="8" width="7.4140625" style="47" customWidth="1"/>
    <col min="9" max="10" width="8.75" style="47" customWidth="1"/>
    <col min="11" max="11" width="8" style="46" customWidth="1"/>
    <col min="12" max="12" width="9.6640625" style="46" customWidth="1"/>
    <col min="13" max="13" width="10.9140625" style="46" customWidth="1"/>
    <col min="14" max="14" width="10.4140625" style="46" customWidth="1"/>
    <col min="15" max="15" width="7" customWidth="1"/>
    <col min="16" max="16" width="9.25" customWidth="1"/>
    <col min="17" max="17" width="10.6640625" customWidth="1"/>
    <col min="18" max="18" width="15.9140625" style="2" customWidth="1"/>
  </cols>
  <sheetData>
    <row r="1" spans="1:18" ht="28.5" customHeight="1">
      <c r="A1" s="48" t="s">
        <v>23</v>
      </c>
      <c r="B1" s="48"/>
      <c r="C1" s="48"/>
      <c r="D1" s="48"/>
      <c r="E1" s="48"/>
      <c r="F1" s="49"/>
      <c r="G1" s="49"/>
      <c r="H1" s="49"/>
      <c r="I1" s="49"/>
      <c r="J1" s="49"/>
      <c r="K1" s="59"/>
      <c r="L1" s="59"/>
      <c r="M1" s="68" t="s">
        <v>4</v>
      </c>
      <c r="N1" s="68"/>
    </row>
    <row r="2" spans="1:18" ht="21.5" customHeight="1">
      <c r="A2" s="50" t="s">
        <v>24</v>
      </c>
      <c r="B2" s="51" t="s">
        <v>25</v>
      </c>
      <c r="C2" s="51" t="s">
        <v>26</v>
      </c>
      <c r="D2" s="51" t="s">
        <v>1</v>
      </c>
      <c r="E2" s="51" t="s">
        <v>27</v>
      </c>
      <c r="F2" s="52" t="s">
        <v>28</v>
      </c>
      <c r="G2" s="52" t="s">
        <v>29</v>
      </c>
      <c r="H2" s="52" t="s">
        <v>30</v>
      </c>
      <c r="I2" s="52" t="s">
        <v>31</v>
      </c>
      <c r="J2" s="52" t="s">
        <v>32</v>
      </c>
      <c r="K2" s="51" t="s">
        <v>5</v>
      </c>
      <c r="L2" s="51" t="s">
        <v>6</v>
      </c>
      <c r="M2" s="51" t="s">
        <v>7</v>
      </c>
      <c r="N2" s="51" t="s">
        <v>8</v>
      </c>
    </row>
    <row r="3" spans="1:18" ht="18.5" customHeight="1">
      <c r="A3" s="1"/>
      <c r="B3" s="1" t="s">
        <v>33</v>
      </c>
      <c r="C3" s="1"/>
      <c r="D3" s="1"/>
      <c r="E3" s="1"/>
      <c r="F3" s="1"/>
      <c r="G3" s="1"/>
      <c r="H3" s="1"/>
      <c r="I3" s="1"/>
      <c r="J3" s="1">
        <f>SUM(J4:J13)</f>
        <v>0</v>
      </c>
      <c r="K3" s="1">
        <f>SUM(K4:K13)</f>
        <v>0</v>
      </c>
      <c r="L3" s="1">
        <f>SUM(L4:L13)</f>
        <v>0</v>
      </c>
      <c r="M3" s="1">
        <f>SUM(M4:M13)</f>
        <v>0</v>
      </c>
      <c r="N3" s="1">
        <f>SUM(N4:N13)</f>
        <v>0</v>
      </c>
    </row>
    <row r="4" spans="1:18">
      <c r="A4" s="53">
        <f>ROW()-3</f>
        <v>1</v>
      </c>
      <c r="B4" s="54"/>
      <c r="C4" s="54"/>
      <c r="D4" s="54"/>
      <c r="E4" s="54"/>
      <c r="F4" s="55"/>
      <c r="G4" s="55"/>
      <c r="H4" s="56"/>
      <c r="I4" s="6"/>
      <c r="J4" s="6">
        <f>H4*I4</f>
        <v>0</v>
      </c>
      <c r="K4" s="6"/>
      <c r="L4" s="6"/>
      <c r="M4" s="6"/>
      <c r="N4" s="6"/>
      <c r="O4" s="60">
        <f>J4-SUM(K4:N4)</f>
        <v>0</v>
      </c>
      <c r="P4" s="60"/>
      <c r="Q4" s="2" t="s">
        <v>35</v>
      </c>
      <c r="R4" s="2" t="s">
        <v>0</v>
      </c>
    </row>
    <row r="5" spans="1:18">
      <c r="A5" s="53">
        <f>ROW()-3</f>
        <v>2</v>
      </c>
      <c r="B5" s="54"/>
      <c r="C5" s="54"/>
      <c r="D5" s="54"/>
      <c r="E5" s="54"/>
      <c r="F5" s="55"/>
      <c r="G5" s="55"/>
      <c r="H5" s="56"/>
      <c r="I5" s="6"/>
      <c r="J5" s="6">
        <f t="shared" ref="J5:J9" si="0">H5*I5</f>
        <v>0</v>
      </c>
      <c r="K5" s="6"/>
      <c r="L5" s="6"/>
      <c r="M5" s="6"/>
      <c r="N5" s="6"/>
      <c r="O5" s="60">
        <f t="shared" ref="O5:O13" si="1">J5-SUM(K5:N5)</f>
        <v>0</v>
      </c>
      <c r="P5" s="60"/>
      <c r="Q5" s="2" t="s">
        <v>34</v>
      </c>
      <c r="R5" s="2" t="s">
        <v>37</v>
      </c>
    </row>
    <row r="6" spans="1:18">
      <c r="A6" s="53">
        <f>ROW()-3</f>
        <v>3</v>
      </c>
      <c r="B6" s="54"/>
      <c r="C6" s="54"/>
      <c r="D6" s="54"/>
      <c r="E6" s="54"/>
      <c r="F6" s="55"/>
      <c r="G6" s="55"/>
      <c r="H6" s="56"/>
      <c r="I6" s="6"/>
      <c r="J6" s="6">
        <f t="shared" si="0"/>
        <v>0</v>
      </c>
      <c r="K6" s="6"/>
      <c r="L6" s="6"/>
      <c r="M6" s="6"/>
      <c r="N6" s="6"/>
      <c r="O6" s="60">
        <f>J6-SUM(K6:N6)</f>
        <v>0</v>
      </c>
      <c r="P6" s="60"/>
      <c r="Q6" s="2" t="s">
        <v>38</v>
      </c>
      <c r="R6" s="2" t="s">
        <v>39</v>
      </c>
    </row>
    <row r="7" spans="1:18">
      <c r="A7" s="53">
        <f t="shared" ref="A7:A13" si="2">ROW()-3</f>
        <v>4</v>
      </c>
      <c r="B7" s="54"/>
      <c r="C7" s="54"/>
      <c r="D7" s="54"/>
      <c r="E7" s="54"/>
      <c r="F7" s="55"/>
      <c r="G7" s="55"/>
      <c r="H7" s="56"/>
      <c r="I7" s="6"/>
      <c r="J7" s="6">
        <f t="shared" si="0"/>
        <v>0</v>
      </c>
      <c r="K7" s="6"/>
      <c r="L7" s="6"/>
      <c r="M7" s="6"/>
      <c r="N7" s="6"/>
      <c r="O7" s="60">
        <f t="shared" si="1"/>
        <v>0</v>
      </c>
      <c r="P7" s="60"/>
      <c r="Q7" s="2" t="s">
        <v>40</v>
      </c>
      <c r="R7" s="2" t="s">
        <v>36</v>
      </c>
    </row>
    <row r="8" spans="1:18">
      <c r="A8" s="53">
        <f t="shared" si="2"/>
        <v>5</v>
      </c>
      <c r="B8" s="54"/>
      <c r="C8" s="54"/>
      <c r="D8" s="54"/>
      <c r="E8" s="54"/>
      <c r="F8" s="55"/>
      <c r="G8" s="55"/>
      <c r="H8" s="56"/>
      <c r="I8" s="6"/>
      <c r="J8" s="6">
        <f t="shared" si="0"/>
        <v>0</v>
      </c>
      <c r="K8" s="6"/>
      <c r="L8" s="6"/>
      <c r="M8" s="6"/>
      <c r="N8" s="6"/>
      <c r="O8" s="60">
        <f t="shared" si="1"/>
        <v>0</v>
      </c>
      <c r="P8" s="60"/>
      <c r="Q8" s="2" t="s">
        <v>41</v>
      </c>
      <c r="R8" s="2" t="s">
        <v>42</v>
      </c>
    </row>
    <row r="9" spans="1:18">
      <c r="A9" s="53">
        <f t="shared" si="2"/>
        <v>6</v>
      </c>
      <c r="B9" s="54"/>
      <c r="C9" s="54"/>
      <c r="D9" s="54"/>
      <c r="E9" s="54"/>
      <c r="F9" s="55"/>
      <c r="G9" s="55"/>
      <c r="H9" s="56"/>
      <c r="I9" s="6"/>
      <c r="J9" s="6">
        <f t="shared" si="0"/>
        <v>0</v>
      </c>
      <c r="K9" s="6"/>
      <c r="L9" s="6"/>
      <c r="M9" s="6"/>
      <c r="N9" s="6"/>
      <c r="O9" s="60">
        <f t="shared" si="1"/>
        <v>0</v>
      </c>
      <c r="P9" s="60"/>
      <c r="Q9" s="2" t="s">
        <v>82</v>
      </c>
      <c r="R9" s="2" t="s">
        <v>43</v>
      </c>
    </row>
    <row r="10" spans="1:18">
      <c r="A10" s="53">
        <f t="shared" si="2"/>
        <v>7</v>
      </c>
      <c r="B10" s="54"/>
      <c r="C10" s="54"/>
      <c r="D10" s="54"/>
      <c r="E10" s="54"/>
      <c r="F10" s="55"/>
      <c r="G10" s="55"/>
      <c r="H10" s="56"/>
      <c r="I10" s="6"/>
      <c r="J10" s="6">
        <f t="shared" ref="J10:J13" si="3">H10*I10</f>
        <v>0</v>
      </c>
      <c r="K10" s="6"/>
      <c r="L10" s="6"/>
      <c r="M10" s="6"/>
      <c r="N10" s="6"/>
      <c r="O10" s="60">
        <f t="shared" si="1"/>
        <v>0</v>
      </c>
      <c r="P10" s="60"/>
      <c r="Q10" s="2" t="s">
        <v>78</v>
      </c>
      <c r="R10" s="2" t="s">
        <v>44</v>
      </c>
    </row>
    <row r="11" spans="1:18">
      <c r="A11" s="53">
        <f t="shared" si="2"/>
        <v>8</v>
      </c>
      <c r="B11" s="54"/>
      <c r="C11" s="54"/>
      <c r="D11" s="54"/>
      <c r="E11" s="54"/>
      <c r="F11" s="55"/>
      <c r="G11" s="55"/>
      <c r="H11" s="56"/>
      <c r="I11" s="6"/>
      <c r="J11" s="6">
        <f t="shared" si="3"/>
        <v>0</v>
      </c>
      <c r="K11" s="6"/>
      <c r="L11" s="6"/>
      <c r="M11" s="6"/>
      <c r="N11" s="6"/>
      <c r="O11" s="60">
        <f t="shared" si="1"/>
        <v>0</v>
      </c>
      <c r="P11" s="60"/>
      <c r="Q11" s="2"/>
      <c r="R11" s="2" t="s">
        <v>45</v>
      </c>
    </row>
    <row r="12" spans="1:18">
      <c r="A12" s="53">
        <f t="shared" si="2"/>
        <v>9</v>
      </c>
      <c r="B12" s="54"/>
      <c r="C12" s="54"/>
      <c r="D12" s="54"/>
      <c r="E12" s="54"/>
      <c r="F12" s="55"/>
      <c r="G12" s="55"/>
      <c r="H12" s="56"/>
      <c r="I12" s="6"/>
      <c r="J12" s="6">
        <f t="shared" si="3"/>
        <v>0</v>
      </c>
      <c r="K12" s="6"/>
      <c r="L12" s="6"/>
      <c r="M12" s="6"/>
      <c r="N12" s="6"/>
      <c r="O12" s="60">
        <f t="shared" si="1"/>
        <v>0</v>
      </c>
      <c r="P12" s="60"/>
      <c r="Q12" s="2"/>
      <c r="R12" s="2" t="s">
        <v>46</v>
      </c>
    </row>
    <row r="13" spans="1:18">
      <c r="A13" s="53">
        <f t="shared" si="2"/>
        <v>10</v>
      </c>
      <c r="B13" s="54"/>
      <c r="C13" s="54"/>
      <c r="D13" s="54"/>
      <c r="E13" s="54"/>
      <c r="F13" s="55"/>
      <c r="G13" s="55"/>
      <c r="H13" s="56"/>
      <c r="I13" s="6"/>
      <c r="J13" s="6">
        <f t="shared" si="3"/>
        <v>0</v>
      </c>
      <c r="K13" s="6"/>
      <c r="L13" s="6"/>
      <c r="M13" s="6"/>
      <c r="N13" s="6"/>
      <c r="O13" s="60">
        <f t="shared" si="1"/>
        <v>0</v>
      </c>
      <c r="P13" s="60"/>
      <c r="Q13" s="2"/>
    </row>
    <row r="15" spans="1:18" ht="16.5">
      <c r="A15" s="48" t="s">
        <v>47</v>
      </c>
    </row>
    <row r="16" spans="1:18">
      <c r="A16" s="50" t="s">
        <v>24</v>
      </c>
      <c r="B16" s="51" t="s">
        <v>48</v>
      </c>
      <c r="C16" s="51" t="s">
        <v>26</v>
      </c>
      <c r="D16" s="51" t="s">
        <v>1</v>
      </c>
      <c r="E16" s="51" t="s">
        <v>27</v>
      </c>
      <c r="F16" s="52" t="s">
        <v>28</v>
      </c>
      <c r="G16" s="52" t="s">
        <v>29</v>
      </c>
      <c r="H16" s="52" t="s">
        <v>30</v>
      </c>
      <c r="I16" s="52" t="s">
        <v>31</v>
      </c>
      <c r="J16" s="52" t="s">
        <v>32</v>
      </c>
      <c r="K16" s="51" t="s">
        <v>5</v>
      </c>
      <c r="L16" s="51" t="s">
        <v>6</v>
      </c>
      <c r="M16" s="51" t="s">
        <v>7</v>
      </c>
      <c r="N16" s="51" t="s">
        <v>8</v>
      </c>
    </row>
    <row r="17" spans="1:14">
      <c r="A17" s="53">
        <v>1</v>
      </c>
      <c r="C17" s="57"/>
      <c r="D17" s="57"/>
      <c r="E17" s="57"/>
      <c r="F17" s="58"/>
      <c r="G17" s="55"/>
      <c r="H17" s="56">
        <v>1</v>
      </c>
      <c r="I17" s="6"/>
      <c r="J17" s="6">
        <f t="shared" ref="J17" si="4">H17*I17</f>
        <v>0</v>
      </c>
      <c r="K17" s="6"/>
      <c r="L17" s="6"/>
      <c r="M17" s="6"/>
      <c r="N17" s="6"/>
    </row>
    <row r="18" spans="1:14">
      <c r="A18" s="53">
        <v>2</v>
      </c>
      <c r="B18" s="54"/>
      <c r="C18" s="54"/>
      <c r="D18" s="54"/>
      <c r="E18" s="54"/>
      <c r="F18" s="55"/>
      <c r="G18" s="55"/>
      <c r="H18" s="56"/>
      <c r="I18" s="6"/>
      <c r="J18" s="6"/>
      <c r="K18" s="6"/>
      <c r="L18" s="6"/>
      <c r="M18" s="6"/>
      <c r="N18" s="6"/>
    </row>
    <row r="19" spans="1:14">
      <c r="A19" s="53">
        <v>3</v>
      </c>
      <c r="B19" s="54"/>
      <c r="C19" s="54"/>
      <c r="D19" s="54"/>
      <c r="E19" s="54"/>
      <c r="F19" s="55"/>
      <c r="G19" s="55"/>
      <c r="H19" s="56"/>
      <c r="I19" s="6"/>
      <c r="J19" s="6">
        <f t="shared" ref="J19" si="5">H19*I19</f>
        <v>0</v>
      </c>
      <c r="K19" s="6"/>
      <c r="L19" s="6"/>
      <c r="M19" s="6"/>
      <c r="N19" s="6"/>
    </row>
    <row r="20" spans="1:14">
      <c r="A20" s="53">
        <v>4</v>
      </c>
      <c r="B20" s="54"/>
      <c r="C20" s="54"/>
      <c r="D20" s="54"/>
      <c r="E20" s="54"/>
      <c r="F20" s="55"/>
      <c r="G20" s="55"/>
      <c r="H20" s="56"/>
      <c r="I20" s="6"/>
      <c r="J20" s="6">
        <f>SUM(J17:J19)</f>
        <v>0</v>
      </c>
      <c r="K20" s="6">
        <f>SUM(K17:K19)</f>
        <v>0</v>
      </c>
      <c r="L20" s="6">
        <f>SUM(L17:L19)</f>
        <v>0</v>
      </c>
      <c r="M20" s="6">
        <f>SUM(M17:M19)</f>
        <v>0</v>
      </c>
      <c r="N20" s="6">
        <f>SUM(N17:N19)</f>
        <v>0</v>
      </c>
    </row>
    <row r="21" spans="1:14" ht="16.5">
      <c r="A21" s="48"/>
    </row>
    <row r="22" spans="1:14" ht="16.5">
      <c r="A22" s="48"/>
      <c r="F22" s="69" t="s">
        <v>80</v>
      </c>
      <c r="G22" s="70"/>
      <c r="H22" s="70"/>
      <c r="I22" s="71"/>
      <c r="J22" s="8" t="s">
        <v>81</v>
      </c>
      <c r="K22" s="7" t="s">
        <v>12</v>
      </c>
      <c r="L22" s="7" t="s">
        <v>13</v>
      </c>
      <c r="M22" s="7" t="s">
        <v>14</v>
      </c>
      <c r="N22" s="7" t="s">
        <v>15</v>
      </c>
    </row>
    <row r="23" spans="1:14" ht="16" customHeight="1">
      <c r="A23" s="48"/>
      <c r="F23" s="69" t="s">
        <v>18</v>
      </c>
      <c r="G23" s="70"/>
      <c r="H23" s="70"/>
      <c r="I23" s="71"/>
      <c r="J23" s="62">
        <f>J20</f>
        <v>0</v>
      </c>
      <c r="K23" s="62">
        <f>K20</f>
        <v>0</v>
      </c>
      <c r="L23" s="62">
        <f>L20</f>
        <v>0</v>
      </c>
      <c r="M23" s="62">
        <f>M20</f>
        <v>0</v>
      </c>
      <c r="N23" s="62">
        <f>N20</f>
        <v>0</v>
      </c>
    </row>
    <row r="24" spans="1:14" ht="16" customHeight="1">
      <c r="F24" s="69" t="s">
        <v>49</v>
      </c>
      <c r="G24" s="70"/>
      <c r="H24" s="70"/>
      <c r="I24" s="71"/>
      <c r="J24" s="62">
        <f>J3</f>
        <v>0</v>
      </c>
      <c r="K24" s="62">
        <f>K3</f>
        <v>0</v>
      </c>
      <c r="L24" s="62">
        <f>L3</f>
        <v>0</v>
      </c>
      <c r="M24" s="62">
        <f>M3</f>
        <v>0</v>
      </c>
      <c r="N24" s="62">
        <f>N3</f>
        <v>0</v>
      </c>
    </row>
  </sheetData>
  <mergeCells count="4">
    <mergeCell ref="M1:N1"/>
    <mergeCell ref="F23:I23"/>
    <mergeCell ref="F24:I24"/>
    <mergeCell ref="F22:I22"/>
  </mergeCells>
  <phoneticPr fontId="26" type="noConversion"/>
  <dataValidations count="2">
    <dataValidation type="list" allowBlank="1" showInputMessage="1" showErrorMessage="1" sqref="D4:D6 D9:D13" xr:uid="{00000000-0002-0000-0700-000001000000}">
      <formula1>$R$4:$R$10</formula1>
    </dataValidation>
    <dataValidation type="list" allowBlank="1" showInputMessage="1" showErrorMessage="1" sqref="C4:C13" xr:uid="{00000000-0002-0000-0700-000000000000}">
      <formula1>$Q$4:$Q$13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23AC-73D5-441A-9CA2-573D04119684}">
  <dimension ref="A1:L27"/>
  <sheetViews>
    <sheetView showGridLines="0" tabSelected="1" workbookViewId="0">
      <selection activeCell="I35" sqref="I35"/>
    </sheetView>
  </sheetViews>
  <sheetFormatPr defaultRowHeight="14"/>
  <cols>
    <col min="1" max="1" width="4.08203125" style="126" customWidth="1"/>
    <col min="2" max="2" width="12.75" style="126" customWidth="1"/>
    <col min="3" max="3" width="15.75" style="126" customWidth="1"/>
    <col min="4" max="4" width="13.25" style="126" customWidth="1"/>
    <col min="5" max="5" width="11.5" style="126" customWidth="1"/>
    <col min="6" max="6" width="11.58203125" style="126" customWidth="1"/>
    <col min="7" max="7" width="12.1640625" style="126" customWidth="1"/>
    <col min="8" max="8" width="11.58203125" style="126" customWidth="1"/>
    <col min="9" max="9" width="11.6640625" style="126" customWidth="1"/>
    <col min="10" max="10" width="11" style="126" customWidth="1"/>
    <col min="11" max="11" width="10.6640625" style="127" customWidth="1"/>
    <col min="12" max="12" width="9.83203125" style="126" customWidth="1"/>
    <col min="15" max="15" width="11.4140625" customWidth="1"/>
    <col min="17" max="17" width="14.9140625" customWidth="1"/>
  </cols>
  <sheetData>
    <row r="1" spans="1:12" ht="16.5">
      <c r="A1" s="85" t="s">
        <v>137</v>
      </c>
      <c r="B1" s="86"/>
      <c r="C1" s="85"/>
      <c r="D1" s="85"/>
      <c r="E1" s="86"/>
      <c r="F1" s="86"/>
      <c r="G1" s="86"/>
      <c r="H1" s="86"/>
      <c r="I1" s="85"/>
      <c r="J1" s="85"/>
      <c r="K1" s="85"/>
      <c r="L1" s="86"/>
    </row>
    <row r="2" spans="1:12" ht="14.5">
      <c r="A2" s="87" t="s">
        <v>100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ht="26">
      <c r="A3" s="88" t="s">
        <v>24</v>
      </c>
      <c r="B3" s="88" t="s">
        <v>101</v>
      </c>
      <c r="C3" s="89" t="s">
        <v>0</v>
      </c>
      <c r="D3" s="89" t="s">
        <v>102</v>
      </c>
      <c r="E3" s="90" t="s">
        <v>138</v>
      </c>
      <c r="F3" s="90" t="s">
        <v>139</v>
      </c>
      <c r="G3" s="90" t="s">
        <v>140</v>
      </c>
      <c r="H3" s="90" t="s">
        <v>103</v>
      </c>
      <c r="I3" s="92" t="s">
        <v>141</v>
      </c>
      <c r="J3" s="92" t="s">
        <v>142</v>
      </c>
      <c r="K3" s="92" t="s">
        <v>144</v>
      </c>
      <c r="L3" s="92" t="s">
        <v>104</v>
      </c>
    </row>
    <row r="4" spans="1:12">
      <c r="A4" s="93" t="s">
        <v>135</v>
      </c>
      <c r="B4" s="94"/>
      <c r="C4" s="94"/>
      <c r="D4" s="95"/>
      <c r="E4" s="128"/>
      <c r="F4" s="128" t="s">
        <v>136</v>
      </c>
      <c r="G4" s="128" t="s">
        <v>105</v>
      </c>
      <c r="H4" s="129"/>
      <c r="I4" s="91"/>
      <c r="J4" s="92"/>
      <c r="K4" s="92"/>
      <c r="L4" s="92"/>
    </row>
    <row r="5" spans="1:12">
      <c r="A5" s="96">
        <f>ROW()-4</f>
        <v>1</v>
      </c>
      <c r="B5" s="97" t="s">
        <v>106</v>
      </c>
      <c r="C5" s="98" t="s">
        <v>107</v>
      </c>
      <c r="D5" s="99" t="s">
        <v>108</v>
      </c>
      <c r="E5" s="100"/>
      <c r="F5" s="101"/>
      <c r="G5" s="102"/>
      <c r="H5" s="102"/>
      <c r="I5" s="102"/>
      <c r="J5" s="102"/>
      <c r="K5" s="102"/>
      <c r="L5" s="102">
        <f>SUM(E5:K5)</f>
        <v>0</v>
      </c>
    </row>
    <row r="6" spans="1:12">
      <c r="A6" s="96">
        <f t="shared" ref="A6:A24" si="0">ROW()-4</f>
        <v>2</v>
      </c>
      <c r="B6" s="97" t="s">
        <v>109</v>
      </c>
      <c r="C6" s="98" t="s">
        <v>110</v>
      </c>
      <c r="D6" s="99" t="s">
        <v>111</v>
      </c>
      <c r="E6" s="100"/>
      <c r="F6" s="101"/>
      <c r="G6" s="102"/>
      <c r="H6" s="102"/>
      <c r="I6" s="102"/>
      <c r="J6" s="102"/>
      <c r="K6" s="102"/>
      <c r="L6" s="102">
        <f>SUM(E6:K6)</f>
        <v>0</v>
      </c>
    </row>
    <row r="7" spans="1:12">
      <c r="A7" s="96">
        <f t="shared" si="0"/>
        <v>3</v>
      </c>
      <c r="B7" s="97" t="s">
        <v>112</v>
      </c>
      <c r="C7" s="98" t="s">
        <v>110</v>
      </c>
      <c r="D7" s="99" t="s">
        <v>113</v>
      </c>
      <c r="E7" s="100"/>
      <c r="F7" s="101"/>
      <c r="G7" s="102"/>
      <c r="H7" s="102"/>
      <c r="I7" s="102"/>
      <c r="J7" s="102"/>
      <c r="K7" s="102"/>
      <c r="L7" s="102">
        <f>SUM(E7:K7)</f>
        <v>0</v>
      </c>
    </row>
    <row r="8" spans="1:12">
      <c r="A8" s="96">
        <f t="shared" si="0"/>
        <v>4</v>
      </c>
      <c r="B8" s="97" t="s">
        <v>114</v>
      </c>
      <c r="C8" s="98" t="s">
        <v>110</v>
      </c>
      <c r="D8" s="99" t="s">
        <v>115</v>
      </c>
      <c r="E8" s="100"/>
      <c r="F8" s="101"/>
      <c r="G8" s="102"/>
      <c r="H8" s="102"/>
      <c r="I8" s="102"/>
      <c r="J8" s="102"/>
      <c r="K8" s="102"/>
      <c r="L8" s="102">
        <f>SUM(E8:K8)</f>
        <v>0</v>
      </c>
    </row>
    <row r="9" spans="1:12">
      <c r="A9" s="96">
        <f t="shared" si="0"/>
        <v>5</v>
      </c>
      <c r="B9" s="97" t="s">
        <v>116</v>
      </c>
      <c r="C9" s="98" t="s">
        <v>110</v>
      </c>
      <c r="D9" s="99" t="s">
        <v>117</v>
      </c>
      <c r="E9" s="100"/>
      <c r="F9" s="103"/>
      <c r="G9" s="102"/>
      <c r="H9" s="102"/>
      <c r="I9" s="102"/>
      <c r="J9" s="102"/>
      <c r="K9" s="102"/>
      <c r="L9" s="102">
        <f>SUM(E9:K9)</f>
        <v>0</v>
      </c>
    </row>
    <row r="10" spans="1:12">
      <c r="A10" s="96">
        <f t="shared" si="0"/>
        <v>6</v>
      </c>
      <c r="B10" s="97" t="s">
        <v>118</v>
      </c>
      <c r="C10" s="98" t="s">
        <v>110</v>
      </c>
      <c r="D10" s="99" t="s">
        <v>117</v>
      </c>
      <c r="E10" s="100"/>
      <c r="F10" s="103"/>
      <c r="G10" s="102"/>
      <c r="H10" s="102"/>
      <c r="I10" s="102"/>
      <c r="J10" s="102"/>
      <c r="K10" s="102"/>
      <c r="L10" s="102">
        <f>SUM(E10:K10)</f>
        <v>0</v>
      </c>
    </row>
    <row r="11" spans="1:12">
      <c r="A11" s="96">
        <f t="shared" si="0"/>
        <v>7</v>
      </c>
      <c r="B11" s="97" t="s">
        <v>119</v>
      </c>
      <c r="C11" s="98" t="s">
        <v>120</v>
      </c>
      <c r="D11" s="99" t="s">
        <v>121</v>
      </c>
      <c r="E11" s="100"/>
      <c r="F11" s="103"/>
      <c r="G11" s="102"/>
      <c r="H11" s="102"/>
      <c r="I11" s="102"/>
      <c r="J11" s="102"/>
      <c r="K11" s="102"/>
      <c r="L11" s="102">
        <f>SUM(E11:K11)</f>
        <v>0</v>
      </c>
    </row>
    <row r="12" spans="1:12">
      <c r="A12" s="96">
        <f t="shared" si="0"/>
        <v>8</v>
      </c>
      <c r="B12" s="97" t="s">
        <v>122</v>
      </c>
      <c r="C12" s="98" t="s">
        <v>120</v>
      </c>
      <c r="D12" s="99" t="s">
        <v>123</v>
      </c>
      <c r="E12" s="100"/>
      <c r="F12" s="103"/>
      <c r="G12" s="102"/>
      <c r="H12" s="102"/>
      <c r="I12" s="102"/>
      <c r="J12" s="102"/>
      <c r="K12" s="102"/>
      <c r="L12" s="102">
        <f>SUM(E12:K12)</f>
        <v>0</v>
      </c>
    </row>
    <row r="13" spans="1:12">
      <c r="A13" s="96">
        <f t="shared" si="0"/>
        <v>9</v>
      </c>
      <c r="B13" s="97" t="s">
        <v>124</v>
      </c>
      <c r="C13" s="98" t="s">
        <v>120</v>
      </c>
      <c r="D13" s="99" t="s">
        <v>125</v>
      </c>
      <c r="E13" s="100"/>
      <c r="F13" s="103"/>
      <c r="G13" s="102"/>
      <c r="H13" s="102"/>
      <c r="I13" s="102"/>
      <c r="J13" s="102"/>
      <c r="K13" s="102"/>
      <c r="L13" s="102">
        <f>SUM(E13:K13)</f>
        <v>0</v>
      </c>
    </row>
    <row r="14" spans="1:12">
      <c r="A14" s="96">
        <f t="shared" si="0"/>
        <v>10</v>
      </c>
      <c r="B14" s="97" t="s">
        <v>126</v>
      </c>
      <c r="C14" s="98" t="s">
        <v>127</v>
      </c>
      <c r="D14" s="99" t="s">
        <v>128</v>
      </c>
      <c r="E14" s="100"/>
      <c r="F14" s="103"/>
      <c r="G14" s="102"/>
      <c r="H14" s="102"/>
      <c r="I14" s="102"/>
      <c r="J14" s="102"/>
      <c r="K14" s="102"/>
      <c r="L14" s="102">
        <f>SUM(E14:K14)</f>
        <v>0</v>
      </c>
    </row>
    <row r="15" spans="1:12">
      <c r="A15" s="96">
        <f t="shared" si="0"/>
        <v>11</v>
      </c>
      <c r="B15" s="97" t="s">
        <v>129</v>
      </c>
      <c r="C15" s="98" t="s">
        <v>130</v>
      </c>
      <c r="D15" s="104" t="s">
        <v>131</v>
      </c>
      <c r="E15" s="100"/>
      <c r="F15" s="103"/>
      <c r="G15" s="102"/>
      <c r="H15" s="102"/>
      <c r="I15" s="102"/>
      <c r="J15" s="102"/>
      <c r="K15" s="102"/>
      <c r="L15" s="102">
        <f>SUM(E15:K15)</f>
        <v>0</v>
      </c>
    </row>
    <row r="16" spans="1:12">
      <c r="A16" s="96">
        <f t="shared" si="0"/>
        <v>12</v>
      </c>
      <c r="B16" s="105" t="s">
        <v>132</v>
      </c>
      <c r="C16" s="106" t="s">
        <v>130</v>
      </c>
      <c r="D16" s="107" t="s">
        <v>133</v>
      </c>
      <c r="E16" s="100"/>
      <c r="F16" s="103"/>
      <c r="G16" s="102"/>
      <c r="H16" s="102"/>
      <c r="I16" s="102"/>
      <c r="J16" s="102"/>
      <c r="K16" s="102"/>
      <c r="L16" s="102">
        <f>SUM(E16:K16)</f>
        <v>0</v>
      </c>
    </row>
    <row r="17" spans="1:12">
      <c r="A17" s="96">
        <f t="shared" si="0"/>
        <v>13</v>
      </c>
      <c r="B17" s="108"/>
      <c r="C17" s="109"/>
      <c r="D17" s="110"/>
      <c r="E17" s="102"/>
      <c r="F17" s="102"/>
      <c r="G17" s="102"/>
      <c r="H17" s="102"/>
      <c r="I17" s="102"/>
      <c r="J17" s="102"/>
      <c r="K17" s="102"/>
      <c r="L17" s="102">
        <f>SUM(E17:K17)</f>
        <v>0</v>
      </c>
    </row>
    <row r="18" spans="1:12">
      <c r="A18" s="96">
        <f t="shared" si="0"/>
        <v>14</v>
      </c>
      <c r="B18" s="108"/>
      <c r="C18" s="109"/>
      <c r="D18" s="110"/>
      <c r="E18" s="111"/>
      <c r="F18" s="102"/>
      <c r="G18" s="102"/>
      <c r="H18" s="102"/>
      <c r="I18" s="102"/>
      <c r="J18" s="102"/>
      <c r="K18" s="102"/>
      <c r="L18" s="102">
        <f>SUM(E18:K18)</f>
        <v>0</v>
      </c>
    </row>
    <row r="19" spans="1:12">
      <c r="A19" s="96">
        <f t="shared" si="0"/>
        <v>15</v>
      </c>
      <c r="B19" s="112"/>
      <c r="C19" s="112"/>
      <c r="D19" s="110"/>
      <c r="E19" s="111"/>
      <c r="F19" s="102"/>
      <c r="G19" s="102"/>
      <c r="H19" s="102"/>
      <c r="I19" s="102"/>
      <c r="J19" s="102"/>
      <c r="K19" s="102"/>
      <c r="L19" s="102">
        <f>SUM(E19:K19)</f>
        <v>0</v>
      </c>
    </row>
    <row r="20" spans="1:12">
      <c r="A20" s="96">
        <f t="shared" si="0"/>
        <v>16</v>
      </c>
      <c r="B20" s="113"/>
      <c r="C20" s="99"/>
      <c r="D20" s="104"/>
      <c r="E20" s="114"/>
      <c r="F20" s="102"/>
      <c r="G20" s="102"/>
      <c r="H20" s="102"/>
      <c r="I20" s="102"/>
      <c r="J20" s="102"/>
      <c r="K20" s="102"/>
      <c r="L20" s="102">
        <f>SUM(E20:K20)</f>
        <v>0</v>
      </c>
    </row>
    <row r="21" spans="1:12">
      <c r="A21" s="96">
        <f t="shared" si="0"/>
        <v>17</v>
      </c>
      <c r="B21" s="99"/>
      <c r="C21" s="99"/>
      <c r="D21" s="90"/>
      <c r="E21" s="102"/>
      <c r="F21" s="102"/>
      <c r="G21" s="102"/>
      <c r="H21" s="102"/>
      <c r="I21" s="102"/>
      <c r="J21" s="102"/>
      <c r="K21" s="102"/>
      <c r="L21" s="102">
        <f>SUM(E21:K21)</f>
        <v>0</v>
      </c>
    </row>
    <row r="22" spans="1:12">
      <c r="A22" s="96">
        <f t="shared" si="0"/>
        <v>18</v>
      </c>
      <c r="B22" s="115"/>
      <c r="C22" s="116"/>
      <c r="D22" s="117"/>
      <c r="E22" s="118"/>
      <c r="F22" s="118"/>
      <c r="G22" s="118"/>
      <c r="H22" s="118"/>
      <c r="I22" s="118"/>
      <c r="J22" s="118"/>
      <c r="K22" s="119"/>
      <c r="L22" s="102">
        <f>SUM(E22:K22)</f>
        <v>0</v>
      </c>
    </row>
    <row r="23" spans="1:12">
      <c r="A23" s="96">
        <f t="shared" si="0"/>
        <v>19</v>
      </c>
      <c r="B23" s="115"/>
      <c r="C23" s="110"/>
      <c r="D23" s="120"/>
      <c r="E23" s="121"/>
      <c r="F23" s="121"/>
      <c r="G23" s="121"/>
      <c r="H23" s="121"/>
      <c r="I23" s="121"/>
      <c r="J23" s="121"/>
      <c r="K23" s="122"/>
      <c r="L23" s="102">
        <f>SUM(E23:K23)</f>
        <v>0</v>
      </c>
    </row>
    <row r="24" spans="1:12">
      <c r="A24" s="96">
        <f t="shared" si="0"/>
        <v>20</v>
      </c>
      <c r="B24" s="99"/>
      <c r="C24" s="99"/>
      <c r="D24" s="99"/>
      <c r="E24" s="102"/>
      <c r="F24" s="102"/>
      <c r="G24" s="102"/>
      <c r="H24" s="102"/>
      <c r="I24" s="102"/>
      <c r="J24" s="102"/>
      <c r="K24" s="102"/>
      <c r="L24" s="102">
        <f>SUM(E24:K24)</f>
        <v>0</v>
      </c>
    </row>
    <row r="25" spans="1:12">
      <c r="A25" s="123" t="s">
        <v>134</v>
      </c>
      <c r="B25" s="124"/>
      <c r="C25" s="124"/>
      <c r="D25" s="125"/>
      <c r="E25" s="102">
        <f t="shared" ref="E25:L25" si="1">SUM(E5:E24)</f>
        <v>0</v>
      </c>
      <c r="F25" s="102">
        <f t="shared" si="1"/>
        <v>0</v>
      </c>
      <c r="G25" s="102">
        <f t="shared" si="1"/>
        <v>0</v>
      </c>
      <c r="H25" s="102">
        <f t="shared" si="1"/>
        <v>0</v>
      </c>
      <c r="I25" s="102">
        <f t="shared" si="1"/>
        <v>0</v>
      </c>
      <c r="J25" s="102">
        <f t="shared" si="1"/>
        <v>0</v>
      </c>
      <c r="K25" s="102">
        <f t="shared" si="1"/>
        <v>0</v>
      </c>
      <c r="L25" s="102">
        <f t="shared" si="1"/>
        <v>0</v>
      </c>
    </row>
    <row r="27" spans="1:12" ht="26">
      <c r="E27" s="131" t="s">
        <v>148</v>
      </c>
      <c r="F27" s="131" t="s">
        <v>148</v>
      </c>
      <c r="G27" s="131" t="s">
        <v>148</v>
      </c>
      <c r="H27" s="131" t="s">
        <v>148</v>
      </c>
      <c r="I27" s="131" t="s">
        <v>145</v>
      </c>
      <c r="J27" s="131" t="s">
        <v>146</v>
      </c>
      <c r="K27" s="131" t="s">
        <v>147</v>
      </c>
      <c r="L27" s="131"/>
    </row>
  </sheetData>
  <mergeCells count="4">
    <mergeCell ref="A1:L1"/>
    <mergeCell ref="A2:L2"/>
    <mergeCell ref="A4:D4"/>
    <mergeCell ref="A25:D25"/>
  </mergeCells>
  <phoneticPr fontId="2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02A667-48C8-460A-BE6E-57C34C8A39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研发预算</vt:lpstr>
      <vt:lpstr>资产预算</vt:lpstr>
      <vt:lpstr>人员工时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张 海霞</cp:lastModifiedBy>
  <dcterms:created xsi:type="dcterms:W3CDTF">2022-12-26T01:29:00Z</dcterms:created>
  <dcterms:modified xsi:type="dcterms:W3CDTF">2025-12-16T03:42:52Z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E8F4C4EBB4AF4CD6A36F955DDB832457_12</vt:lpwstr>
  </property>
  <property fmtid="{D5CDD505-2E9C-101B-9397-08002B2CF9AE}" pid="3" name="KSOProductBuildVer">
    <vt:lpwstr>2052-12.1.0.19302</vt:lpwstr>
  </property>
</Properties>
</file>