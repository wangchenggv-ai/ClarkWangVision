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hang\Desktop\我的文档\3、苏州高视高清\"/>
    </mc:Choice>
  </mc:AlternateContent>
  <xr:revisionPtr revIDLastSave="0" documentId="13_ncr:1_{0FDC51E1-79AC-4E3E-BFFC-E1D01773506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经营预测" sheetId="1" r:id="rId1"/>
    <sheet name="收入预测" sheetId="3" r:id="rId2"/>
    <sheet name="费用预测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L15" i="3"/>
  <c r="L14" i="3"/>
  <c r="L13" i="3"/>
  <c r="L12" i="3"/>
  <c r="L11" i="3"/>
  <c r="L7" i="3"/>
  <c r="L6" i="3"/>
  <c r="L5" i="3"/>
  <c r="L4" i="3"/>
  <c r="L3" i="3"/>
  <c r="L16" i="3" l="1"/>
  <c r="M16" i="3" s="1"/>
  <c r="L8" i="3"/>
  <c r="M8" i="3" s="1"/>
  <c r="H25" i="1" l="1"/>
  <c r="I25" i="1"/>
  <c r="J25" i="1"/>
  <c r="K25" i="1"/>
  <c r="G25" i="1"/>
  <c r="H10" i="1"/>
  <c r="G10" i="1"/>
  <c r="D30" i="1"/>
  <c r="E30" i="1"/>
  <c r="F30" i="1"/>
  <c r="C30" i="1"/>
  <c r="O28" i="1"/>
  <c r="P28" i="1"/>
  <c r="N28" i="1"/>
  <c r="V3" i="1"/>
  <c r="V4" i="1"/>
  <c r="V5" i="1"/>
  <c r="V13" i="1"/>
  <c r="V14" i="1"/>
  <c r="V15" i="1"/>
  <c r="V16" i="1"/>
  <c r="V17" i="1"/>
  <c r="V18" i="1"/>
  <c r="V19" i="1"/>
  <c r="V20" i="1"/>
  <c r="V21" i="1"/>
  <c r="V6" i="1"/>
  <c r="H19" i="1"/>
  <c r="I19" i="1"/>
  <c r="J19" i="1"/>
  <c r="K19" i="1"/>
  <c r="G19" i="1"/>
  <c r="H14" i="1"/>
  <c r="I14" i="1"/>
  <c r="J14" i="1"/>
  <c r="K14" i="1"/>
  <c r="T7" i="1"/>
  <c r="U7" i="1"/>
  <c r="G5" i="1"/>
  <c r="H5" i="1"/>
  <c r="F6" i="1"/>
  <c r="D6" i="1"/>
  <c r="E6" i="1" s="1"/>
  <c r="G6" i="1" s="1"/>
  <c r="C5" i="1"/>
  <c r="C6" i="1"/>
  <c r="G22" i="1"/>
  <c r="C12" i="1"/>
  <c r="L29" i="1"/>
  <c r="E17" i="1"/>
  <c r="G17" i="1" s="1"/>
  <c r="H17" i="1" s="1"/>
  <c r="I17" i="1" s="1"/>
  <c r="J17" i="1" s="1"/>
  <c r="K17" i="1" s="1"/>
  <c r="D12" i="1"/>
  <c r="E12" i="1" s="1"/>
  <c r="G12" i="1" s="1"/>
  <c r="H12" i="1" s="1"/>
  <c r="I12" i="1" s="1"/>
  <c r="J12" i="1" s="1"/>
  <c r="K12" i="1" s="1"/>
  <c r="P9" i="1"/>
  <c r="D5" i="1"/>
  <c r="E5" i="1" s="1"/>
  <c r="E22" i="1"/>
  <c r="D23" i="1"/>
  <c r="C23" i="1"/>
  <c r="D18" i="1"/>
  <c r="E18" i="1" s="1"/>
  <c r="G18" i="1" s="1"/>
  <c r="H18" i="1" s="1"/>
  <c r="I18" i="1" s="1"/>
  <c r="J18" i="1" s="1"/>
  <c r="K18" i="1" s="1"/>
  <c r="C18" i="1"/>
  <c r="I24" i="1"/>
  <c r="J24" i="1"/>
  <c r="H24" i="1"/>
  <c r="G24" i="1"/>
  <c r="F15" i="1"/>
  <c r="D67" i="2"/>
  <c r="E67" i="2" s="1"/>
  <c r="D68" i="2"/>
  <c r="E68" i="2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/>
  <c r="D75" i="2"/>
  <c r="E75" i="2" s="1"/>
  <c r="D76" i="2"/>
  <c r="E76" i="2"/>
  <c r="D77" i="2"/>
  <c r="E77" i="2" s="1"/>
  <c r="D78" i="2"/>
  <c r="E78" i="2"/>
  <c r="D79" i="2"/>
  <c r="E79" i="2" s="1"/>
  <c r="D56" i="2"/>
  <c r="E56" i="2" s="1"/>
  <c r="D57" i="2"/>
  <c r="E57" i="2" s="1"/>
  <c r="D58" i="2"/>
  <c r="E58" i="2" s="1"/>
  <c r="D59" i="2"/>
  <c r="E59" i="2"/>
  <c r="D60" i="2"/>
  <c r="E60" i="2" s="1"/>
  <c r="D61" i="2"/>
  <c r="E61" i="2" s="1"/>
  <c r="D62" i="2"/>
  <c r="E62" i="2"/>
  <c r="D63" i="2"/>
  <c r="E63" i="2"/>
  <c r="D64" i="2"/>
  <c r="E64" i="2" s="1"/>
  <c r="D65" i="2"/>
  <c r="E65" i="2" s="1"/>
  <c r="D66" i="2"/>
  <c r="E66" i="2" s="1"/>
  <c r="L23" i="3"/>
  <c r="L21" i="3"/>
  <c r="X15" i="3"/>
  <c r="X7" i="3"/>
  <c r="S15" i="3"/>
  <c r="S7" i="3"/>
  <c r="Q14" i="3"/>
  <c r="R14" i="3"/>
  <c r="R13" i="3"/>
  <c r="R12" i="3"/>
  <c r="S12" i="3" s="1"/>
  <c r="R11" i="3"/>
  <c r="T11" i="3" s="1"/>
  <c r="X11" i="3" s="1"/>
  <c r="R6" i="3"/>
  <c r="T6" i="3" s="1"/>
  <c r="X6" i="3" s="1"/>
  <c r="R5" i="3"/>
  <c r="T5" i="3" s="1"/>
  <c r="X5" i="3" s="1"/>
  <c r="R4" i="3"/>
  <c r="S4" i="3" s="1"/>
  <c r="R3" i="3"/>
  <c r="T3" i="3" s="1"/>
  <c r="X3" i="3" s="1"/>
  <c r="F22" i="3"/>
  <c r="G22" i="3" s="1"/>
  <c r="F21" i="3"/>
  <c r="H21" i="3" s="1"/>
  <c r="F20" i="3"/>
  <c r="H20" i="3" s="1"/>
  <c r="L20" i="3" s="1"/>
  <c r="F19" i="3"/>
  <c r="H19" i="3" s="1"/>
  <c r="L19" i="3" s="1"/>
  <c r="F14" i="3"/>
  <c r="H14" i="3" s="1"/>
  <c r="F13" i="3"/>
  <c r="G13" i="3" s="1"/>
  <c r="F12" i="3"/>
  <c r="G12" i="3" s="1"/>
  <c r="F11" i="3"/>
  <c r="G11" i="3" s="1"/>
  <c r="F6" i="3"/>
  <c r="G6" i="3" s="1"/>
  <c r="F5" i="3"/>
  <c r="H5" i="3" s="1"/>
  <c r="F4" i="3"/>
  <c r="G4" i="3" s="1"/>
  <c r="B32" i="3"/>
  <c r="C35" i="3" s="1"/>
  <c r="B41" i="3"/>
  <c r="B43" i="3" s="1"/>
  <c r="B33" i="3"/>
  <c r="B37" i="3" s="1"/>
  <c r="F54" i="3"/>
  <c r="F55" i="3" s="1"/>
  <c r="F57" i="3" s="1"/>
  <c r="G50" i="3"/>
  <c r="G49" i="3"/>
  <c r="G48" i="3"/>
  <c r="F51" i="3"/>
  <c r="J56" i="3"/>
  <c r="J58" i="3" s="1"/>
  <c r="J51" i="3"/>
  <c r="J41" i="3"/>
  <c r="J43" i="3" s="1"/>
  <c r="F41" i="3"/>
  <c r="F43" i="3" s="1"/>
  <c r="J36" i="3"/>
  <c r="F36" i="3"/>
  <c r="K35" i="3"/>
  <c r="K34" i="3"/>
  <c r="K33" i="3"/>
  <c r="G35" i="3"/>
  <c r="G34" i="3"/>
  <c r="G33" i="3"/>
  <c r="G36" i="3" s="1"/>
  <c r="E28" i="3"/>
  <c r="U14" i="3"/>
  <c r="V14" i="3" s="1"/>
  <c r="T14" i="3"/>
  <c r="X14" i="3" s="1"/>
  <c r="U13" i="3"/>
  <c r="U12" i="3"/>
  <c r="U11" i="3"/>
  <c r="U6" i="3"/>
  <c r="V6" i="3" s="1"/>
  <c r="U5" i="3"/>
  <c r="V5" i="3" s="1"/>
  <c r="U4" i="3"/>
  <c r="V4" i="3" s="1"/>
  <c r="U3" i="3"/>
  <c r="V3" i="3" s="1"/>
  <c r="P13" i="1"/>
  <c r="P7" i="1"/>
  <c r="I22" i="3"/>
  <c r="J22" i="3" s="1"/>
  <c r="I21" i="3"/>
  <c r="J21" i="3" s="1"/>
  <c r="I20" i="3"/>
  <c r="J20" i="3" s="1"/>
  <c r="I19" i="3"/>
  <c r="J19" i="3" s="1"/>
  <c r="I14" i="3"/>
  <c r="J14" i="3" s="1"/>
  <c r="I13" i="3"/>
  <c r="J13" i="3" s="1"/>
  <c r="I12" i="3"/>
  <c r="J12" i="3" s="1"/>
  <c r="I11" i="3"/>
  <c r="J11" i="3" s="1"/>
  <c r="J6" i="3"/>
  <c r="I5" i="3"/>
  <c r="J5" i="3" s="1"/>
  <c r="I4" i="3"/>
  <c r="J4" i="3" s="1"/>
  <c r="I3" i="3"/>
  <c r="J3" i="3" s="1"/>
  <c r="F3" i="3"/>
  <c r="H3" i="3" s="1"/>
  <c r="H6" i="1" l="1"/>
  <c r="I6" i="1" s="1"/>
  <c r="I5" i="1"/>
  <c r="J6" i="1"/>
  <c r="D13" i="1"/>
  <c r="H22" i="1"/>
  <c r="C36" i="3"/>
  <c r="V11" i="3"/>
  <c r="V12" i="3"/>
  <c r="T13" i="3"/>
  <c r="X13" i="3" s="1"/>
  <c r="V13" i="3"/>
  <c r="C34" i="3"/>
  <c r="C33" i="3"/>
  <c r="K36" i="3"/>
  <c r="G51" i="3"/>
  <c r="T4" i="3"/>
  <c r="T12" i="3"/>
  <c r="X12" i="3" s="1"/>
  <c r="X16" i="3" s="1"/>
  <c r="V8" i="3"/>
  <c r="S13" i="3"/>
  <c r="S14" i="3"/>
  <c r="S11" i="3"/>
  <c r="S5" i="3"/>
  <c r="S6" i="3"/>
  <c r="S3" i="3"/>
  <c r="G5" i="3"/>
  <c r="H13" i="3"/>
  <c r="H11" i="3"/>
  <c r="H6" i="3"/>
  <c r="J16" i="3"/>
  <c r="J8" i="3"/>
  <c r="H12" i="3"/>
  <c r="H4" i="3"/>
  <c r="G3" i="3"/>
  <c r="G19" i="3"/>
  <c r="G21" i="3"/>
  <c r="H22" i="3"/>
  <c r="L22" i="3" s="1"/>
  <c r="L24" i="3" s="1"/>
  <c r="G14" i="3"/>
  <c r="G20" i="3"/>
  <c r="J5" i="1" l="1"/>
  <c r="K6" i="1"/>
  <c r="I22" i="1"/>
  <c r="C37" i="3"/>
  <c r="T8" i="3"/>
  <c r="X4" i="3"/>
  <c r="X8" i="3" s="1"/>
  <c r="Y8" i="3" s="1"/>
  <c r="J31" i="1" s="1"/>
  <c r="V16" i="3"/>
  <c r="T16" i="3"/>
  <c r="K3" i="1" s="1"/>
  <c r="S8" i="3"/>
  <c r="W8" i="3"/>
  <c r="J3" i="1"/>
  <c r="J4" i="1" s="1"/>
  <c r="K16" i="3"/>
  <c r="K8" i="3"/>
  <c r="W16" i="3"/>
  <c r="S16" i="3"/>
  <c r="J24" i="3"/>
  <c r="G16" i="3"/>
  <c r="H24" i="3"/>
  <c r="M24" i="3" s="1"/>
  <c r="I31" i="1" s="1"/>
  <c r="G24" i="3"/>
  <c r="H8" i="3"/>
  <c r="G3" i="1" s="1"/>
  <c r="G4" i="1" s="1"/>
  <c r="Q7" i="1" s="1"/>
  <c r="G8" i="3"/>
  <c r="H16" i="3"/>
  <c r="K5" i="1" l="1"/>
  <c r="J22" i="1"/>
  <c r="Y16" i="3"/>
  <c r="K31" i="1" s="1"/>
  <c r="K4" i="1" s="1"/>
  <c r="K7" i="1" s="1"/>
  <c r="I3" i="1"/>
  <c r="J32" i="1" s="1"/>
  <c r="K24" i="3"/>
  <c r="H3" i="1"/>
  <c r="D82" i="2"/>
  <c r="E82" i="2"/>
  <c r="D81" i="2"/>
  <c r="E81" i="2" s="1"/>
  <c r="P10" i="1"/>
  <c r="P17" i="1"/>
  <c r="P18" i="1" s="1"/>
  <c r="N21" i="1"/>
  <c r="N22" i="1" s="1"/>
  <c r="N18" i="1"/>
  <c r="N14" i="1"/>
  <c r="N15" i="1" s="1"/>
  <c r="N11" i="1"/>
  <c r="N6" i="1"/>
  <c r="E11" i="1"/>
  <c r="G11" i="1" s="1"/>
  <c r="N26" i="2"/>
  <c r="N25" i="2"/>
  <c r="P21" i="1"/>
  <c r="Q21" i="1" s="1"/>
  <c r="R21" i="1" s="1"/>
  <c r="S21" i="1" s="1"/>
  <c r="T21" i="1" s="1"/>
  <c r="U21" i="1" s="1"/>
  <c r="P20" i="1"/>
  <c r="P4" i="1"/>
  <c r="Q18" i="1"/>
  <c r="R18" i="1"/>
  <c r="S18" i="1"/>
  <c r="T18" i="1"/>
  <c r="U18" i="1"/>
  <c r="P14" i="1"/>
  <c r="P15" i="1" s="1"/>
  <c r="Q14" i="1"/>
  <c r="Q15" i="1" s="1"/>
  <c r="R14" i="1"/>
  <c r="R15" i="1" s="1"/>
  <c r="S14" i="1"/>
  <c r="S15" i="1" s="1"/>
  <c r="T14" i="1"/>
  <c r="T15" i="1" s="1"/>
  <c r="U14" i="1"/>
  <c r="U15" i="1" s="1"/>
  <c r="Q3" i="1"/>
  <c r="T3" i="1"/>
  <c r="U3" i="1"/>
  <c r="P3" i="1"/>
  <c r="O22" i="1"/>
  <c r="O18" i="1"/>
  <c r="O14" i="1"/>
  <c r="O15" i="1" s="1"/>
  <c r="O11" i="1"/>
  <c r="O6" i="1"/>
  <c r="H26" i="1"/>
  <c r="E21" i="1"/>
  <c r="G21" i="1" s="1"/>
  <c r="D51" i="2"/>
  <c r="E51" i="2" s="1"/>
  <c r="J32" i="2" s="1"/>
  <c r="K32" i="2" s="1"/>
  <c r="D52" i="2"/>
  <c r="E52" i="2" s="1"/>
  <c r="J33" i="2" s="1"/>
  <c r="K33" i="2" s="1"/>
  <c r="D53" i="2"/>
  <c r="E53" i="2" s="1"/>
  <c r="J34" i="2" s="1"/>
  <c r="K34" i="2" s="1"/>
  <c r="D54" i="2"/>
  <c r="E54" i="2" s="1"/>
  <c r="J35" i="2" s="1"/>
  <c r="K35" i="2" s="1"/>
  <c r="D55" i="2"/>
  <c r="E55" i="2" s="1"/>
  <c r="D50" i="2"/>
  <c r="E50" i="2" s="1"/>
  <c r="D46" i="2"/>
  <c r="E46" i="2" s="1"/>
  <c r="D47" i="2"/>
  <c r="E47" i="2" s="1"/>
  <c r="D48" i="2"/>
  <c r="E48" i="2"/>
  <c r="D49" i="2"/>
  <c r="E49" i="2"/>
  <c r="D45" i="2"/>
  <c r="E45" i="2" s="1"/>
  <c r="D41" i="2"/>
  <c r="E41" i="2" s="1"/>
  <c r="D42" i="2"/>
  <c r="E42" i="2" s="1"/>
  <c r="D43" i="2"/>
  <c r="E43" i="2"/>
  <c r="D44" i="2"/>
  <c r="E44" i="2" s="1"/>
  <c r="D40" i="2"/>
  <c r="E40" i="2" s="1"/>
  <c r="J13" i="2"/>
  <c r="K13" i="2" s="1"/>
  <c r="K14" i="2"/>
  <c r="K12" i="2"/>
  <c r="E16" i="1"/>
  <c r="G16" i="1" s="1"/>
  <c r="H16" i="1" s="1"/>
  <c r="I16" i="1" s="1"/>
  <c r="J16" i="1" s="1"/>
  <c r="K16" i="1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28" i="2"/>
  <c r="E28" i="2" s="1"/>
  <c r="D29" i="2"/>
  <c r="E29" i="2" s="1"/>
  <c r="D30" i="2"/>
  <c r="E30" i="2"/>
  <c r="D31" i="2"/>
  <c r="E31" i="2" s="1"/>
  <c r="D32" i="2"/>
  <c r="E32" i="2" s="1"/>
  <c r="D27" i="2"/>
  <c r="E27" i="2" s="1"/>
  <c r="D24" i="2"/>
  <c r="E24" i="2" s="1"/>
  <c r="D25" i="2"/>
  <c r="E25" i="2" s="1"/>
  <c r="D26" i="2"/>
  <c r="E26" i="2" s="1"/>
  <c r="D23" i="2"/>
  <c r="E23" i="2" s="1"/>
  <c r="D18" i="2"/>
  <c r="E18" i="2" s="1"/>
  <c r="D19" i="2"/>
  <c r="E19" i="2" s="1"/>
  <c r="D20" i="2"/>
  <c r="E20" i="2"/>
  <c r="D21" i="2"/>
  <c r="E21" i="2" s="1"/>
  <c r="D22" i="2"/>
  <c r="E22" i="2" s="1"/>
  <c r="D17" i="2"/>
  <c r="E17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E23" i="1"/>
  <c r="G23" i="1" s="1"/>
  <c r="H23" i="1" s="1"/>
  <c r="I23" i="1" s="1"/>
  <c r="J23" i="1" s="1"/>
  <c r="K23" i="1" s="1"/>
  <c r="K32" i="1"/>
  <c r="H32" i="1"/>
  <c r="C13" i="1"/>
  <c r="E13" i="1"/>
  <c r="G13" i="1" s="1"/>
  <c r="H13" i="1" s="1"/>
  <c r="I13" i="1" s="1"/>
  <c r="J13" i="1" s="1"/>
  <c r="K13" i="1" s="1"/>
  <c r="J7" i="1"/>
  <c r="G7" i="1"/>
  <c r="D7" i="1"/>
  <c r="D31" i="1" s="1"/>
  <c r="E7" i="1"/>
  <c r="E31" i="1" s="1"/>
  <c r="C7" i="1"/>
  <c r="C31" i="1" s="1"/>
  <c r="H11" i="1" l="1"/>
  <c r="H21" i="1"/>
  <c r="Q10" i="1"/>
  <c r="K22" i="1"/>
  <c r="P22" i="1"/>
  <c r="U6" i="1"/>
  <c r="K8" i="1"/>
  <c r="Q6" i="1"/>
  <c r="G8" i="1"/>
  <c r="T6" i="1"/>
  <c r="J8" i="1"/>
  <c r="J31" i="2"/>
  <c r="K31" i="2" s="1"/>
  <c r="E80" i="2"/>
  <c r="N28" i="2"/>
  <c r="K15" i="2"/>
  <c r="E83" i="2"/>
  <c r="E20" i="1"/>
  <c r="H4" i="1"/>
  <c r="I4" i="1"/>
  <c r="S7" i="1" s="1"/>
  <c r="S3" i="1"/>
  <c r="R3" i="1"/>
  <c r="I32" i="1"/>
  <c r="T9" i="1"/>
  <c r="N23" i="1"/>
  <c r="N12" i="1"/>
  <c r="Q9" i="1"/>
  <c r="U9" i="1"/>
  <c r="P23" i="1"/>
  <c r="P6" i="1"/>
  <c r="Q22" i="1"/>
  <c r="O12" i="1"/>
  <c r="O23" i="1"/>
  <c r="E39" i="2"/>
  <c r="E15" i="1" s="1"/>
  <c r="G15" i="1" s="1"/>
  <c r="E15" i="2"/>
  <c r="E10" i="1" s="1"/>
  <c r="D29" i="1"/>
  <c r="C29" i="1"/>
  <c r="Q23" i="1" l="1"/>
  <c r="I7" i="1"/>
  <c r="H7" i="1"/>
  <c r="R7" i="1"/>
  <c r="I11" i="1"/>
  <c r="H15" i="1"/>
  <c r="G14" i="1"/>
  <c r="E19" i="1"/>
  <c r="I21" i="1"/>
  <c r="R10" i="1"/>
  <c r="S6" i="1"/>
  <c r="I8" i="1"/>
  <c r="S9" i="1"/>
  <c r="R6" i="1"/>
  <c r="F20" i="1"/>
  <c r="P8" i="1"/>
  <c r="N24" i="1"/>
  <c r="O24" i="1"/>
  <c r="R22" i="1"/>
  <c r="R23" i="1" s="1"/>
  <c r="E9" i="1"/>
  <c r="R9" i="1" l="1"/>
  <c r="V9" i="1" s="1"/>
  <c r="V7" i="1"/>
  <c r="J11" i="1"/>
  <c r="H8" i="1"/>
  <c r="I10" i="1"/>
  <c r="J21" i="1"/>
  <c r="S10" i="1"/>
  <c r="G20" i="1"/>
  <c r="I15" i="1"/>
  <c r="N26" i="1"/>
  <c r="O25" i="1" s="1"/>
  <c r="P25" i="1" s="1"/>
  <c r="O26" i="1"/>
  <c r="S22" i="1"/>
  <c r="S23" i="1" s="1"/>
  <c r="P11" i="1"/>
  <c r="P12" i="1" s="1"/>
  <c r="P24" i="1" s="1"/>
  <c r="H20" i="1" l="1"/>
  <c r="Q8" i="1"/>
  <c r="J10" i="1"/>
  <c r="K11" i="1"/>
  <c r="J15" i="1"/>
  <c r="K21" i="1"/>
  <c r="T10" i="1"/>
  <c r="P26" i="1"/>
  <c r="U22" i="1"/>
  <c r="U23" i="1" s="1"/>
  <c r="T22" i="1"/>
  <c r="T23" i="1" s="1"/>
  <c r="V23" i="1" s="1"/>
  <c r="Q11" i="1"/>
  <c r="Q12" i="1" s="1"/>
  <c r="Q24" i="1" s="1"/>
  <c r="Q28" i="1" s="1"/>
  <c r="V22" i="1" l="1"/>
  <c r="U10" i="1"/>
  <c r="V10" i="1" s="1"/>
  <c r="K10" i="1"/>
  <c r="I20" i="1"/>
  <c r="R8" i="1"/>
  <c r="R11" i="1" s="1"/>
  <c r="K15" i="1"/>
  <c r="Q26" i="1"/>
  <c r="R12" i="1" l="1"/>
  <c r="J20" i="1"/>
  <c r="S8" i="1"/>
  <c r="S11" i="1"/>
  <c r="S12" i="1" s="1"/>
  <c r="S24" i="1" s="1"/>
  <c r="S28" i="1" l="1"/>
  <c r="R24" i="1"/>
  <c r="K20" i="1"/>
  <c r="T8" i="1"/>
  <c r="S26" i="1"/>
  <c r="T11" i="1"/>
  <c r="T12" i="1" s="1"/>
  <c r="T24" i="1" s="1"/>
  <c r="T28" i="1" l="1"/>
  <c r="R28" i="1"/>
  <c r="R26" i="1"/>
  <c r="S27" i="1" s="1"/>
  <c r="T26" i="1"/>
  <c r="G9" i="1"/>
  <c r="H9" i="1" s="1"/>
  <c r="I9" i="1" l="1"/>
  <c r="J9" i="1" l="1"/>
  <c r="K9" i="1" l="1"/>
  <c r="E14" i="1"/>
  <c r="E29" i="1" l="1"/>
  <c r="G29" i="1"/>
  <c r="G30" i="1" s="1"/>
  <c r="H29" i="1" l="1"/>
  <c r="H30" i="1" s="1"/>
  <c r="I29" i="1" l="1"/>
  <c r="I30" i="1" s="1"/>
  <c r="J29" i="1" l="1"/>
  <c r="J30" i="1" s="1"/>
  <c r="K29" i="1"/>
  <c r="K30" i="1" s="1"/>
  <c r="U8" i="1" l="1"/>
  <c r="U11" i="1" l="1"/>
  <c r="V8" i="1"/>
  <c r="U12" i="1" l="1"/>
  <c r="V11" i="1"/>
  <c r="U24" i="1" l="1"/>
  <c r="V12" i="1"/>
  <c r="W11" i="1" s="1"/>
  <c r="V24" i="1" l="1"/>
  <c r="W24" i="1" s="1"/>
  <c r="U28" i="1"/>
  <c r="U26" i="1"/>
</calcChain>
</file>

<file path=xl/sharedStrings.xml><?xml version="1.0" encoding="utf-8"?>
<sst xmlns="http://schemas.openxmlformats.org/spreadsheetml/2006/main" count="371" uniqueCount="148">
  <si>
    <t>项目</t>
    <phoneticPr fontId="4" type="noConversion"/>
  </si>
  <si>
    <t>2024年</t>
  </si>
  <si>
    <t>2025年1-10月</t>
    <phoneticPr fontId="4" type="noConversion"/>
  </si>
  <si>
    <t xml:space="preserve"> 加 : 其他收益</t>
  </si>
  <si>
    <t>2026年</t>
    <phoneticPr fontId="4" type="noConversion"/>
  </si>
  <si>
    <t>2027年</t>
  </si>
  <si>
    <t>2028年</t>
  </si>
  <si>
    <t>2029年</t>
  </si>
  <si>
    <t>2030年</t>
  </si>
  <si>
    <t>单位：万元</t>
    <phoneticPr fontId="4" type="noConversion"/>
  </si>
  <si>
    <t>2025年</t>
    <phoneticPr fontId="4" type="noConversion"/>
  </si>
  <si>
    <t>毛利率</t>
  </si>
  <si>
    <t xml:space="preserve">         公共费用</t>
    <phoneticPr fontId="4" type="noConversion"/>
  </si>
  <si>
    <t xml:space="preserve">          市场费用</t>
    <phoneticPr fontId="4" type="noConversion"/>
  </si>
  <si>
    <t xml:space="preserve">         其他费用</t>
    <phoneticPr fontId="4" type="noConversion"/>
  </si>
  <si>
    <t>税金及附加</t>
    <phoneticPr fontId="4" type="noConversion"/>
  </si>
  <si>
    <t>毛利润</t>
    <phoneticPr fontId="4" type="noConversion"/>
  </si>
  <si>
    <t>营业成本</t>
    <phoneticPr fontId="4" type="noConversion"/>
  </si>
  <si>
    <t>营业收入</t>
    <phoneticPr fontId="4" type="noConversion"/>
  </si>
  <si>
    <t>管理费用</t>
    <phoneticPr fontId="4" type="noConversion"/>
  </si>
  <si>
    <t>销售费用</t>
    <phoneticPr fontId="4" type="noConversion"/>
  </si>
  <si>
    <t>研发费用</t>
    <phoneticPr fontId="4" type="noConversion"/>
  </si>
  <si>
    <t>财务费用</t>
    <phoneticPr fontId="4" type="noConversion"/>
  </si>
  <si>
    <t>信用减值损失</t>
    <phoneticPr fontId="4" type="noConversion"/>
  </si>
  <si>
    <t>资产减值损失</t>
    <phoneticPr fontId="4" type="noConversion"/>
  </si>
  <si>
    <t>资产处置收益</t>
    <phoneticPr fontId="4" type="noConversion"/>
  </si>
  <si>
    <t>营业收入增长率</t>
    <phoneticPr fontId="4" type="noConversion"/>
  </si>
  <si>
    <t>销售费用增长率</t>
    <phoneticPr fontId="4" type="noConversion"/>
  </si>
  <si>
    <t>管理费用增长率</t>
    <phoneticPr fontId="4" type="noConversion"/>
  </si>
  <si>
    <t>研发费用增长率</t>
    <phoneticPr fontId="4" type="noConversion"/>
  </si>
  <si>
    <t xml:space="preserve">          人员费用</t>
    <phoneticPr fontId="4" type="noConversion"/>
  </si>
  <si>
    <t xml:space="preserve">          日常费用</t>
    <phoneticPr fontId="4" type="noConversion"/>
  </si>
  <si>
    <t xml:space="preserve">         人员费用</t>
    <phoneticPr fontId="4" type="noConversion"/>
  </si>
  <si>
    <t>部门名称</t>
  </si>
  <si>
    <t>本期借方</t>
  </si>
  <si>
    <t>借方累计</t>
  </si>
  <si>
    <t>【部门：高视高清-总经办】</t>
  </si>
  <si>
    <t>【部门：高视高清-销售部】</t>
  </si>
  <si>
    <t>【部门：高视高清-市场部】</t>
  </si>
  <si>
    <t>【部门：高视高清-研发部】</t>
  </si>
  <si>
    <t>【部门：高视高清-生产部】</t>
  </si>
  <si>
    <t>【部门：高视高清-采购部】</t>
  </si>
  <si>
    <t>【部门：高视高清-质量管理部】</t>
  </si>
  <si>
    <t>【部门：高视高清-注册部】</t>
  </si>
  <si>
    <t>科目名称</t>
  </si>
  <si>
    <t>66021001\管理费用\水电物业费\物业费</t>
  </si>
  <si>
    <t>66021002\管理费用\水电物业费\水费</t>
  </si>
  <si>
    <t>66021003\管理费用\水电物业费\电费</t>
  </si>
  <si>
    <t>660211\管理费用\折旧</t>
  </si>
  <si>
    <t>660212\管理费用\摊销费</t>
  </si>
  <si>
    <t>660230\管理费用\使用权资产折旧</t>
  </si>
  <si>
    <t>660217\管理费用\车辆费</t>
  </si>
  <si>
    <t>660232\管理费用\综合支持服务费</t>
  </si>
  <si>
    <t>660219\管理费用\咨询服务费</t>
  </si>
  <si>
    <t>5301010107\研发支出\费用化支出\直接投入\使用权资产折旧</t>
  </si>
  <si>
    <t>53010103\研发支出\费用化支出\折旧费用</t>
  </si>
  <si>
    <t>53010106\研发支出\费用化支出\无形资产摊销</t>
  </si>
  <si>
    <t>项     目</t>
  </si>
  <si>
    <t xml:space="preserve">    销售商品、提供劳务收到的现金 </t>
  </si>
  <si>
    <t xml:space="preserve">    收到的税费返还 </t>
  </si>
  <si>
    <t xml:space="preserve">    收到其他与经营活动有关的现金 </t>
  </si>
  <si>
    <t xml:space="preserve">      经营活动现金流入小计 </t>
  </si>
  <si>
    <t xml:space="preserve">    购买商品、接受劳务支付的现金 </t>
  </si>
  <si>
    <t xml:space="preserve">    支付给职工以及为职工支付的现金 </t>
  </si>
  <si>
    <t xml:space="preserve">    支付的各项税费 </t>
  </si>
  <si>
    <t xml:space="preserve">    支付其他与经营活动有关的现金 </t>
  </si>
  <si>
    <t xml:space="preserve">      经营活动现金流出小计 </t>
  </si>
  <si>
    <t xml:space="preserve">        经营活动产生的现金流量净额  </t>
  </si>
  <si>
    <t xml:space="preserve">    购建固定资产、无形资产和其他长期资产支付的现金 </t>
  </si>
  <si>
    <t xml:space="preserve">      投资活动现金流出小计 </t>
  </si>
  <si>
    <t xml:space="preserve">        投资活动产生的现金流量净额 </t>
  </si>
  <si>
    <t xml:space="preserve">    取得借款收到的现金 </t>
  </si>
  <si>
    <t xml:space="preserve">    收到其他与筹资活动有关的现金 </t>
  </si>
  <si>
    <t xml:space="preserve">      筹资活动现金流入小计 </t>
  </si>
  <si>
    <t xml:space="preserve">    偿还债务支付的现金 </t>
  </si>
  <si>
    <t xml:space="preserve">    分配股利、利润或偿付利息支付的现金 </t>
  </si>
  <si>
    <t xml:space="preserve">    支付其他与筹资活动有关的现金 </t>
  </si>
  <si>
    <t xml:space="preserve">      筹资活动现金流出小计 </t>
  </si>
  <si>
    <t xml:space="preserve">        筹资活动产生的现金流量净额 </t>
  </si>
  <si>
    <t xml:space="preserve">    加：期初现金及现金等价物余额 </t>
  </si>
  <si>
    <t xml:space="preserve">现金及现金等价物净增加额 </t>
    <phoneticPr fontId="4" type="noConversion"/>
  </si>
  <si>
    <t xml:space="preserve">期末现金及现金等价物余额 </t>
    <phoneticPr fontId="4" type="noConversion"/>
  </si>
  <si>
    <t>营业利润</t>
    <phoneticPr fontId="4" type="noConversion"/>
  </si>
  <si>
    <t>27-10010033</t>
  </si>
  <si>
    <t>片</t>
  </si>
  <si>
    <t>27-20050003</t>
  </si>
  <si>
    <t>Ultra离焦镜片包装盒</t>
  </si>
  <si>
    <t>200×10.7×60mm</t>
  </si>
  <si>
    <t>个</t>
  </si>
  <si>
    <t>加工费</t>
    <phoneticPr fontId="4" type="noConversion"/>
  </si>
  <si>
    <t>合计</t>
    <phoneticPr fontId="4" type="noConversion"/>
  </si>
  <si>
    <t>时空之眼ultra毛坯片</t>
    <phoneticPr fontId="4" type="noConversion"/>
  </si>
  <si>
    <t>借款额度</t>
    <phoneticPr fontId="4" type="noConversion"/>
  </si>
  <si>
    <t>50010209\生产成本\直接人工\人工结转</t>
  </si>
  <si>
    <t>510105\制造费用\制造费用-人员人工</t>
  </si>
  <si>
    <t>产品名称</t>
  </si>
  <si>
    <t>产品类型</t>
    <phoneticPr fontId="4" type="noConversion"/>
  </si>
  <si>
    <t>销售数量</t>
  </si>
  <si>
    <t>销售单价（含税）</t>
  </si>
  <si>
    <t>含税销售</t>
  </si>
  <si>
    <t>销售收入（不含税）</t>
  </si>
  <si>
    <t>单位BOM材料费</t>
    <phoneticPr fontId="4" type="noConversion"/>
  </si>
  <si>
    <t>BOM材料成本</t>
    <phoneticPr fontId="4" type="noConversion"/>
  </si>
  <si>
    <t>高视高清</t>
    <phoneticPr fontId="4" type="noConversion"/>
  </si>
  <si>
    <t xml:space="preserve">RGP   </t>
    <phoneticPr fontId="4" type="noConversion"/>
  </si>
  <si>
    <t>离焦镜片（副）</t>
    <phoneticPr fontId="4" type="noConversion"/>
  </si>
  <si>
    <t>OK镜（国内）</t>
    <phoneticPr fontId="4" type="noConversion"/>
  </si>
  <si>
    <t>OK镜（国际）</t>
    <phoneticPr fontId="4" type="noConversion"/>
  </si>
  <si>
    <t>总计</t>
  </si>
  <si>
    <t xml:space="preserve"> </t>
  </si>
  <si>
    <t>2027年</t>
    <phoneticPr fontId="4" type="noConversion"/>
  </si>
  <si>
    <t xml:space="preserve">RGP  </t>
    <phoneticPr fontId="4" type="noConversion"/>
  </si>
  <si>
    <t>2028年</t>
    <phoneticPr fontId="4" type="noConversion"/>
  </si>
  <si>
    <t>2029年</t>
    <phoneticPr fontId="4" type="noConversion"/>
  </si>
  <si>
    <t>2030年</t>
    <phoneticPr fontId="4" type="noConversion"/>
  </si>
  <si>
    <t>一台机床24小时3班倒年可生产OK镜5W</t>
    <phoneticPr fontId="4" type="noConversion"/>
  </si>
  <si>
    <t>直接材料</t>
    <phoneticPr fontId="4" type="noConversion"/>
  </si>
  <si>
    <t>直接人工</t>
    <phoneticPr fontId="4" type="noConversion"/>
  </si>
  <si>
    <t>制造费用</t>
    <phoneticPr fontId="4" type="noConversion"/>
  </si>
  <si>
    <t>无形资产摊销</t>
    <phoneticPr fontId="4" type="noConversion"/>
  </si>
  <si>
    <t>单位成本</t>
    <phoneticPr fontId="4" type="noConversion"/>
  </si>
  <si>
    <t>总金额</t>
    <phoneticPr fontId="4" type="noConversion"/>
  </si>
  <si>
    <t>年摊销金额</t>
    <phoneticPr fontId="4" type="noConversion"/>
  </si>
  <si>
    <t>成本合计</t>
    <phoneticPr fontId="4" type="noConversion"/>
  </si>
  <si>
    <t>收入金额</t>
    <phoneticPr fontId="4" type="noConversion"/>
  </si>
  <si>
    <t>人工晶状体</t>
    <phoneticPr fontId="4" type="noConversion"/>
  </si>
  <si>
    <t>销售量</t>
    <phoneticPr fontId="4" type="noConversion"/>
  </si>
  <si>
    <t>年销量</t>
    <phoneticPr fontId="4" type="noConversion"/>
  </si>
  <si>
    <t>毛利率</t>
    <phoneticPr fontId="4" type="noConversion"/>
  </si>
  <si>
    <t>其他手术产品</t>
    <phoneticPr fontId="4" type="noConversion"/>
  </si>
  <si>
    <t>隐形眼镜</t>
    <phoneticPr fontId="4" type="noConversion"/>
  </si>
  <si>
    <t>工时</t>
    <phoneticPr fontId="4" type="noConversion"/>
  </si>
  <si>
    <t>6分钟</t>
    <phoneticPr fontId="4" type="noConversion"/>
  </si>
  <si>
    <t>硬性接触镜（欧普）</t>
    <phoneticPr fontId="4" type="noConversion"/>
  </si>
  <si>
    <t>运费</t>
    <phoneticPr fontId="4" type="noConversion"/>
  </si>
  <si>
    <t>角膜塑形镜（爱博）</t>
    <phoneticPr fontId="4" type="noConversion"/>
  </si>
  <si>
    <t>平均毛利率</t>
    <phoneticPr fontId="4" type="noConversion"/>
  </si>
  <si>
    <t>2025年（口径调整）</t>
    <phoneticPr fontId="4" type="noConversion"/>
  </si>
  <si>
    <t>人员费用口径调整</t>
    <phoneticPr fontId="4" type="noConversion"/>
  </si>
  <si>
    <t>1-10月发生</t>
    <phoneticPr fontId="4" type="noConversion"/>
  </si>
  <si>
    <t>部门</t>
    <phoneticPr fontId="4" type="noConversion"/>
  </si>
  <si>
    <t>11-12月预测</t>
    <phoneticPr fontId="4" type="noConversion"/>
  </si>
  <si>
    <t>销售费用合计</t>
    <phoneticPr fontId="4" type="noConversion"/>
  </si>
  <si>
    <t>管理费用合计</t>
    <phoneticPr fontId="4" type="noConversion"/>
  </si>
  <si>
    <t>研发费用合计</t>
    <phoneticPr fontId="4" type="noConversion"/>
  </si>
  <si>
    <t>一台机床工作8小时可生产OK镜2W</t>
    <phoneticPr fontId="4" type="noConversion"/>
  </si>
  <si>
    <t xml:space="preserve">         折旧摊销</t>
    <phoneticPr fontId="4" type="noConversion"/>
  </si>
  <si>
    <t xml:space="preserve">          折旧摊销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</si>
</sst>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_);[Red]\(0\)"/>
    <numFmt numFmtId="177" formatCode="_ * #,##0_ ;_ * \-#,##0_ ;_ * &quot;-&quot;??_ ;_ @_ "/>
    <numFmt numFmtId="178" formatCode="_(* #,##0_);_(* \(#,##0\);_(* &quot;-&quot;_);_(@_)"/>
    <numFmt numFmtId="179" formatCode="#,##0.0000_ "/>
    <numFmt numFmtId="180" formatCode="_ * #,##0.00_ ;_ * \-#,##0.00_ ;_ * &quot;-&quot;_ ;_ @_ "/>
    <numFmt numFmtId="181" formatCode="_ * #,##0.0000_ ;_ * \-#,##0.0000_ ;_ * &quot;-&quot;????_ ;_ @_ "/>
  </numFmts>
  <fonts count="1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9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99"/>
      <name val="微软雅黑"/>
      <family val="2"/>
      <charset val="134"/>
    </font>
    <font>
      <sz val="10"/>
      <color theme="1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754325998718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57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31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43" fontId="3" fillId="0" borderId="1" xfId="1" applyFont="1" applyBorder="1" applyAlignment="1">
      <alignment horizontal="center"/>
    </xf>
    <xf numFmtId="0" fontId="3" fillId="0" borderId="0" xfId="0" applyFont="1" applyAlignment="1">
      <alignment horizontal="right"/>
    </xf>
    <xf numFmtId="49" fontId="6" fillId="0" borderId="0" xfId="0" applyNumberFormat="1" applyFont="1" applyAlignment="1">
      <alignment horizontal="left" vertical="center"/>
    </xf>
    <xf numFmtId="9" fontId="3" fillId="0" borderId="0" xfId="2" applyFont="1" applyAlignment="1">
      <alignment horizontal="center"/>
    </xf>
    <xf numFmtId="0" fontId="3" fillId="2" borderId="1" xfId="0" applyFont="1" applyFill="1" applyBorder="1"/>
    <xf numFmtId="43" fontId="3" fillId="2" borderId="1" xfId="1" applyFont="1" applyFill="1" applyBorder="1" applyAlignment="1">
      <alignment horizontal="center"/>
    </xf>
    <xf numFmtId="0" fontId="3" fillId="0" borderId="0" xfId="0" applyFont="1"/>
    <xf numFmtId="43" fontId="0" fillId="0" borderId="0" xfId="0" applyNumberFormat="1"/>
    <xf numFmtId="9" fontId="3" fillId="3" borderId="0" xfId="2" applyFont="1" applyFill="1" applyAlignment="1">
      <alignment horizontal="center"/>
    </xf>
    <xf numFmtId="4" fontId="0" fillId="0" borderId="0" xfId="0" applyNumberFormat="1"/>
    <xf numFmtId="4" fontId="3" fillId="0" borderId="0" xfId="0" applyNumberFormat="1" applyFont="1"/>
    <xf numFmtId="43" fontId="3" fillId="0" borderId="0" xfId="1" applyFont="1" applyAlignment="1"/>
    <xf numFmtId="43" fontId="3" fillId="0" borderId="0" xfId="0" applyNumberFormat="1" applyFont="1"/>
    <xf numFmtId="0" fontId="3" fillId="0" borderId="0" xfId="0" applyFont="1" applyAlignment="1">
      <alignment horizontal="center"/>
    </xf>
    <xf numFmtId="0" fontId="3" fillId="3" borderId="0" xfId="0" applyFont="1" applyFill="1"/>
    <xf numFmtId="4" fontId="3" fillId="3" borderId="0" xfId="0" applyNumberFormat="1" applyFont="1" applyFill="1"/>
    <xf numFmtId="43" fontId="3" fillId="3" borderId="0" xfId="1" applyFont="1" applyFill="1" applyAlignment="1"/>
    <xf numFmtId="0" fontId="3" fillId="0" borderId="0" xfId="0" applyFont="1" applyAlignment="1">
      <alignment horizontal="left"/>
    </xf>
    <xf numFmtId="43" fontId="3" fillId="0" borderId="0" xfId="1" applyFont="1" applyAlignment="1">
      <alignment horizontal="left"/>
    </xf>
    <xf numFmtId="0" fontId="3" fillId="4" borderId="2" xfId="0" applyFont="1" applyFill="1" applyBorder="1" applyAlignment="1">
      <alignment horizontal="center" vertical="center" wrapText="1"/>
    </xf>
    <xf numFmtId="43" fontId="3" fillId="0" borderId="1" xfId="1" applyFont="1" applyBorder="1" applyAlignment="1"/>
    <xf numFmtId="49" fontId="3" fillId="0" borderId="2" xfId="0" applyNumberFormat="1" applyFont="1" applyBorder="1" applyAlignment="1">
      <alignment horizontal="left" vertical="center" wrapText="1"/>
    </xf>
    <xf numFmtId="43" fontId="7" fillId="0" borderId="1" xfId="0" applyNumberFormat="1" applyFont="1" applyBorder="1" applyAlignment="1">
      <alignment horizontal="righ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3" fontId="3" fillId="5" borderId="1" xfId="1" applyFont="1" applyFill="1" applyBorder="1" applyAlignment="1"/>
    <xf numFmtId="43" fontId="3" fillId="0" borderId="1" xfId="1" applyFont="1" applyBorder="1" applyAlignment="1">
      <alignment vertical="top"/>
    </xf>
    <xf numFmtId="0" fontId="9" fillId="0" borderId="0" xfId="0" applyFont="1"/>
    <xf numFmtId="0" fontId="9" fillId="0" borderId="0" xfId="0" applyFont="1" applyAlignment="1">
      <alignment horizontal="center"/>
    </xf>
    <xf numFmtId="178" fontId="12" fillId="0" borderId="1" xfId="4" applyNumberFormat="1" applyFont="1" applyBorder="1" applyAlignment="1">
      <alignment vertical="center" wrapText="1"/>
    </xf>
    <xf numFmtId="179" fontId="12" fillId="0" borderId="1" xfId="1" applyNumberFormat="1" applyFont="1" applyBorder="1" applyAlignment="1">
      <alignment vertical="center" wrapText="1"/>
    </xf>
    <xf numFmtId="180" fontId="12" fillId="0" borderId="1" xfId="4" applyNumberFormat="1" applyFont="1" applyBorder="1" applyAlignment="1">
      <alignment vertical="center" wrapText="1"/>
    </xf>
    <xf numFmtId="43" fontId="12" fillId="0" borderId="1" xfId="1" applyFont="1" applyFill="1" applyBorder="1" applyAlignment="1">
      <alignment vertical="center" wrapText="1"/>
    </xf>
    <xf numFmtId="181" fontId="13" fillId="0" borderId="1" xfId="0" applyNumberFormat="1" applyFont="1" applyBorder="1" applyAlignment="1">
      <alignment vertical="center" wrapText="1"/>
    </xf>
    <xf numFmtId="179" fontId="12" fillId="7" borderId="1" xfId="1" applyNumberFormat="1" applyFont="1" applyFill="1" applyBorder="1" applyAlignment="1">
      <alignment vertical="center" wrapText="1"/>
    </xf>
    <xf numFmtId="43" fontId="12" fillId="0" borderId="1" xfId="1" applyFont="1" applyBorder="1" applyAlignment="1">
      <alignment vertical="center" wrapText="1"/>
    </xf>
    <xf numFmtId="177" fontId="11" fillId="6" borderId="8" xfId="1" applyNumberFormat="1" applyFont="1" applyFill="1" applyBorder="1">
      <alignment vertical="center"/>
    </xf>
    <xf numFmtId="0" fontId="8" fillId="6" borderId="8" xfId="3" applyFont="1" applyFill="1" applyBorder="1">
      <alignment vertical="center"/>
    </xf>
    <xf numFmtId="176" fontId="11" fillId="6" borderId="8" xfId="3" applyNumberFormat="1" applyFont="1" applyFill="1" applyBorder="1">
      <alignment vertical="center"/>
    </xf>
    <xf numFmtId="43" fontId="14" fillId="6" borderId="8" xfId="1" applyFont="1" applyFill="1" applyBorder="1" applyAlignment="1">
      <alignment vertical="center" wrapText="1"/>
    </xf>
    <xf numFmtId="43" fontId="0" fillId="0" borderId="0" xfId="1" applyFont="1" applyAlignment="1"/>
    <xf numFmtId="181" fontId="13" fillId="0" borderId="10" xfId="0" applyNumberFormat="1" applyFont="1" applyBorder="1" applyAlignment="1">
      <alignment vertical="center" wrapText="1"/>
    </xf>
    <xf numFmtId="178" fontId="12" fillId="0" borderId="3" xfId="4" applyNumberFormat="1" applyFont="1" applyBorder="1" applyAlignment="1">
      <alignment vertical="center" wrapText="1"/>
    </xf>
    <xf numFmtId="179" fontId="12" fillId="7" borderId="3" xfId="1" applyNumberFormat="1" applyFont="1" applyFill="1" applyBorder="1" applyAlignment="1">
      <alignment vertical="center" wrapText="1"/>
    </xf>
    <xf numFmtId="43" fontId="12" fillId="0" borderId="3" xfId="1" applyFont="1" applyBorder="1" applyAlignment="1">
      <alignment vertical="center" wrapText="1"/>
    </xf>
    <xf numFmtId="180" fontId="12" fillId="0" borderId="3" xfId="4" applyNumberFormat="1" applyFont="1" applyBorder="1" applyAlignment="1">
      <alignment vertical="center" wrapText="1"/>
    </xf>
    <xf numFmtId="177" fontId="11" fillId="8" borderId="8" xfId="1" applyNumberFormat="1" applyFont="1" applyFill="1" applyBorder="1">
      <alignment vertical="center"/>
    </xf>
    <xf numFmtId="43" fontId="15" fillId="8" borderId="8" xfId="1" applyFont="1" applyFill="1" applyBorder="1">
      <alignment vertical="center"/>
    </xf>
    <xf numFmtId="176" fontId="11" fillId="8" borderId="8" xfId="3" applyNumberFormat="1" applyFont="1" applyFill="1" applyBorder="1">
      <alignment vertical="center"/>
    </xf>
    <xf numFmtId="43" fontId="9" fillId="0" borderId="0" xfId="1" applyFont="1" applyAlignment="1"/>
    <xf numFmtId="43" fontId="11" fillId="6" borderId="5" xfId="1" applyFont="1" applyFill="1" applyBorder="1" applyAlignment="1">
      <alignment horizontal="center" vertical="center" wrapText="1"/>
    </xf>
    <xf numFmtId="177" fontId="11" fillId="6" borderId="5" xfId="1" applyNumberFormat="1" applyFont="1" applyFill="1" applyBorder="1" applyAlignment="1">
      <alignment horizontal="center" vertical="center" wrapText="1"/>
    </xf>
    <xf numFmtId="49" fontId="11" fillId="6" borderId="5" xfId="1" applyNumberFormat="1" applyFont="1" applyFill="1" applyBorder="1" applyAlignment="1">
      <alignment horizontal="center" vertical="center" wrapText="1"/>
    </xf>
    <xf numFmtId="0" fontId="11" fillId="6" borderId="5" xfId="3" applyFont="1" applyFill="1" applyBorder="1" applyAlignment="1">
      <alignment horizontal="center" vertical="center" wrapText="1"/>
    </xf>
    <xf numFmtId="176" fontId="11" fillId="6" borderId="5" xfId="3" applyNumberFormat="1" applyFont="1" applyFill="1" applyBorder="1" applyAlignment="1">
      <alignment horizontal="center" vertical="center" wrapText="1"/>
    </xf>
    <xf numFmtId="49" fontId="11" fillId="6" borderId="9" xfId="1" applyNumberFormat="1" applyFont="1" applyFill="1" applyBorder="1" applyAlignment="1">
      <alignment horizontal="center" vertical="center" wrapText="1"/>
    </xf>
    <xf numFmtId="43" fontId="8" fillId="0" borderId="11" xfId="1" applyFont="1" applyBorder="1" applyAlignment="1"/>
    <xf numFmtId="43" fontId="14" fillId="6" borderId="14" xfId="1" applyFont="1" applyFill="1" applyBorder="1" applyAlignment="1">
      <alignment vertical="center" wrapText="1"/>
    </xf>
    <xf numFmtId="43" fontId="12" fillId="0" borderId="11" xfId="1" applyFont="1" applyFill="1" applyBorder="1" applyAlignment="1">
      <alignment vertical="center" wrapText="1"/>
    </xf>
    <xf numFmtId="181" fontId="13" fillId="0" borderId="0" xfId="0" applyNumberFormat="1" applyFont="1" applyAlignment="1">
      <alignment vertical="center" wrapText="1"/>
    </xf>
    <xf numFmtId="43" fontId="12" fillId="0" borderId="13" xfId="1" applyFont="1" applyFill="1" applyBorder="1" applyAlignment="1">
      <alignment vertical="center" wrapText="1"/>
    </xf>
    <xf numFmtId="9" fontId="8" fillId="0" borderId="0" xfId="2" applyFont="1" applyAlignment="1">
      <alignment horizontal="center"/>
    </xf>
    <xf numFmtId="43" fontId="8" fillId="0" borderId="0" xfId="1" applyFont="1" applyAlignment="1">
      <alignment horizontal="center"/>
    </xf>
    <xf numFmtId="0" fontId="0" fillId="0" borderId="1" xfId="0" applyBorder="1"/>
    <xf numFmtId="43" fontId="8" fillId="0" borderId="1" xfId="1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0" fontId="8" fillId="0" borderId="0" xfId="2" applyNumberFormat="1" applyFont="1" applyAlignment="1">
      <alignment horizontal="center"/>
    </xf>
    <xf numFmtId="43" fontId="8" fillId="3" borderId="0" xfId="1" applyFont="1" applyFill="1" applyAlignment="1">
      <alignment horizontal="center"/>
    </xf>
    <xf numFmtId="0" fontId="16" fillId="0" borderId="0" xfId="0" applyFont="1"/>
    <xf numFmtId="43" fontId="12" fillId="0" borderId="15" xfId="1" applyFont="1" applyFill="1" applyBorder="1" applyAlignment="1">
      <alignment vertical="center" wrapText="1"/>
    </xf>
    <xf numFmtId="43" fontId="12" fillId="0" borderId="16" xfId="1" applyFont="1" applyFill="1" applyBorder="1" applyAlignment="1">
      <alignment vertical="center" wrapText="1"/>
    </xf>
    <xf numFmtId="9" fontId="8" fillId="3" borderId="1" xfId="2" applyFont="1" applyFill="1" applyBorder="1" applyAlignment="1">
      <alignment horizontal="center"/>
    </xf>
    <xf numFmtId="43" fontId="8" fillId="0" borderId="0" xfId="1" applyFont="1" applyAlignment="1">
      <alignment horizontal="center" vertical="center"/>
    </xf>
    <xf numFmtId="0" fontId="10" fillId="0" borderId="0" xfId="0" applyFont="1"/>
    <xf numFmtId="0" fontId="17" fillId="0" borderId="0" xfId="0" applyFont="1"/>
    <xf numFmtId="4" fontId="17" fillId="0" borderId="0" xfId="0" applyNumberFormat="1" applyFont="1"/>
    <xf numFmtId="0" fontId="3" fillId="0" borderId="0" xfId="0" applyFont="1" applyAlignment="1">
      <alignment vertical="center" wrapText="1"/>
    </xf>
    <xf numFmtId="43" fontId="3" fillId="0" borderId="0" xfId="1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9" fontId="0" fillId="0" borderId="0" xfId="2" applyFont="1" applyAlignment="1"/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43" fontId="8" fillId="0" borderId="0" xfId="1" applyFont="1" applyAlignment="1"/>
    <xf numFmtId="43" fontId="3" fillId="3" borderId="1" xfId="1" applyFont="1" applyFill="1" applyBorder="1" applyAlignment="1">
      <alignment horizontal="center"/>
    </xf>
    <xf numFmtId="43" fontId="3" fillId="7" borderId="1" xfId="1" applyFont="1" applyFill="1" applyBorder="1" applyAlignment="1">
      <alignment horizontal="center"/>
    </xf>
    <xf numFmtId="44" fontId="9" fillId="0" borderId="0" xfId="0" applyNumberFormat="1" applyFont="1"/>
  </cellXfs>
  <cellStyles count="5">
    <cellStyle name="百分比" xfId="2" builtinId="5"/>
    <cellStyle name="常规" xfId="0" builtinId="0"/>
    <cellStyle name="常规 5 7" xfId="4" xr:uid="{69BA746C-E0DB-4E14-905F-CF634D8E5D98}"/>
    <cellStyle name="常规 8 7" xfId="3" xr:uid="{0C514797-CB72-4196-9B1D-DE9846E3E3B0}"/>
    <cellStyle name="千位分隔" xfId="1" builtinId="3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187325</xdr:colOff>
      <xdr:row>25</xdr:row>
      <xdr:rowOff>0</xdr:rowOff>
    </xdr:from>
    <xdr:to>
      <xdr:col>22</xdr:col>
      <xdr:colOff>36281</xdr:colOff>
      <xdr:row>35</xdr:row>
      <xdr:rowOff>133101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E355D0D-BC11-E877-F58F-D7AB9607D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6425" y="6588125"/>
          <a:ext cx="6082540" cy="1996826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34</xdr:row>
      <xdr:rowOff>114300</xdr:rowOff>
    </xdr:from>
    <xdr:to>
      <xdr:col>22</xdr:col>
      <xdr:colOff>26771</xdr:colOff>
      <xdr:row>58</xdr:row>
      <xdr:rowOff>28017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253B971-FEEA-CA18-7FB0-88665E5C0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01525" y="8115300"/>
          <a:ext cx="5965080" cy="4466667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390525</xdr:colOff>
      <xdr:row>58</xdr:row>
      <xdr:rowOff>9525</xdr:rowOff>
    </xdr:from>
    <xdr:to>
      <xdr:col>21</xdr:col>
      <xdr:colOff>506230</xdr:colOff>
      <xdr:row>76</xdr:row>
      <xdr:rowOff>145626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031AAE7-A6A2-8D84-306A-A72AF1A46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6775" y="12563475"/>
          <a:ext cx="5695238" cy="3393651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390525</xdr:colOff>
      <xdr:row>47</xdr:row>
      <xdr:rowOff>19050</xdr:rowOff>
    </xdr:from>
    <xdr:to>
      <xdr:col>21</xdr:col>
      <xdr:colOff>493532</xdr:colOff>
      <xdr:row>53</xdr:row>
      <xdr:rowOff>28432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F4378D6-D17F-2C9D-7155-FF829834E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96750" y="12849225"/>
          <a:ext cx="5679365" cy="1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5"/>
  <sheetViews>
    <sheetView showGridLines="0" tabSelected="1" zoomScale="90" zoomScaleNormal="90" workbookViewId="0">
      <selection activeCell="T32" sqref="T32"/>
    </sheetView>
  </sheetViews>
  <sheetFormatPr defaultRowHeight="15" x14ac:dyDescent="0.4"/>
  <cols>
    <col min="1" max="1" width="2" customWidth="1"/>
    <col min="2" max="2" width="15.9140625" customWidth="1"/>
    <col min="3" max="11" width="10.58203125" customWidth="1"/>
    <col min="12" max="12" width="1.9140625" customWidth="1"/>
    <col min="13" max="13" width="43.75" customWidth="1"/>
    <col min="14" max="14" width="10.1640625" customWidth="1"/>
    <col min="15" max="15" width="10.1640625" style="11" customWidth="1"/>
    <col min="16" max="20" width="9.58203125" style="11" customWidth="1"/>
    <col min="21" max="21" width="9.58203125" customWidth="1"/>
    <col min="22" max="22" width="9.25" style="90" hidden="1" customWidth="1"/>
    <col min="23" max="23" width="6.33203125" hidden="1" customWidth="1"/>
    <col min="24" max="24" width="9.33203125" bestFit="1" customWidth="1"/>
  </cols>
  <sheetData>
    <row r="1" spans="2:24" ht="24.5" customHeight="1" x14ac:dyDescent="0.4">
      <c r="K1" s="6" t="s">
        <v>9</v>
      </c>
      <c r="U1" s="6" t="s">
        <v>9</v>
      </c>
    </row>
    <row r="2" spans="2:24" ht="29" x14ac:dyDescent="0.35">
      <c r="B2" s="1" t="s">
        <v>0</v>
      </c>
      <c r="C2" s="1" t="s">
        <v>1</v>
      </c>
      <c r="D2" s="2" t="s">
        <v>2</v>
      </c>
      <c r="E2" s="2" t="s">
        <v>10</v>
      </c>
      <c r="F2" s="2" t="s">
        <v>137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M2" s="24" t="s">
        <v>57</v>
      </c>
      <c r="N2" s="1" t="s">
        <v>1</v>
      </c>
      <c r="O2" s="2" t="s">
        <v>2</v>
      </c>
      <c r="P2" s="2" t="s">
        <v>10</v>
      </c>
      <c r="Q2" s="3" t="s">
        <v>4</v>
      </c>
      <c r="R2" s="3" t="s">
        <v>5</v>
      </c>
      <c r="S2" s="3" t="s">
        <v>6</v>
      </c>
      <c r="T2" s="3" t="s">
        <v>7</v>
      </c>
      <c r="U2" s="3" t="s">
        <v>8</v>
      </c>
    </row>
    <row r="3" spans="2:24" ht="16" customHeight="1" x14ac:dyDescent="0.4">
      <c r="B3" s="4" t="s">
        <v>18</v>
      </c>
      <c r="C3" s="5">
        <v>77.08</v>
      </c>
      <c r="D3" s="5">
        <v>131.60917599999999</v>
      </c>
      <c r="E3" s="5">
        <v>350</v>
      </c>
      <c r="F3" s="5"/>
      <c r="G3" s="5">
        <f>收入预测!H8</f>
        <v>1061.9469026548675</v>
      </c>
      <c r="H3" s="5">
        <f>收入预测!H16</f>
        <v>1951.3274336283189</v>
      </c>
      <c r="I3" s="5">
        <f>收入预测!H24</f>
        <v>5066.3716814159297</v>
      </c>
      <c r="J3" s="5">
        <f>收入预测!T8</f>
        <v>10049.557522123894</v>
      </c>
      <c r="K3" s="5">
        <f>收入预测!T16</f>
        <v>20046.017699115047</v>
      </c>
      <c r="M3" s="26" t="s">
        <v>58</v>
      </c>
      <c r="N3" s="27">
        <v>180.41</v>
      </c>
      <c r="O3" s="27">
        <v>195.87942000000001</v>
      </c>
      <c r="P3" s="27">
        <f>E3*1.13</f>
        <v>395.49999999999994</v>
      </c>
      <c r="Q3" s="27">
        <f t="shared" ref="Q3:U3" si="0">G3*1.13</f>
        <v>1200.0000000000002</v>
      </c>
      <c r="R3" s="27">
        <f t="shared" si="0"/>
        <v>2205</v>
      </c>
      <c r="S3" s="27">
        <f t="shared" si="0"/>
        <v>5725</v>
      </c>
      <c r="T3" s="27">
        <f t="shared" si="0"/>
        <v>11356</v>
      </c>
      <c r="U3" s="27">
        <f t="shared" si="0"/>
        <v>22652</v>
      </c>
      <c r="V3" s="90">
        <f t="shared" ref="V3:V5" si="1">SUM(N3:U3)-O3</f>
        <v>43713.91</v>
      </c>
    </row>
    <row r="4" spans="2:24" ht="16" customHeight="1" x14ac:dyDescent="0.4">
      <c r="B4" s="4" t="s">
        <v>17</v>
      </c>
      <c r="C4" s="5">
        <v>39.35</v>
      </c>
      <c r="D4" s="5">
        <v>63.754830000000005</v>
      </c>
      <c r="E4" s="5">
        <v>170.53719798362579</v>
      </c>
      <c r="F4" s="5"/>
      <c r="G4" s="5">
        <f>G3*(1-G31)</f>
        <v>478.31858407079659</v>
      </c>
      <c r="H4" s="5">
        <f>H3*(1-H31)</f>
        <v>921.46017699115055</v>
      </c>
      <c r="I4" s="5">
        <f>I3*(1-I31)</f>
        <v>1853.9823008849555</v>
      </c>
      <c r="J4" s="5">
        <f>J3*(1-J31)</f>
        <v>3166.9026548672573</v>
      </c>
      <c r="K4" s="5">
        <f>K3*(1-K31)</f>
        <v>7297.5221238938066</v>
      </c>
      <c r="M4" s="26" t="s">
        <v>59</v>
      </c>
      <c r="N4" s="27"/>
      <c r="O4" s="27">
        <v>222.40476699999999</v>
      </c>
      <c r="P4" s="27">
        <f>O4</f>
        <v>222.40476699999999</v>
      </c>
      <c r="Q4" s="27"/>
      <c r="R4" s="27"/>
      <c r="S4" s="27"/>
      <c r="T4" s="27"/>
      <c r="U4" s="27"/>
      <c r="V4" s="90">
        <f t="shared" si="1"/>
        <v>222.40476699999999</v>
      </c>
    </row>
    <row r="5" spans="2:24" ht="16" customHeight="1" x14ac:dyDescent="0.4">
      <c r="B5" s="4" t="s">
        <v>146</v>
      </c>
      <c r="C5" s="5">
        <f>3.25+19.89</f>
        <v>23.14</v>
      </c>
      <c r="D5" s="5">
        <f>22.77+0.53</f>
        <v>23.3</v>
      </c>
      <c r="E5" s="5">
        <f>D5/D4*E4</f>
        <v>62.324951898051971</v>
      </c>
      <c r="F5" s="5">
        <v>30</v>
      </c>
      <c r="G5" s="5">
        <f>E5+F5+Q13*95%/10*30%</f>
        <v>105.14995189805198</v>
      </c>
      <c r="H5" s="5">
        <f>G5+R13*95%/10*60%+130</f>
        <v>260.79995189805197</v>
      </c>
      <c r="I5" s="5">
        <f>H5+S13*95%/10*2</f>
        <v>346.29995189805197</v>
      </c>
      <c r="J5" s="5">
        <f>I5*1.2</f>
        <v>415.55994227766234</v>
      </c>
      <c r="K5" s="5">
        <f>J5*1.2</f>
        <v>498.67193073319481</v>
      </c>
      <c r="M5" s="26" t="s">
        <v>60</v>
      </c>
      <c r="N5" s="27">
        <v>28.15</v>
      </c>
      <c r="O5" s="27">
        <v>7.3149139999999999</v>
      </c>
      <c r="P5" s="27">
        <v>8</v>
      </c>
      <c r="Q5" s="27">
        <v>10</v>
      </c>
      <c r="R5" s="27">
        <v>10</v>
      </c>
      <c r="S5" s="27">
        <v>10</v>
      </c>
      <c r="T5" s="27">
        <v>10</v>
      </c>
      <c r="U5" s="27">
        <v>10</v>
      </c>
      <c r="V5" s="90">
        <f t="shared" si="1"/>
        <v>86.149999999999991</v>
      </c>
    </row>
    <row r="6" spans="2:24" ht="16" customHeight="1" x14ac:dyDescent="0.4">
      <c r="B6" s="4" t="s">
        <v>32</v>
      </c>
      <c r="C6" s="5">
        <f>4.3+19.46</f>
        <v>23.76</v>
      </c>
      <c r="D6" s="5">
        <f>11.21+4.16</f>
        <v>15.370000000000001</v>
      </c>
      <c r="E6" s="5">
        <f>D6/D4*E4</f>
        <v>41.11306912759909</v>
      </c>
      <c r="F6" s="5">
        <f>费用预测!K33+费用预测!K34</f>
        <v>156.70547800000003</v>
      </c>
      <c r="G6" s="5">
        <f>(E6+F6)*(1+10%)</f>
        <v>217.60040184035904</v>
      </c>
      <c r="H6" s="5">
        <f>G6*(1+10%)</f>
        <v>239.36044202439496</v>
      </c>
      <c r="I6" s="5">
        <f>H6*2</f>
        <v>478.72088404878991</v>
      </c>
      <c r="J6" s="5">
        <f>I6*2</f>
        <v>957.44176809757982</v>
      </c>
      <c r="K6" s="5">
        <f>J6*2</f>
        <v>1914.8835361951596</v>
      </c>
      <c r="M6" s="28" t="s">
        <v>61</v>
      </c>
      <c r="N6" s="29">
        <f>SUM(N3:N5)</f>
        <v>208.56</v>
      </c>
      <c r="O6" s="29">
        <f>SUM(O3:O5)</f>
        <v>425.59910099999996</v>
      </c>
      <c r="P6" s="29">
        <f t="shared" ref="P6:U6" si="2">SUM(P3:P5)</f>
        <v>625.90476699999999</v>
      </c>
      <c r="Q6" s="29">
        <f t="shared" si="2"/>
        <v>1210.0000000000002</v>
      </c>
      <c r="R6" s="29">
        <f t="shared" si="2"/>
        <v>2215</v>
      </c>
      <c r="S6" s="29">
        <f t="shared" si="2"/>
        <v>5735</v>
      </c>
      <c r="T6" s="29">
        <f t="shared" si="2"/>
        <v>11366</v>
      </c>
      <c r="U6" s="29">
        <f t="shared" si="2"/>
        <v>22662</v>
      </c>
      <c r="V6" s="90">
        <f>SUM(N6:U6)-O6</f>
        <v>44022.464766999998</v>
      </c>
    </row>
    <row r="7" spans="2:24" ht="16" customHeight="1" x14ac:dyDescent="0.4">
      <c r="B7" s="9" t="s">
        <v>16</v>
      </c>
      <c r="C7" s="10">
        <f>C3-C4</f>
        <v>37.729999999999997</v>
      </c>
      <c r="D7" s="10">
        <f>D3-D4</f>
        <v>67.854345999999993</v>
      </c>
      <c r="E7" s="10">
        <f>E3-E4</f>
        <v>179.46280201637421</v>
      </c>
      <c r="F7" s="10"/>
      <c r="G7" s="10">
        <f>G3-G4</f>
        <v>583.62831858407094</v>
      </c>
      <c r="H7" s="10">
        <f>H3-H4</f>
        <v>1029.8672566371683</v>
      </c>
      <c r="I7" s="10">
        <f>I3-I4</f>
        <v>3212.3893805309744</v>
      </c>
      <c r="J7" s="10">
        <f>J3-J4</f>
        <v>6882.6548672566369</v>
      </c>
      <c r="K7" s="10">
        <f>K3-K4</f>
        <v>12748.495575221241</v>
      </c>
      <c r="L7" s="12"/>
      <c r="M7" s="26" t="s">
        <v>62</v>
      </c>
      <c r="N7" s="27">
        <v>49.82</v>
      </c>
      <c r="O7" s="27">
        <v>84.959986000000001</v>
      </c>
      <c r="P7" s="27">
        <f>O7+45</f>
        <v>129.95998600000001</v>
      </c>
      <c r="Q7" s="27">
        <f>(G4-G5-G6)*1.5</f>
        <v>233.35234549857833</v>
      </c>
      <c r="R7" s="27">
        <f>(H4-H5-H6)*1.5</f>
        <v>631.94967460305543</v>
      </c>
      <c r="S7" s="27">
        <f>(I4-I5-I6)*1.2</f>
        <v>1234.7537579257362</v>
      </c>
      <c r="T7" s="27">
        <f t="shared" ref="T7:U7" si="3">(J4-J5-J6)*1.2</f>
        <v>2152.6811333904184</v>
      </c>
      <c r="U7" s="27">
        <f t="shared" si="3"/>
        <v>5860.7599883585417</v>
      </c>
      <c r="V7" s="90">
        <f t="shared" ref="V7:V24" si="4">SUM(N7:U7)-O7</f>
        <v>10293.276885776331</v>
      </c>
    </row>
    <row r="8" spans="2:24" ht="16" customHeight="1" x14ac:dyDescent="0.4">
      <c r="B8" s="4" t="s">
        <v>15</v>
      </c>
      <c r="C8" s="5">
        <v>0.12</v>
      </c>
      <c r="D8" s="5">
        <v>0.15795399999999998</v>
      </c>
      <c r="E8" s="5">
        <v>1</v>
      </c>
      <c r="F8" s="5"/>
      <c r="G8" s="5">
        <f>(Q3/1.13-Q7/1.13)*12%</f>
        <v>102.65284826563773</v>
      </c>
      <c r="H8" s="5">
        <f t="shared" ref="H8:K8" si="5">(R3/1.13-R7/1.13)*12%</f>
        <v>167.04959207755164</v>
      </c>
      <c r="I8" s="5">
        <f t="shared" si="5"/>
        <v>476.84030889284224</v>
      </c>
      <c r="J8" s="5">
        <f t="shared" si="5"/>
        <v>977.34359645411485</v>
      </c>
      <c r="K8" s="5">
        <f t="shared" si="5"/>
        <v>1783.1405322097128</v>
      </c>
      <c r="M8" s="26" t="s">
        <v>63</v>
      </c>
      <c r="N8" s="27">
        <v>639.63</v>
      </c>
      <c r="O8" s="27">
        <v>781.24658499999998</v>
      </c>
      <c r="P8" s="27">
        <f>E10+E15+E20+费用预测!E83</f>
        <v>1039.7765423499998</v>
      </c>
      <c r="Q8" s="27">
        <f>G6+G10+G15+G20</f>
        <v>1185.3754544253588</v>
      </c>
      <c r="R8" s="27">
        <f t="shared" ref="R8:U8" si="6">H6+H10+H15+H20</f>
        <v>1444.0621485678951</v>
      </c>
      <c r="S8" s="27">
        <f t="shared" si="6"/>
        <v>2030.9343821406399</v>
      </c>
      <c r="T8" s="27">
        <f t="shared" si="6"/>
        <v>3088.6876416674145</v>
      </c>
      <c r="U8" s="27">
        <f t="shared" si="6"/>
        <v>4894.970535625177</v>
      </c>
      <c r="V8" s="90">
        <f t="shared" si="4"/>
        <v>14323.436704776483</v>
      </c>
      <c r="X8" s="12"/>
    </row>
    <row r="9" spans="2:24" ht="16" customHeight="1" x14ac:dyDescent="0.4">
      <c r="B9" s="4" t="s">
        <v>20</v>
      </c>
      <c r="C9" s="5">
        <v>293.72000000000003</v>
      </c>
      <c r="D9" s="5">
        <v>616.32000000000005</v>
      </c>
      <c r="E9" s="5">
        <f>SUM(E10:E13)</f>
        <v>817.31926799999997</v>
      </c>
      <c r="F9" s="5"/>
      <c r="G9" s="5">
        <f>E9*(1+G33)</f>
        <v>980.78312159999996</v>
      </c>
      <c r="H9" s="5">
        <f>G9*(1+H33)</f>
        <v>1324.0572141600001</v>
      </c>
      <c r="I9" s="5">
        <f>H9*(1+I33)</f>
        <v>1853.6800998239999</v>
      </c>
      <c r="J9" s="5">
        <f>I9*(1+J33)</f>
        <v>2780.5201497359999</v>
      </c>
      <c r="K9" s="5">
        <f>J9*(1+K33)</f>
        <v>4170.7802246040001</v>
      </c>
      <c r="M9" s="26" t="s">
        <v>64</v>
      </c>
      <c r="N9" s="27">
        <v>0.12</v>
      </c>
      <c r="O9" s="27">
        <v>0.209619</v>
      </c>
      <c r="P9" s="27">
        <f>E8</f>
        <v>1</v>
      </c>
      <c r="Q9" s="27">
        <f>(Q3/1.13*13%-Q7/1.13*13%)*1.12</f>
        <v>124.55212256230713</v>
      </c>
      <c r="R9" s="27">
        <f t="shared" ref="R9:U9" si="7">(R3/1.13*13%-R7/1.13*13%)*1.12</f>
        <v>202.68683838742933</v>
      </c>
      <c r="S9" s="27">
        <f t="shared" si="7"/>
        <v>578.56624145664864</v>
      </c>
      <c r="T9" s="27">
        <f t="shared" si="7"/>
        <v>1185.8435636976596</v>
      </c>
      <c r="U9" s="27">
        <f t="shared" si="7"/>
        <v>2163.5438457477849</v>
      </c>
      <c r="V9" s="90">
        <f t="shared" si="4"/>
        <v>4256.3126118518294</v>
      </c>
    </row>
    <row r="10" spans="2:24" ht="16" customHeight="1" x14ac:dyDescent="0.4">
      <c r="B10" s="4" t="s">
        <v>30</v>
      </c>
      <c r="C10" s="5">
        <v>167.89</v>
      </c>
      <c r="D10" s="5">
        <v>356.28</v>
      </c>
      <c r="E10" s="5">
        <f>D10+费用预测!E15</f>
        <v>509.63326799999993</v>
      </c>
      <c r="F10" s="5"/>
      <c r="G10" s="91">
        <f>E10*(1+$G$34)</f>
        <v>560.59659479999993</v>
      </c>
      <c r="H10" s="92">
        <f>G10*(1+$H$33)</f>
        <v>756.80540297999994</v>
      </c>
      <c r="I10" s="5">
        <f>H10*(1+$I$33)</f>
        <v>1059.5275641719998</v>
      </c>
      <c r="J10" s="5">
        <f>I10*(1+$J$33)</f>
        <v>1589.2913462579995</v>
      </c>
      <c r="K10" s="5">
        <f>J10*(1+$K$33)</f>
        <v>2383.9370193869991</v>
      </c>
      <c r="M10" s="26" t="s">
        <v>65</v>
      </c>
      <c r="N10" s="27">
        <v>265.55</v>
      </c>
      <c r="O10" s="27">
        <v>415.40128299999998</v>
      </c>
      <c r="P10" s="27">
        <f>O10/10*13</f>
        <v>540.02166790000001</v>
      </c>
      <c r="Q10" s="27">
        <f>G11+G16+G19+G13+G21+G23</f>
        <v>778.57962051000027</v>
      </c>
      <c r="R10" s="27">
        <f t="shared" ref="R10:U10" si="8">H11+H16+H19+H13+H21+H23</f>
        <v>947.78938256100037</v>
      </c>
      <c r="S10" s="27">
        <f t="shared" si="8"/>
        <v>1190.5582368171004</v>
      </c>
      <c r="T10" s="27">
        <f t="shared" si="8"/>
        <v>1585.8619036988107</v>
      </c>
      <c r="U10" s="27">
        <f t="shared" si="8"/>
        <v>2158.8198588686919</v>
      </c>
      <c r="V10" s="90">
        <f t="shared" si="4"/>
        <v>7467.180670355604</v>
      </c>
    </row>
    <row r="11" spans="2:24" ht="16" customHeight="1" x14ac:dyDescent="0.4">
      <c r="B11" s="4" t="s">
        <v>13</v>
      </c>
      <c r="C11" s="5">
        <v>76.239999999999995</v>
      </c>
      <c r="D11" s="5">
        <v>183.67</v>
      </c>
      <c r="E11" s="5">
        <f>D11+25</f>
        <v>208.67</v>
      </c>
      <c r="F11" s="5"/>
      <c r="G11" s="5">
        <f>E11*(1+$G$33)</f>
        <v>250.40399999999997</v>
      </c>
      <c r="H11" s="5">
        <f t="shared" ref="H11:H13" si="9">G11*(1+$H$33)</f>
        <v>338.04539999999997</v>
      </c>
      <c r="I11" s="5">
        <f t="shared" ref="I11:I13" si="10">H11*(1+$I$33)</f>
        <v>473.26355999999993</v>
      </c>
      <c r="J11" s="5">
        <f t="shared" ref="J11:J13" si="11">I11*(1+$J$33)</f>
        <v>709.89533999999992</v>
      </c>
      <c r="K11" s="5">
        <f t="shared" ref="K11:K13" si="12">J11*(1+$K$33)</f>
        <v>1064.8430099999998</v>
      </c>
      <c r="M11" s="28" t="s">
        <v>66</v>
      </c>
      <c r="N11" s="29">
        <f>SUM(N7:N10)</f>
        <v>955.12000000000012</v>
      </c>
      <c r="O11" s="29">
        <f>SUM(O7:O10)</f>
        <v>1281.8174729999998</v>
      </c>
      <c r="P11" s="29">
        <f t="shared" ref="P11:U11" si="13">SUM(P7:P10)</f>
        <v>1710.7581962499999</v>
      </c>
      <c r="Q11" s="29">
        <f t="shared" si="13"/>
        <v>2321.8595429962447</v>
      </c>
      <c r="R11" s="29">
        <f t="shared" si="13"/>
        <v>3226.48804411938</v>
      </c>
      <c r="S11" s="29">
        <f t="shared" si="13"/>
        <v>5034.8126183401255</v>
      </c>
      <c r="T11" s="29">
        <f t="shared" si="13"/>
        <v>8013.0742424543041</v>
      </c>
      <c r="U11" s="29">
        <f t="shared" si="13"/>
        <v>15078.094228600195</v>
      </c>
      <c r="V11" s="90">
        <f t="shared" si="4"/>
        <v>36340.206872760245</v>
      </c>
      <c r="W11" s="12">
        <f>V6-V11-V12</f>
        <v>0</v>
      </c>
    </row>
    <row r="12" spans="2:24" ht="16" customHeight="1" x14ac:dyDescent="0.4">
      <c r="B12" s="4" t="s">
        <v>147</v>
      </c>
      <c r="C12" s="5">
        <f>0.09+3.08</f>
        <v>3.17</v>
      </c>
      <c r="D12" s="5">
        <f>0.09+2.56</f>
        <v>2.65</v>
      </c>
      <c r="E12" s="5">
        <f>D12/10*12</f>
        <v>3.18</v>
      </c>
      <c r="F12" s="5"/>
      <c r="G12" s="5">
        <f>E12*(1+$G$33)</f>
        <v>3.8159999999999998</v>
      </c>
      <c r="H12" s="5">
        <f t="shared" si="9"/>
        <v>5.1516000000000002</v>
      </c>
      <c r="I12" s="5">
        <f t="shared" si="10"/>
        <v>7.2122399999999995</v>
      </c>
      <c r="J12" s="5">
        <f t="shared" si="11"/>
        <v>10.818359999999998</v>
      </c>
      <c r="K12" s="5">
        <f t="shared" si="12"/>
        <v>16.227539999999998</v>
      </c>
      <c r="M12" s="28" t="s">
        <v>67</v>
      </c>
      <c r="N12" s="29">
        <f>N6-N11</f>
        <v>-746.56000000000017</v>
      </c>
      <c r="O12" s="29">
        <f>O6-O11</f>
        <v>-856.21837199999982</v>
      </c>
      <c r="P12" s="29">
        <f t="shared" ref="P12:U12" si="14">P6-P11</f>
        <v>-1084.8534292499999</v>
      </c>
      <c r="Q12" s="29">
        <f t="shared" si="14"/>
        <v>-1111.8595429962445</v>
      </c>
      <c r="R12" s="29">
        <f t="shared" si="14"/>
        <v>-1011.48804411938</v>
      </c>
      <c r="S12" s="29">
        <f t="shared" si="14"/>
        <v>700.18738165987452</v>
      </c>
      <c r="T12" s="29">
        <f t="shared" si="14"/>
        <v>3352.9257575456959</v>
      </c>
      <c r="U12" s="29">
        <f t="shared" si="14"/>
        <v>7583.9057713998045</v>
      </c>
      <c r="V12" s="90">
        <f t="shared" si="4"/>
        <v>7682.2578942397504</v>
      </c>
    </row>
    <row r="13" spans="2:24" ht="16" customHeight="1" x14ac:dyDescent="0.4">
      <c r="B13" s="4" t="s">
        <v>31</v>
      </c>
      <c r="C13" s="5">
        <f>C9-C10-C11</f>
        <v>49.590000000000046</v>
      </c>
      <c r="D13" s="5">
        <f>D9-D10-D11-D12</f>
        <v>73.720000000000084</v>
      </c>
      <c r="E13" s="5">
        <f>D13/10*13</f>
        <v>95.836000000000112</v>
      </c>
      <c r="F13" s="5"/>
      <c r="G13" s="5">
        <f>E13*(1+$G$33)</f>
        <v>115.00320000000013</v>
      </c>
      <c r="H13" s="5">
        <f t="shared" si="9"/>
        <v>155.25432000000021</v>
      </c>
      <c r="I13" s="5">
        <f t="shared" si="10"/>
        <v>217.35604800000027</v>
      </c>
      <c r="J13" s="5">
        <f t="shared" si="11"/>
        <v>326.03407200000038</v>
      </c>
      <c r="K13" s="5">
        <f t="shared" si="12"/>
        <v>489.05110800000057</v>
      </c>
      <c r="M13" s="26" t="s">
        <v>68</v>
      </c>
      <c r="N13" s="27">
        <v>184.38</v>
      </c>
      <c r="O13" s="27">
        <v>246.791686</v>
      </c>
      <c r="P13" s="27">
        <f>O13+45</f>
        <v>291.79168600000003</v>
      </c>
      <c r="Q13" s="27">
        <v>450</v>
      </c>
      <c r="R13" s="27">
        <v>450</v>
      </c>
      <c r="S13" s="27">
        <v>450</v>
      </c>
      <c r="T13" s="27">
        <v>50</v>
      </c>
      <c r="U13" s="27">
        <v>50</v>
      </c>
      <c r="V13" s="90">
        <f t="shared" si="4"/>
        <v>1926.1716860000001</v>
      </c>
    </row>
    <row r="14" spans="2:24" ht="16" customHeight="1" x14ac:dyDescent="0.4">
      <c r="B14" s="4" t="s">
        <v>19</v>
      </c>
      <c r="C14" s="5">
        <v>182.19</v>
      </c>
      <c r="D14" s="5">
        <v>182.27</v>
      </c>
      <c r="E14" s="5">
        <f>SUM(E15:E18)</f>
        <v>253.357429</v>
      </c>
      <c r="F14" s="5"/>
      <c r="G14" s="5">
        <f>SUM(G15:G18)</f>
        <v>409.91183095500003</v>
      </c>
      <c r="H14" s="5">
        <f t="shared" ref="H14:K14" si="15">SUM(H15:H18)</f>
        <v>450.90301405050002</v>
      </c>
      <c r="I14" s="5">
        <f t="shared" si="15"/>
        <v>495.99331545555009</v>
      </c>
      <c r="J14" s="5">
        <f t="shared" si="15"/>
        <v>545.59264700110521</v>
      </c>
      <c r="K14" s="5">
        <f t="shared" si="15"/>
        <v>600.15191170121568</v>
      </c>
      <c r="M14" s="28" t="s">
        <v>69</v>
      </c>
      <c r="N14" s="29">
        <f>SUM(N13:N13)</f>
        <v>184.38</v>
      </c>
      <c r="O14" s="29">
        <f>SUM(O13:O13)</f>
        <v>246.791686</v>
      </c>
      <c r="P14" s="29">
        <f t="shared" ref="P14:U14" si="16">SUM(P13:P13)</f>
        <v>291.79168600000003</v>
      </c>
      <c r="Q14" s="29">
        <f t="shared" si="16"/>
        <v>450</v>
      </c>
      <c r="R14" s="29">
        <f t="shared" si="16"/>
        <v>450</v>
      </c>
      <c r="S14" s="29">
        <f t="shared" si="16"/>
        <v>450</v>
      </c>
      <c r="T14" s="29">
        <f t="shared" si="16"/>
        <v>50</v>
      </c>
      <c r="U14" s="29">
        <f t="shared" si="16"/>
        <v>50</v>
      </c>
      <c r="V14" s="90">
        <f t="shared" si="4"/>
        <v>1926.1716860000001</v>
      </c>
    </row>
    <row r="15" spans="2:24" ht="16" customHeight="1" x14ac:dyDescent="0.4">
      <c r="B15" s="4" t="s">
        <v>32</v>
      </c>
      <c r="C15" s="5">
        <v>76.97</v>
      </c>
      <c r="D15" s="5">
        <v>73.010000000000005</v>
      </c>
      <c r="E15" s="5">
        <f>D15+费用预测!E39</f>
        <v>122.245429</v>
      </c>
      <c r="F15" s="5">
        <f>费用预测!K31+费用预测!K35</f>
        <v>119.28969005</v>
      </c>
      <c r="G15" s="5">
        <f>(E15+F15)*(1+G34)</f>
        <v>265.68863095500001</v>
      </c>
      <c r="H15" s="5">
        <f>G15*(1+H34)</f>
        <v>292.25749405050004</v>
      </c>
      <c r="I15" s="5">
        <f>H15*(1+I34)</f>
        <v>321.48324345555005</v>
      </c>
      <c r="J15" s="5">
        <f>I15*(1+J34)</f>
        <v>353.63156780110506</v>
      </c>
      <c r="K15" s="5">
        <f>J15*(1+K34)</f>
        <v>388.99472458121562</v>
      </c>
      <c r="M15" s="28" t="s">
        <v>70</v>
      </c>
      <c r="N15" s="29">
        <f>-N14</f>
        <v>-184.38</v>
      </c>
      <c r="O15" s="29">
        <f>-O14</f>
        <v>-246.791686</v>
      </c>
      <c r="P15" s="29">
        <f t="shared" ref="P15:U15" si="17">-P14</f>
        <v>-291.79168600000003</v>
      </c>
      <c r="Q15" s="29">
        <f t="shared" si="17"/>
        <v>-450</v>
      </c>
      <c r="R15" s="29">
        <f t="shared" si="17"/>
        <v>-450</v>
      </c>
      <c r="S15" s="29">
        <f t="shared" si="17"/>
        <v>-450</v>
      </c>
      <c r="T15" s="29">
        <f t="shared" si="17"/>
        <v>-50</v>
      </c>
      <c r="U15" s="29">
        <f t="shared" si="17"/>
        <v>-50</v>
      </c>
      <c r="V15" s="90">
        <f t="shared" si="4"/>
        <v>-1926.1716860000001</v>
      </c>
    </row>
    <row r="16" spans="2:24" ht="16" customHeight="1" x14ac:dyDescent="0.4">
      <c r="B16" s="4" t="s">
        <v>12</v>
      </c>
      <c r="C16" s="5">
        <v>33.979999999999997</v>
      </c>
      <c r="D16" s="5">
        <v>28.1</v>
      </c>
      <c r="E16" s="5">
        <f>D16/10*12</f>
        <v>33.72</v>
      </c>
      <c r="F16" s="5"/>
      <c r="G16" s="5">
        <f>E16*(1+G34)</f>
        <v>37.091999999999999</v>
      </c>
      <c r="H16" s="5">
        <f>G16*(1+H34)</f>
        <v>40.801200000000001</v>
      </c>
      <c r="I16" s="5">
        <f>H16*(1+I34)</f>
        <v>44.881320000000002</v>
      </c>
      <c r="J16" s="5">
        <f>I16*(1+J34)</f>
        <v>49.36945200000001</v>
      </c>
      <c r="K16" s="5">
        <f>J16*(1+K34)</f>
        <v>54.306397200000013</v>
      </c>
      <c r="M16" s="26" t="s">
        <v>71</v>
      </c>
      <c r="N16" s="25"/>
      <c r="O16" s="25"/>
      <c r="P16" s="25"/>
      <c r="Q16" s="25"/>
      <c r="R16" s="25"/>
      <c r="S16" s="25"/>
      <c r="T16" s="25"/>
      <c r="U16" s="25"/>
      <c r="V16" s="90">
        <f t="shared" si="4"/>
        <v>0</v>
      </c>
    </row>
    <row r="17" spans="2:23" ht="16" customHeight="1" x14ac:dyDescent="0.4">
      <c r="B17" s="4" t="s">
        <v>146</v>
      </c>
      <c r="C17" s="5">
        <v>8.7799999999999994</v>
      </c>
      <c r="D17" s="5">
        <v>1.98</v>
      </c>
      <c r="E17" s="5">
        <f>D17/10*12</f>
        <v>2.3760000000000003</v>
      </c>
      <c r="F17" s="5"/>
      <c r="G17" s="5">
        <f>E17*(1+G34)</f>
        <v>2.6136000000000004</v>
      </c>
      <c r="H17" s="5">
        <f>G17*(1+H34)</f>
        <v>2.8749600000000006</v>
      </c>
      <c r="I17" s="5">
        <f>H17*(1+I34)</f>
        <v>3.162456000000001</v>
      </c>
      <c r="J17" s="5">
        <f>I17*(1+J34)</f>
        <v>3.4787016000000013</v>
      </c>
      <c r="K17" s="5">
        <f>J17*(1+K34)</f>
        <v>3.8265717600000015</v>
      </c>
      <c r="M17" s="26" t="s">
        <v>72</v>
      </c>
      <c r="N17" s="27">
        <v>1020</v>
      </c>
      <c r="O17" s="27">
        <v>980</v>
      </c>
      <c r="P17" s="27">
        <f>O17</f>
        <v>980</v>
      </c>
      <c r="Q17" s="27"/>
      <c r="R17" s="27"/>
      <c r="S17" s="27"/>
      <c r="T17" s="27"/>
      <c r="U17" s="27"/>
      <c r="V17" s="90">
        <f t="shared" si="4"/>
        <v>2000</v>
      </c>
    </row>
    <row r="18" spans="2:23" ht="16" customHeight="1" x14ac:dyDescent="0.4">
      <c r="B18" s="4" t="s">
        <v>14</v>
      </c>
      <c r="C18" s="5">
        <f>C14-C15-C16-C17</f>
        <v>62.460000000000008</v>
      </c>
      <c r="D18" s="5">
        <f>D14-D15-D16-D17</f>
        <v>79.179999999999993</v>
      </c>
      <c r="E18" s="5">
        <f>D18/10*12</f>
        <v>95.015999999999991</v>
      </c>
      <c r="F18" s="5"/>
      <c r="G18" s="5">
        <f>E18*(1+G34)</f>
        <v>104.5176</v>
      </c>
      <c r="H18" s="5">
        <f>G18*(1+H34)</f>
        <v>114.96936000000001</v>
      </c>
      <c r="I18" s="5">
        <f>H18*(1+I34)</f>
        <v>126.46629600000001</v>
      </c>
      <c r="J18" s="5">
        <f>I18*(1+J34)</f>
        <v>139.11292560000004</v>
      </c>
      <c r="K18" s="5">
        <f>J18*(1+K34)</f>
        <v>153.02421816000006</v>
      </c>
      <c r="M18" s="28" t="s">
        <v>73</v>
      </c>
      <c r="N18" s="29">
        <f t="shared" ref="N18:U18" si="18">SUM(N16:N17)</f>
        <v>1020</v>
      </c>
      <c r="O18" s="29">
        <f t="shared" si="18"/>
        <v>980</v>
      </c>
      <c r="P18" s="29">
        <f t="shared" si="18"/>
        <v>980</v>
      </c>
      <c r="Q18" s="29">
        <f t="shared" si="18"/>
        <v>0</v>
      </c>
      <c r="R18" s="29">
        <f t="shared" si="18"/>
        <v>0</v>
      </c>
      <c r="S18" s="29">
        <f t="shared" si="18"/>
        <v>0</v>
      </c>
      <c r="T18" s="29">
        <f t="shared" si="18"/>
        <v>0</v>
      </c>
      <c r="U18" s="29">
        <f t="shared" si="18"/>
        <v>0</v>
      </c>
      <c r="V18" s="90">
        <f t="shared" si="4"/>
        <v>2000</v>
      </c>
    </row>
    <row r="19" spans="2:23" ht="16" customHeight="1" x14ac:dyDescent="0.4">
      <c r="B19" s="4" t="s">
        <v>21</v>
      </c>
      <c r="C19" s="5">
        <v>596.29999999999995</v>
      </c>
      <c r="D19" s="5">
        <v>415.91643700000003</v>
      </c>
      <c r="E19" s="5">
        <f>SUM(E20:E23)</f>
        <v>541.92200775000003</v>
      </c>
      <c r="F19" s="5"/>
      <c r="G19" s="5">
        <f>SUM(G20:G23)</f>
        <v>301.06952367000008</v>
      </c>
      <c r="H19" s="5">
        <f t="shared" ref="H19:K19" si="19">SUM(H20:H23)</f>
        <v>331.17647603700004</v>
      </c>
      <c r="I19" s="5">
        <f t="shared" si="19"/>
        <v>364.29412364070004</v>
      </c>
      <c r="J19" s="5">
        <f t="shared" si="19"/>
        <v>400.72353600477015</v>
      </c>
      <c r="K19" s="5">
        <f t="shared" si="19"/>
        <v>440.79588960524717</v>
      </c>
      <c r="M19" s="26" t="s">
        <v>74</v>
      </c>
      <c r="N19" s="25"/>
      <c r="O19" s="25"/>
      <c r="P19" s="25"/>
      <c r="Q19" s="25"/>
      <c r="R19" s="25"/>
      <c r="S19" s="25"/>
      <c r="T19" s="25"/>
      <c r="U19" s="25"/>
      <c r="V19" s="90">
        <f t="shared" si="4"/>
        <v>0</v>
      </c>
    </row>
    <row r="20" spans="2:23" ht="16" customHeight="1" x14ac:dyDescent="0.4">
      <c r="B20" s="4" t="s">
        <v>32</v>
      </c>
      <c r="C20" s="5">
        <v>412.31</v>
      </c>
      <c r="D20" s="5">
        <v>301.5</v>
      </c>
      <c r="E20" s="5">
        <f>D20+费用预测!E80</f>
        <v>404.62228334999998</v>
      </c>
      <c r="F20" s="5">
        <f>-费用预测!K31-费用预测!K33-费用预测!K34-费用预测!K35</f>
        <v>-275.99516805000002</v>
      </c>
      <c r="G20" s="5">
        <f>(E20+F20)*(1+G35)</f>
        <v>141.48982682999997</v>
      </c>
      <c r="H20" s="5">
        <f>G20*(1+H35)</f>
        <v>155.63880951299998</v>
      </c>
      <c r="I20" s="5">
        <f>H20*(1+I35)</f>
        <v>171.20269046429999</v>
      </c>
      <c r="J20" s="5">
        <f>I20*(1+J35)</f>
        <v>188.32295951073002</v>
      </c>
      <c r="K20" s="5">
        <f>J20*(1+K35)</f>
        <v>207.15525546180302</v>
      </c>
      <c r="M20" s="26" t="s">
        <v>75</v>
      </c>
      <c r="N20" s="30">
        <v>13.63</v>
      </c>
      <c r="O20" s="30">
        <v>41.427498</v>
      </c>
      <c r="P20" s="30">
        <f>O20+6*3</f>
        <v>59.427498</v>
      </c>
      <c r="Q20" s="30">
        <v>100</v>
      </c>
      <c r="R20" s="30">
        <v>140</v>
      </c>
      <c r="S20" s="30">
        <v>160</v>
      </c>
      <c r="T20" s="30">
        <v>130</v>
      </c>
      <c r="U20" s="30"/>
      <c r="V20" s="90">
        <f t="shared" si="4"/>
        <v>603.05749800000001</v>
      </c>
    </row>
    <row r="21" spans="2:23" ht="16" customHeight="1" x14ac:dyDescent="0.4">
      <c r="B21" s="4" t="s">
        <v>12</v>
      </c>
      <c r="C21" s="5">
        <v>47.59</v>
      </c>
      <c r="D21" s="5">
        <v>25.87</v>
      </c>
      <c r="E21" s="5">
        <f>D21/10*12</f>
        <v>31.044000000000004</v>
      </c>
      <c r="F21" s="5"/>
      <c r="G21" s="5">
        <f>E21*(1+G35)</f>
        <v>34.148400000000009</v>
      </c>
      <c r="H21" s="5">
        <f>G21*(1+H35)</f>
        <v>37.563240000000015</v>
      </c>
      <c r="I21" s="5">
        <f>H21*(1+I35)</f>
        <v>41.319564000000021</v>
      </c>
      <c r="J21" s="5">
        <f>I21*(1+J35)</f>
        <v>45.451520400000028</v>
      </c>
      <c r="K21" s="5">
        <f>J21*(1+K35)</f>
        <v>49.996672440000033</v>
      </c>
      <c r="M21" s="26" t="s">
        <v>76</v>
      </c>
      <c r="N21" s="27">
        <f>59.17+0.08</f>
        <v>59.25</v>
      </c>
      <c r="O21" s="27">
        <v>54.238799999999998</v>
      </c>
      <c r="P21" s="27">
        <f>O21/10*12</f>
        <v>65.086559999999992</v>
      </c>
      <c r="Q21" s="27">
        <f>P21*1.1</f>
        <v>71.595215999999994</v>
      </c>
      <c r="R21" s="27">
        <f t="shared" ref="R21:U21" si="20">Q21*1.1</f>
        <v>78.754737599999999</v>
      </c>
      <c r="S21" s="27">
        <f t="shared" si="20"/>
        <v>86.630211360000004</v>
      </c>
      <c r="T21" s="27">
        <f t="shared" si="20"/>
        <v>95.293232496000016</v>
      </c>
      <c r="U21" s="27">
        <f t="shared" si="20"/>
        <v>104.82255574560003</v>
      </c>
      <c r="V21" s="90">
        <f t="shared" si="4"/>
        <v>561.43251320160005</v>
      </c>
    </row>
    <row r="22" spans="2:23" ht="16" customHeight="1" x14ac:dyDescent="0.4">
      <c r="B22" s="4" t="s">
        <v>146</v>
      </c>
      <c r="C22" s="5">
        <v>88.51</v>
      </c>
      <c r="D22" s="5">
        <v>57.59</v>
      </c>
      <c r="E22" s="5">
        <f>D22/10*12</f>
        <v>69.108000000000004</v>
      </c>
      <c r="F22" s="5">
        <v>-30</v>
      </c>
      <c r="G22" s="5">
        <f>E22*(1+G35)+Q13*95%/10*20%</f>
        <v>84.56880000000001</v>
      </c>
      <c r="H22" s="5">
        <f>G22*(1+H35)</f>
        <v>93.025680000000023</v>
      </c>
      <c r="I22" s="5">
        <f>H22*(1+I35)</f>
        <v>102.32824800000003</v>
      </c>
      <c r="J22" s="5">
        <f>I22*(1+J35)</f>
        <v>112.56107280000005</v>
      </c>
      <c r="K22" s="5">
        <f>J22*(1+K35)</f>
        <v>123.81718008000006</v>
      </c>
      <c r="M22" s="28" t="s">
        <v>77</v>
      </c>
      <c r="N22" s="29">
        <f>SUM(N19:N21)</f>
        <v>72.88</v>
      </c>
      <c r="O22" s="29">
        <f>SUM(O19:O21)</f>
        <v>95.666297999999998</v>
      </c>
      <c r="P22" s="29">
        <f t="shared" ref="P22:U22" si="21">SUM(P19:P21)</f>
        <v>124.51405799999999</v>
      </c>
      <c r="Q22" s="29">
        <f t="shared" si="21"/>
        <v>171.59521599999999</v>
      </c>
      <c r="R22" s="29">
        <f t="shared" si="21"/>
        <v>218.7547376</v>
      </c>
      <c r="S22" s="29">
        <f t="shared" si="21"/>
        <v>246.63021136</v>
      </c>
      <c r="T22" s="29">
        <f t="shared" si="21"/>
        <v>225.29323249600003</v>
      </c>
      <c r="U22" s="29">
        <f t="shared" si="21"/>
        <v>104.82255574560003</v>
      </c>
      <c r="V22" s="90">
        <f t="shared" si="4"/>
        <v>1164.4900112015998</v>
      </c>
    </row>
    <row r="23" spans="2:23" ht="16" customHeight="1" x14ac:dyDescent="0.4">
      <c r="B23" s="4" t="s">
        <v>14</v>
      </c>
      <c r="C23" s="5">
        <f>C19-C20-C21-C22</f>
        <v>47.889999999999944</v>
      </c>
      <c r="D23" s="5">
        <f>D19-D20-D21-D22</f>
        <v>30.956437000000022</v>
      </c>
      <c r="E23" s="5">
        <f>D23/10*12</f>
        <v>37.14772440000003</v>
      </c>
      <c r="F23" s="5"/>
      <c r="G23" s="5">
        <f>E23*(1+G35)</f>
        <v>40.862496840000034</v>
      </c>
      <c r="H23" s="5">
        <f>G23*(1+H35)</f>
        <v>44.948746524000043</v>
      </c>
      <c r="I23" s="5">
        <f>H23*(1+I35)</f>
        <v>49.44362117640005</v>
      </c>
      <c r="J23" s="5">
        <f>I23*(1+J35)</f>
        <v>54.387983294040062</v>
      </c>
      <c r="K23" s="5">
        <f>J23*(1+K35)</f>
        <v>59.82678162344407</v>
      </c>
      <c r="M23" s="28" t="s">
        <v>78</v>
      </c>
      <c r="N23" s="29">
        <f>N18-N22</f>
        <v>947.12</v>
      </c>
      <c r="O23" s="29">
        <f>O18-O22</f>
        <v>884.33370200000002</v>
      </c>
      <c r="P23" s="29">
        <f t="shared" ref="P23:U23" si="22">P18-P22</f>
        <v>855.48594200000002</v>
      </c>
      <c r="Q23" s="29">
        <f t="shared" si="22"/>
        <v>-171.59521599999999</v>
      </c>
      <c r="R23" s="29">
        <f t="shared" si="22"/>
        <v>-218.7547376</v>
      </c>
      <c r="S23" s="29">
        <f t="shared" si="22"/>
        <v>-246.63021136</v>
      </c>
      <c r="T23" s="29">
        <f t="shared" si="22"/>
        <v>-225.29323249600003</v>
      </c>
      <c r="U23" s="29">
        <f t="shared" si="22"/>
        <v>-104.82255574560003</v>
      </c>
      <c r="V23" s="90">
        <f t="shared" si="4"/>
        <v>835.50998879840006</v>
      </c>
    </row>
    <row r="24" spans="2:23" ht="16" customHeight="1" x14ac:dyDescent="0.4">
      <c r="B24" s="4" t="s">
        <v>22</v>
      </c>
      <c r="C24" s="5">
        <v>18.23</v>
      </c>
      <c r="D24" s="5">
        <v>50.984380999999999</v>
      </c>
      <c r="E24" s="5">
        <v>86.24</v>
      </c>
      <c r="F24" s="5"/>
      <c r="G24" s="5">
        <f>Q20</f>
        <v>100</v>
      </c>
      <c r="H24" s="5">
        <f>R20</f>
        <v>140</v>
      </c>
      <c r="I24" s="5">
        <f t="shared" ref="I24:J24" si="23">S20</f>
        <v>160</v>
      </c>
      <c r="J24" s="5">
        <f t="shared" si="23"/>
        <v>130</v>
      </c>
      <c r="K24" s="5"/>
      <c r="M24" s="28" t="s">
        <v>80</v>
      </c>
      <c r="N24" s="29">
        <f t="shared" ref="N24:U24" si="24">N12+N15+N23</f>
        <v>16.179999999999836</v>
      </c>
      <c r="O24" s="29">
        <f t="shared" si="24"/>
        <v>-218.67635599999983</v>
      </c>
      <c r="P24" s="29">
        <f t="shared" si="24"/>
        <v>-521.15917324999987</v>
      </c>
      <c r="Q24" s="29">
        <f t="shared" si="24"/>
        <v>-1733.4547589962444</v>
      </c>
      <c r="R24" s="29">
        <f t="shared" si="24"/>
        <v>-1680.24278171938</v>
      </c>
      <c r="S24" s="29">
        <f t="shared" si="24"/>
        <v>3.5571702998745138</v>
      </c>
      <c r="T24" s="29">
        <f t="shared" si="24"/>
        <v>3077.6325250496957</v>
      </c>
      <c r="U24" s="29">
        <f t="shared" si="24"/>
        <v>7429.0832156542047</v>
      </c>
      <c r="V24" s="90">
        <f t="shared" si="4"/>
        <v>6591.5961970381504</v>
      </c>
      <c r="W24" s="12">
        <f>V23+V15+V12-V24</f>
        <v>0</v>
      </c>
    </row>
    <row r="25" spans="2:23" ht="16" customHeight="1" x14ac:dyDescent="0.4">
      <c r="B25" s="4" t="s">
        <v>3</v>
      </c>
      <c r="C25" s="5">
        <v>25.82</v>
      </c>
      <c r="D25" s="5">
        <v>6.7801080000000002</v>
      </c>
      <c r="E25" s="5">
        <v>18.86</v>
      </c>
      <c r="F25" s="5"/>
      <c r="G25" s="5">
        <f>Q5</f>
        <v>10</v>
      </c>
      <c r="H25" s="5">
        <f t="shared" ref="H25:K25" si="25">R5</f>
        <v>10</v>
      </c>
      <c r="I25" s="5">
        <f t="shared" si="25"/>
        <v>10</v>
      </c>
      <c r="J25" s="5">
        <f t="shared" si="25"/>
        <v>10</v>
      </c>
      <c r="K25" s="5">
        <f t="shared" si="25"/>
        <v>10</v>
      </c>
      <c r="M25" s="26" t="s">
        <v>79</v>
      </c>
      <c r="N25" s="27">
        <v>273.76</v>
      </c>
      <c r="O25" s="27">
        <f>N26</f>
        <v>289.93999999999983</v>
      </c>
      <c r="P25" s="27">
        <f>O25</f>
        <v>289.93999999999983</v>
      </c>
      <c r="Q25" s="27"/>
      <c r="R25" s="27"/>
      <c r="S25" s="27"/>
      <c r="T25" s="27"/>
      <c r="U25" s="27"/>
    </row>
    <row r="26" spans="2:23" ht="16" customHeight="1" x14ac:dyDescent="0.4">
      <c r="B26" s="4" t="s">
        <v>23</v>
      </c>
      <c r="C26" s="5">
        <v>-2.8176000000000001</v>
      </c>
      <c r="D26" s="5">
        <v>-4.6633510000000005</v>
      </c>
      <c r="E26" s="5">
        <v>-5</v>
      </c>
      <c r="F26" s="5"/>
      <c r="G26" s="5">
        <v>-5</v>
      </c>
      <c r="H26" s="5">
        <f>-10</f>
        <v>-10</v>
      </c>
      <c r="I26" s="5">
        <v>-15</v>
      </c>
      <c r="J26" s="5">
        <v>-20</v>
      </c>
      <c r="K26" s="5">
        <v>-25</v>
      </c>
      <c r="M26" s="28" t="s">
        <v>81</v>
      </c>
      <c r="N26" s="29">
        <f>N24+N25</f>
        <v>289.93999999999983</v>
      </c>
      <c r="O26" s="29">
        <f>O24+O25</f>
        <v>71.263643999999999</v>
      </c>
      <c r="P26" s="29">
        <f t="shared" ref="P26:U26" si="26">P24+P25</f>
        <v>-231.21917325000004</v>
      </c>
      <c r="Q26" s="29">
        <f t="shared" si="26"/>
        <v>-1733.4547589962444</v>
      </c>
      <c r="R26" s="29">
        <f t="shared" si="26"/>
        <v>-1680.24278171938</v>
      </c>
      <c r="S26" s="29">
        <f t="shared" si="26"/>
        <v>3.5571702998745138</v>
      </c>
      <c r="T26" s="29">
        <f t="shared" si="26"/>
        <v>3077.6325250496957</v>
      </c>
      <c r="U26" s="29">
        <f t="shared" si="26"/>
        <v>7429.0832156542047</v>
      </c>
    </row>
    <row r="27" spans="2:23" ht="16" customHeight="1" x14ac:dyDescent="0.4">
      <c r="B27" s="4" t="s">
        <v>24</v>
      </c>
      <c r="C27" s="5">
        <v>-2.5146999999999999E-2</v>
      </c>
      <c r="D27" s="5">
        <v>0</v>
      </c>
      <c r="E27" s="5"/>
      <c r="F27" s="5"/>
      <c r="G27" s="5"/>
      <c r="H27" s="5"/>
      <c r="I27" s="5"/>
      <c r="J27" s="5"/>
      <c r="K27" s="5"/>
      <c r="P27" s="17"/>
      <c r="R27" s="11" t="s">
        <v>92</v>
      </c>
      <c r="S27" s="15">
        <f>ROUND(SUM(P26:S26),-2)</f>
        <v>-3600</v>
      </c>
      <c r="T27" s="15"/>
      <c r="U27" s="14"/>
    </row>
    <row r="28" spans="2:23" ht="16" customHeight="1" x14ac:dyDescent="0.4">
      <c r="B28" s="4" t="s">
        <v>25</v>
      </c>
      <c r="C28" s="5">
        <v>-9.2171470000000006</v>
      </c>
      <c r="D28" s="5">
        <v>0</v>
      </c>
      <c r="E28" s="5"/>
      <c r="F28" s="5"/>
      <c r="G28" s="5"/>
      <c r="H28" s="5"/>
      <c r="I28" s="5"/>
      <c r="J28" s="5"/>
      <c r="K28" s="5"/>
      <c r="N28" s="16">
        <f>N3+N4+N5-N7-N8-N9-N10-N13+N17-N20-N21-N24</f>
        <v>2.2737367544323206E-13</v>
      </c>
      <c r="O28" s="16">
        <f t="shared" ref="O28:U28" si="27">O3+O4+O5-O7-O8-O9-O10-O13+O17-O20-O21-O24</f>
        <v>-2.5579538487363607E-13</v>
      </c>
      <c r="P28" s="16">
        <f t="shared" si="27"/>
        <v>0</v>
      </c>
      <c r="Q28" s="16">
        <f t="shared" si="27"/>
        <v>0</v>
      </c>
      <c r="R28" s="16">
        <f t="shared" si="27"/>
        <v>0</v>
      </c>
      <c r="S28" s="16">
        <f t="shared" si="27"/>
        <v>4.5474735088646412E-13</v>
      </c>
      <c r="T28" s="16">
        <f t="shared" si="27"/>
        <v>0</v>
      </c>
      <c r="U28" s="16">
        <f t="shared" si="27"/>
        <v>0</v>
      </c>
    </row>
    <row r="29" spans="2:23" ht="16" customHeight="1" x14ac:dyDescent="0.4">
      <c r="B29" s="4" t="s">
        <v>82</v>
      </c>
      <c r="C29" s="5">
        <f>C3-C4-C8-C9-C14-C19-C24+C25+C26+C27+C28</f>
        <v>-1039.0698940000002</v>
      </c>
      <c r="D29" s="5">
        <f>D3-D4-D8-D9-D14-D19-D24+D25+D26+D27+D28</f>
        <v>-1195.6776690000002</v>
      </c>
      <c r="E29" s="5">
        <f>E3-E4-E8-E9-E14-E19-E24+E25+E26+E27+E28</f>
        <v>-1506.5159027336258</v>
      </c>
      <c r="F29" s="5"/>
      <c r="G29" s="5">
        <f>G3-G4-G8-G9-G14-G19-G24+G25+G26+G27+G28</f>
        <v>-1305.7890059065669</v>
      </c>
      <c r="H29" s="5">
        <f>H3-H4-H8-H9-H14-H19-H24+H25+H26+H27+H28</f>
        <v>-1383.3190396878836</v>
      </c>
      <c r="I29" s="5">
        <f>I3-I4-I8-I9-I14-I19-I24+I25+I26+I27+I28</f>
        <v>-143.41846728211766</v>
      </c>
      <c r="J29" s="5">
        <f>J3-J4-J8-J9-J14-J19-J24+J25+J26+J27+J28</f>
        <v>2038.4749380606468</v>
      </c>
      <c r="K29" s="5">
        <f>K3-K4-K8-K9-K14-K19-K24+K25+K26+K27+K28</f>
        <v>5738.6270171010656</v>
      </c>
      <c r="L29" s="17">
        <f t="shared" ref="L29" si="28">L28+L21+L16+L11+L5</f>
        <v>0</v>
      </c>
      <c r="N29" s="17"/>
      <c r="O29" s="17"/>
      <c r="P29" s="17"/>
      <c r="Q29" s="17"/>
      <c r="R29" s="17"/>
      <c r="S29" s="17"/>
      <c r="T29" s="17"/>
      <c r="U29" s="17"/>
    </row>
    <row r="30" spans="2:23" ht="16" customHeight="1" x14ac:dyDescent="0.4">
      <c r="C30" s="17">
        <f>C7-C8-C9-C14-C19-C24+C25+C26+C27+C28-C29</f>
        <v>0</v>
      </c>
      <c r="D30" s="17">
        <f t="shared" ref="D30:K30" si="29">D7-D8-D9-D14-D19-D24+D25+D26+D27+D28-D29</f>
        <v>0</v>
      </c>
      <c r="E30" s="17">
        <f t="shared" si="29"/>
        <v>0</v>
      </c>
      <c r="F30" s="17">
        <f t="shared" si="29"/>
        <v>0</v>
      </c>
      <c r="G30" s="17">
        <f t="shared" si="29"/>
        <v>0</v>
      </c>
      <c r="H30" s="17">
        <f t="shared" si="29"/>
        <v>0</v>
      </c>
      <c r="I30" s="17">
        <f t="shared" si="29"/>
        <v>0</v>
      </c>
      <c r="J30" s="17">
        <f t="shared" si="29"/>
        <v>0</v>
      </c>
      <c r="K30" s="17">
        <f t="shared" si="29"/>
        <v>0</v>
      </c>
      <c r="N30" s="85"/>
      <c r="O30" s="85"/>
      <c r="P30" s="85"/>
      <c r="Q30" s="85"/>
      <c r="R30" s="85"/>
      <c r="S30" s="85"/>
      <c r="T30" s="85"/>
      <c r="U30" s="85"/>
    </row>
    <row r="31" spans="2:23" ht="16" customHeight="1" x14ac:dyDescent="0.4">
      <c r="B31" s="7" t="s">
        <v>11</v>
      </c>
      <c r="C31" s="8">
        <f>C7/C3</f>
        <v>0.48949143746756613</v>
      </c>
      <c r="D31" s="8">
        <f>D7/D3</f>
        <v>0.51557458273274193</v>
      </c>
      <c r="E31" s="8">
        <f>E7/E3</f>
        <v>0.51275086290392635</v>
      </c>
      <c r="F31" s="8"/>
      <c r="G31" s="13">
        <f>收入预测!M8</f>
        <v>0.54958333333333331</v>
      </c>
      <c r="H31" s="13">
        <f>收入预测!M16</f>
        <v>0.52777777777777779</v>
      </c>
      <c r="I31" s="13">
        <f>收入预测!M24</f>
        <v>0.63406113537117914</v>
      </c>
      <c r="J31" s="13">
        <f>收入预测!Y8</f>
        <v>0.68487143360338143</v>
      </c>
      <c r="K31" s="13">
        <f>收入预测!Y16</f>
        <v>0.63596150450291367</v>
      </c>
    </row>
    <row r="32" spans="2:23" ht="16" customHeight="1" x14ac:dyDescent="0.4">
      <c r="B32" s="11" t="s">
        <v>26</v>
      </c>
      <c r="H32" s="8">
        <f>H3/G3-1</f>
        <v>0.83749999999999991</v>
      </c>
      <c r="I32" s="8">
        <f>I3/H3-1</f>
        <v>1.5963718820861676</v>
      </c>
      <c r="J32" s="8">
        <f>J3/I3-1</f>
        <v>0.98358078602620069</v>
      </c>
      <c r="K32" s="8">
        <f>K3/J3-1</f>
        <v>0.99471644945403326</v>
      </c>
    </row>
    <row r="33" spans="2:11" ht="16" customHeight="1" x14ac:dyDescent="0.4">
      <c r="B33" s="11" t="s">
        <v>27</v>
      </c>
      <c r="G33" s="13">
        <v>0.2</v>
      </c>
      <c r="H33" s="13">
        <v>0.35</v>
      </c>
      <c r="I33" s="13">
        <v>0.4</v>
      </c>
      <c r="J33" s="13">
        <v>0.5</v>
      </c>
      <c r="K33" s="13">
        <v>0.5</v>
      </c>
    </row>
    <row r="34" spans="2:11" ht="16" customHeight="1" x14ac:dyDescent="0.4">
      <c r="B34" s="11" t="s">
        <v>28</v>
      </c>
      <c r="G34" s="8">
        <v>0.1</v>
      </c>
      <c r="H34" s="8">
        <v>0.1</v>
      </c>
      <c r="I34" s="8">
        <v>0.1</v>
      </c>
      <c r="J34" s="8">
        <v>0.1</v>
      </c>
      <c r="K34" s="8">
        <v>0.1</v>
      </c>
    </row>
    <row r="35" spans="2:11" x14ac:dyDescent="0.4">
      <c r="B35" s="11" t="s">
        <v>29</v>
      </c>
      <c r="G35" s="8">
        <v>0.1</v>
      </c>
      <c r="H35" s="8">
        <v>0.1</v>
      </c>
      <c r="I35" s="8">
        <v>0.1</v>
      </c>
      <c r="J35" s="8">
        <v>0.1</v>
      </c>
      <c r="K35" s="8">
        <v>0.1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1F52-ED06-46D4-BA14-76AAE4DF512A}">
  <dimension ref="A1:Y58"/>
  <sheetViews>
    <sheetView showGridLines="0" zoomScale="90" zoomScaleNormal="90" workbookViewId="0">
      <selection activeCell="O23" sqref="O23"/>
    </sheetView>
  </sheetViews>
  <sheetFormatPr defaultRowHeight="14" x14ac:dyDescent="0.3"/>
  <cols>
    <col min="1" max="1" width="8.58203125" customWidth="1"/>
    <col min="2" max="2" width="7.6640625" customWidth="1"/>
    <col min="3" max="3" width="10.6640625" customWidth="1"/>
    <col min="4" max="4" width="11.83203125" customWidth="1"/>
    <col min="5" max="5" width="11.58203125" bestFit="1" customWidth="1"/>
    <col min="6" max="6" width="13.08203125" customWidth="1"/>
    <col min="7" max="7" width="10.25" bestFit="1" customWidth="1"/>
    <col min="8" max="8" width="11.58203125" bestFit="1" customWidth="1"/>
    <col min="10" max="10" width="13.25" customWidth="1"/>
    <col min="11" max="11" width="10.25" customWidth="1"/>
    <col min="12" max="12" width="10.58203125" customWidth="1"/>
    <col min="13" max="13" width="10.25" customWidth="1"/>
    <col min="14" max="14" width="6.83203125" customWidth="1"/>
    <col min="15" max="15" width="12.6640625" customWidth="1"/>
    <col min="16" max="16" width="13.4140625" customWidth="1"/>
    <col min="17" max="17" width="10.9140625" customWidth="1"/>
    <col min="19" max="19" width="9.08203125" customWidth="1"/>
    <col min="20" max="20" width="9.9140625" customWidth="1"/>
    <col min="24" max="24" width="9.4140625" customWidth="1"/>
  </cols>
  <sheetData>
    <row r="1" spans="2:25" ht="14.5" thickBot="1" x14ac:dyDescent="0.35"/>
    <row r="2" spans="2:25" s="31" customFormat="1" ht="27.5" customHeight="1" x14ac:dyDescent="0.45">
      <c r="B2" s="86" t="s">
        <v>4</v>
      </c>
      <c r="C2" s="57" t="s">
        <v>95</v>
      </c>
      <c r="D2" s="57" t="s">
        <v>96</v>
      </c>
      <c r="E2" s="58" t="s">
        <v>97</v>
      </c>
      <c r="F2" s="54" t="s">
        <v>98</v>
      </c>
      <c r="G2" s="55" t="s">
        <v>99</v>
      </c>
      <c r="H2" s="56" t="s">
        <v>100</v>
      </c>
      <c r="I2" s="56" t="s">
        <v>101</v>
      </c>
      <c r="J2" s="59" t="s">
        <v>102</v>
      </c>
      <c r="K2" s="59" t="s">
        <v>128</v>
      </c>
      <c r="M2" s="77" t="s">
        <v>136</v>
      </c>
      <c r="N2" s="86" t="s">
        <v>113</v>
      </c>
      <c r="O2" s="57" t="s">
        <v>95</v>
      </c>
      <c r="P2" s="57" t="s">
        <v>96</v>
      </c>
      <c r="Q2" s="58" t="s">
        <v>97</v>
      </c>
      <c r="R2" s="54" t="s">
        <v>98</v>
      </c>
      <c r="S2" s="55" t="s">
        <v>99</v>
      </c>
      <c r="T2" s="56" t="s">
        <v>100</v>
      </c>
      <c r="U2" s="56" t="s">
        <v>101</v>
      </c>
      <c r="V2" s="59" t="s">
        <v>102</v>
      </c>
      <c r="W2" s="59" t="s">
        <v>128</v>
      </c>
      <c r="Y2" s="77" t="s">
        <v>136</v>
      </c>
    </row>
    <row r="3" spans="2:25" s="31" customFormat="1" ht="20" customHeight="1" x14ac:dyDescent="0.45">
      <c r="B3" s="87"/>
      <c r="C3" s="33" t="s">
        <v>103</v>
      </c>
      <c r="D3" s="33" t="s">
        <v>104</v>
      </c>
      <c r="E3" s="33">
        <v>1000</v>
      </c>
      <c r="F3" s="34">
        <f>500/10000</f>
        <v>0.05</v>
      </c>
      <c r="G3" s="35">
        <f>E3*F3</f>
        <v>50</v>
      </c>
      <c r="H3" s="36">
        <f>+E3*F3/1.13</f>
        <v>44.247787610619476</v>
      </c>
      <c r="I3" s="37">
        <f>0.0065</f>
        <v>6.4999999999999997E-3</v>
      </c>
      <c r="J3" s="60">
        <f>I3*E3</f>
        <v>6.5</v>
      </c>
      <c r="K3" s="76">
        <v>0.01</v>
      </c>
      <c r="L3" s="66">
        <f>H3*(1-K3)</f>
        <v>43.80530973451328</v>
      </c>
      <c r="N3" s="87"/>
      <c r="O3" s="33" t="s">
        <v>103</v>
      </c>
      <c r="P3" s="33" t="s">
        <v>104</v>
      </c>
      <c r="Q3" s="33">
        <v>3000</v>
      </c>
      <c r="R3" s="34">
        <f>500/10000</f>
        <v>0.05</v>
      </c>
      <c r="S3" s="35">
        <f>Q3*R3</f>
        <v>150</v>
      </c>
      <c r="T3" s="36">
        <f>+Q3*R3/1.13</f>
        <v>132.74336283185841</v>
      </c>
      <c r="U3" s="45">
        <f>0.0065</f>
        <v>6.4999999999999997E-3</v>
      </c>
      <c r="V3" s="74">
        <f>U3*Q3</f>
        <v>19.5</v>
      </c>
      <c r="W3" s="76">
        <v>0.65</v>
      </c>
      <c r="X3" s="66">
        <f>T3*(1-W3)</f>
        <v>46.460176991150441</v>
      </c>
    </row>
    <row r="4" spans="2:25" s="31" customFormat="1" ht="20" customHeight="1" x14ac:dyDescent="0.45">
      <c r="B4" s="87"/>
      <c r="C4" s="33" t="s">
        <v>103</v>
      </c>
      <c r="D4" s="33" t="s">
        <v>105</v>
      </c>
      <c r="E4" s="33">
        <v>25000</v>
      </c>
      <c r="F4" s="34">
        <f>350/10000</f>
        <v>3.5000000000000003E-2</v>
      </c>
      <c r="G4" s="35">
        <f t="shared" ref="G4:G6" si="0">E4*F4</f>
        <v>875.00000000000011</v>
      </c>
      <c r="H4" s="36">
        <f>+E4*F4/1.13</f>
        <v>774.3362831858409</v>
      </c>
      <c r="I4" s="37">
        <f>0.0175/1.13</f>
        <v>1.5486725663716817E-2</v>
      </c>
      <c r="J4" s="60">
        <f>I4*E4</f>
        <v>387.16814159292045</v>
      </c>
      <c r="K4" s="76">
        <v>0.75</v>
      </c>
      <c r="L4" s="66">
        <f t="shared" ref="L4:L7" si="1">H4*(1-K4)</f>
        <v>193.58407079646022</v>
      </c>
      <c r="N4" s="87"/>
      <c r="O4" s="33" t="s">
        <v>103</v>
      </c>
      <c r="P4" s="33" t="s">
        <v>105</v>
      </c>
      <c r="Q4" s="33">
        <v>100000</v>
      </c>
      <c r="R4" s="34">
        <f>350/10000</f>
        <v>3.5000000000000003E-2</v>
      </c>
      <c r="S4" s="35">
        <f t="shared" ref="S4:S6" si="2">Q4*R4</f>
        <v>3500.0000000000005</v>
      </c>
      <c r="T4" s="36">
        <f t="shared" ref="T4:T6" si="3">+Q4*R4/1.13</f>
        <v>3097.3451327433636</v>
      </c>
      <c r="U4" s="45">
        <f>0.0175/1.13</f>
        <v>1.5486725663716817E-2</v>
      </c>
      <c r="V4" s="74">
        <f>U4*Q4</f>
        <v>1548.6725663716818</v>
      </c>
      <c r="W4" s="76">
        <v>0.8</v>
      </c>
      <c r="X4" s="66">
        <f t="shared" ref="X4:X7" si="4">T4*(1-W4)</f>
        <v>619.46902654867256</v>
      </c>
    </row>
    <row r="5" spans="2:25" s="31" customFormat="1" ht="20" customHeight="1" x14ac:dyDescent="0.45">
      <c r="B5" s="87"/>
      <c r="C5" s="33" t="s">
        <v>103</v>
      </c>
      <c r="D5" s="33" t="s">
        <v>106</v>
      </c>
      <c r="E5" s="33">
        <v>5000</v>
      </c>
      <c r="F5" s="38">
        <f>550/10000</f>
        <v>5.5E-2</v>
      </c>
      <c r="G5" s="35">
        <f t="shared" si="0"/>
        <v>275</v>
      </c>
      <c r="H5" s="33">
        <f t="shared" ref="H5:H6" si="5">+E5*F5/1.13</f>
        <v>243.36283185840711</v>
      </c>
      <c r="I5" s="37">
        <f>0.01</f>
        <v>0.01</v>
      </c>
      <c r="J5" s="60">
        <f>I5*E5</f>
        <v>50</v>
      </c>
      <c r="K5" s="76">
        <v>0.01</v>
      </c>
      <c r="L5" s="66">
        <f t="shared" si="1"/>
        <v>240.92920353982302</v>
      </c>
      <c r="N5" s="87"/>
      <c r="O5" s="33" t="s">
        <v>103</v>
      </c>
      <c r="P5" s="33" t="s">
        <v>106</v>
      </c>
      <c r="Q5" s="33">
        <v>90000</v>
      </c>
      <c r="R5" s="38">
        <f>550/10000</f>
        <v>5.5E-2</v>
      </c>
      <c r="S5" s="35">
        <f t="shared" si="2"/>
        <v>4950</v>
      </c>
      <c r="T5" s="36">
        <f t="shared" si="3"/>
        <v>4380.5309734513276</v>
      </c>
      <c r="U5" s="45">
        <f>0.01</f>
        <v>0.01</v>
      </c>
      <c r="V5" s="74">
        <f>U5*Q5</f>
        <v>900</v>
      </c>
      <c r="W5" s="76">
        <v>0.65</v>
      </c>
      <c r="X5" s="66">
        <f t="shared" si="4"/>
        <v>1533.1858407079646</v>
      </c>
    </row>
    <row r="6" spans="2:25" s="31" customFormat="1" ht="20" customHeight="1" x14ac:dyDescent="0.45">
      <c r="B6" s="87"/>
      <c r="C6" s="33" t="s">
        <v>103</v>
      </c>
      <c r="D6" s="33" t="s">
        <v>107</v>
      </c>
      <c r="E6" s="33"/>
      <c r="F6" s="38">
        <f>700/10000</f>
        <v>7.0000000000000007E-2</v>
      </c>
      <c r="G6" s="35">
        <f t="shared" si="0"/>
        <v>0</v>
      </c>
      <c r="H6" s="33">
        <f t="shared" si="5"/>
        <v>0</v>
      </c>
      <c r="I6" s="37">
        <v>0.01</v>
      </c>
      <c r="J6" s="60">
        <f>I6*E6</f>
        <v>0</v>
      </c>
      <c r="K6" s="76"/>
      <c r="L6" s="66">
        <f t="shared" si="1"/>
        <v>0</v>
      </c>
      <c r="N6" s="89"/>
      <c r="O6" s="33" t="s">
        <v>103</v>
      </c>
      <c r="P6" s="33" t="s">
        <v>107</v>
      </c>
      <c r="Q6" s="46">
        <v>20000</v>
      </c>
      <c r="R6" s="38">
        <f>700/10000</f>
        <v>7.0000000000000007E-2</v>
      </c>
      <c r="S6" s="35">
        <f t="shared" si="2"/>
        <v>1400.0000000000002</v>
      </c>
      <c r="T6" s="36">
        <f t="shared" si="3"/>
        <v>1238.9380530973453</v>
      </c>
      <c r="U6" s="63">
        <f>0.01</f>
        <v>0.01</v>
      </c>
      <c r="V6" s="74">
        <f>U6*Q6</f>
        <v>200</v>
      </c>
      <c r="W6" s="76">
        <v>0.8</v>
      </c>
      <c r="X6" s="66">
        <f t="shared" si="4"/>
        <v>247.78761061946901</v>
      </c>
    </row>
    <row r="7" spans="2:25" s="31" customFormat="1" ht="20" customHeight="1" x14ac:dyDescent="0.45">
      <c r="B7" s="87"/>
      <c r="C7" s="33"/>
      <c r="D7" s="33"/>
      <c r="E7" s="33"/>
      <c r="F7" s="39"/>
      <c r="G7" s="35"/>
      <c r="H7" s="33"/>
      <c r="I7" s="37"/>
      <c r="J7" s="60"/>
      <c r="K7" s="76"/>
      <c r="L7" s="66">
        <f t="shared" si="1"/>
        <v>0</v>
      </c>
      <c r="N7" s="89"/>
      <c r="O7" s="33" t="s">
        <v>103</v>
      </c>
      <c r="P7" s="33" t="s">
        <v>130</v>
      </c>
      <c r="Q7" s="46"/>
      <c r="R7" s="47"/>
      <c r="S7" s="49">
        <f>T7*1.13</f>
        <v>1355.9999999999998</v>
      </c>
      <c r="T7" s="36">
        <v>1200</v>
      </c>
      <c r="U7" s="37"/>
      <c r="V7" s="75"/>
      <c r="W7" s="76">
        <v>0.4</v>
      </c>
      <c r="X7" s="66">
        <f t="shared" si="4"/>
        <v>720</v>
      </c>
    </row>
    <row r="8" spans="2:25" s="31" customFormat="1" ht="20" customHeight="1" thickBot="1" x14ac:dyDescent="0.5">
      <c r="B8" s="88"/>
      <c r="C8" s="40" t="s">
        <v>108</v>
      </c>
      <c r="D8" s="41"/>
      <c r="E8" s="42"/>
      <c r="F8" s="43" t="s">
        <v>109</v>
      </c>
      <c r="G8" s="43">
        <f>SUM(G3:G7)</f>
        <v>1200</v>
      </c>
      <c r="H8" s="43">
        <f>SUM(H3:H7)</f>
        <v>1061.9469026548675</v>
      </c>
      <c r="I8" s="43"/>
      <c r="J8" s="61">
        <f>SUM(J3:J7)</f>
        <v>443.66814159292045</v>
      </c>
      <c r="K8" s="66">
        <f>J8/1.13</f>
        <v>392.62667397603582</v>
      </c>
      <c r="L8" s="66">
        <f>SUM(L3:L7)</f>
        <v>478.31858407079653</v>
      </c>
      <c r="M8" s="65">
        <f>1-L8/H8</f>
        <v>0.54958333333333331</v>
      </c>
      <c r="N8" s="88"/>
      <c r="O8" s="40" t="s">
        <v>108</v>
      </c>
      <c r="P8" s="41"/>
      <c r="Q8" s="42"/>
      <c r="R8" s="43" t="s">
        <v>109</v>
      </c>
      <c r="S8" s="43">
        <f>SUM(S3:S7)</f>
        <v>11356</v>
      </c>
      <c r="T8" s="43">
        <f>SUM(T3:T7)</f>
        <v>10049.557522123894</v>
      </c>
      <c r="U8" s="43"/>
      <c r="V8" s="61">
        <f>SUM(V3:V7)</f>
        <v>2668.1725663716816</v>
      </c>
      <c r="W8" s="66">
        <f>V8/1.13</f>
        <v>2361.2146605059129</v>
      </c>
      <c r="X8" s="66">
        <f>SUM(X3:X7)</f>
        <v>3166.9026548672564</v>
      </c>
      <c r="Y8" s="65">
        <f>1-X8/T8</f>
        <v>0.68487143360338143</v>
      </c>
    </row>
    <row r="9" spans="2:25" s="31" customFormat="1" ht="18.649999999999999" customHeight="1" thickBot="1" x14ac:dyDescent="0.5">
      <c r="B9"/>
      <c r="C9"/>
      <c r="D9"/>
      <c r="E9"/>
      <c r="F9" s="44"/>
      <c r="G9"/>
      <c r="H9"/>
      <c r="I9"/>
      <c r="J9"/>
      <c r="K9" s="32"/>
      <c r="L9" s="32"/>
      <c r="M9" s="32"/>
      <c r="N9" s="32"/>
      <c r="O9" s="32"/>
    </row>
    <row r="10" spans="2:25" s="31" customFormat="1" ht="30" customHeight="1" x14ac:dyDescent="0.45">
      <c r="B10" s="86" t="s">
        <v>110</v>
      </c>
      <c r="C10" s="57" t="s">
        <v>95</v>
      </c>
      <c r="D10" s="57" t="s">
        <v>96</v>
      </c>
      <c r="E10" s="58" t="s">
        <v>97</v>
      </c>
      <c r="F10" s="54" t="s">
        <v>98</v>
      </c>
      <c r="G10" s="55" t="s">
        <v>99</v>
      </c>
      <c r="H10" s="56" t="s">
        <v>100</v>
      </c>
      <c r="I10" s="56" t="s">
        <v>101</v>
      </c>
      <c r="J10" s="59" t="s">
        <v>102</v>
      </c>
      <c r="K10" s="59" t="s">
        <v>128</v>
      </c>
      <c r="M10" s="77" t="s">
        <v>136</v>
      </c>
      <c r="N10" s="86" t="s">
        <v>114</v>
      </c>
      <c r="O10" s="57" t="s">
        <v>95</v>
      </c>
      <c r="P10" s="57" t="s">
        <v>96</v>
      </c>
      <c r="Q10" s="58" t="s">
        <v>97</v>
      </c>
      <c r="R10" s="54" t="s">
        <v>98</v>
      </c>
      <c r="S10" s="55" t="s">
        <v>99</v>
      </c>
      <c r="T10" s="56" t="s">
        <v>100</v>
      </c>
      <c r="U10" s="56" t="s">
        <v>101</v>
      </c>
      <c r="V10" s="59" t="s">
        <v>102</v>
      </c>
      <c r="W10" s="59" t="s">
        <v>128</v>
      </c>
      <c r="Y10" s="77" t="s">
        <v>136</v>
      </c>
    </row>
    <row r="11" spans="2:25" s="31" customFormat="1" ht="18.649999999999999" customHeight="1" x14ac:dyDescent="0.45">
      <c r="B11" s="87"/>
      <c r="C11" s="33" t="s">
        <v>103</v>
      </c>
      <c r="D11" s="33" t="s">
        <v>111</v>
      </c>
      <c r="E11" s="33">
        <v>1500</v>
      </c>
      <c r="F11" s="34">
        <f>500/10000</f>
        <v>0.05</v>
      </c>
      <c r="G11" s="35">
        <f>E11*F11</f>
        <v>75</v>
      </c>
      <c r="H11" s="36">
        <f>+E11*F11/1.13</f>
        <v>66.371681415929203</v>
      </c>
      <c r="I11" s="45">
        <f>0.0065</f>
        <v>6.4999999999999997E-3</v>
      </c>
      <c r="J11" s="62">
        <f>I11*E11</f>
        <v>9.75</v>
      </c>
      <c r="K11" s="76">
        <v>0.25</v>
      </c>
      <c r="L11" s="66">
        <f>H11*(1-K11)</f>
        <v>49.778761061946902</v>
      </c>
      <c r="N11" s="87"/>
      <c r="O11" s="33" t="s">
        <v>103</v>
      </c>
      <c r="P11" s="33" t="s">
        <v>104</v>
      </c>
      <c r="Q11" s="33">
        <v>5000</v>
      </c>
      <c r="R11" s="34">
        <f>500/10000</f>
        <v>0.05</v>
      </c>
      <c r="S11" s="35">
        <f>Q11*R11</f>
        <v>250</v>
      </c>
      <c r="T11" s="36">
        <f>+Q11*R11/1.13</f>
        <v>221.23893805309737</v>
      </c>
      <c r="U11" s="45">
        <f>0.0065</f>
        <v>6.4999999999999997E-3</v>
      </c>
      <c r="V11" s="62">
        <f>U11*Q11</f>
        <v>32.5</v>
      </c>
      <c r="W11" s="76">
        <v>0.65</v>
      </c>
      <c r="X11" s="66">
        <f>T11*(1-W11)</f>
        <v>77.43362831858407</v>
      </c>
    </row>
    <row r="12" spans="2:25" s="31" customFormat="1" ht="18.649999999999999" customHeight="1" x14ac:dyDescent="0.45">
      <c r="B12" s="87"/>
      <c r="C12" s="33" t="s">
        <v>103</v>
      </c>
      <c r="D12" s="33" t="s">
        <v>105</v>
      </c>
      <c r="E12" s="33">
        <v>32000</v>
      </c>
      <c r="F12" s="34">
        <f>350/10000</f>
        <v>3.5000000000000003E-2</v>
      </c>
      <c r="G12" s="35">
        <f t="shared" ref="G12:G14" si="6">E12*F12</f>
        <v>1120</v>
      </c>
      <c r="H12" s="36">
        <f t="shared" ref="H12:H14" si="7">+E12*F12/1.13</f>
        <v>991.15044247787625</v>
      </c>
      <c r="I12" s="45">
        <f>0.0175/1.13</f>
        <v>1.5486725663716817E-2</v>
      </c>
      <c r="J12" s="62">
        <f>I12*E12</f>
        <v>495.57522123893818</v>
      </c>
      <c r="K12" s="76">
        <v>0.75</v>
      </c>
      <c r="L12" s="66">
        <f t="shared" ref="L12:L15" si="8">H12*(1-K12)</f>
        <v>247.78761061946906</v>
      </c>
      <c r="N12" s="87"/>
      <c r="O12" s="33" t="s">
        <v>103</v>
      </c>
      <c r="P12" s="33" t="s">
        <v>105</v>
      </c>
      <c r="Q12" s="33">
        <v>150000</v>
      </c>
      <c r="R12" s="34">
        <f>350/10000</f>
        <v>3.5000000000000003E-2</v>
      </c>
      <c r="S12" s="35">
        <f t="shared" ref="S12:S14" si="9">Q12*R12</f>
        <v>5250.0000000000009</v>
      </c>
      <c r="T12" s="36">
        <f t="shared" ref="T12:T14" si="10">+Q12*R12/1.13</f>
        <v>4646.0176991150456</v>
      </c>
      <c r="U12" s="45">
        <f>0.0175/1.13</f>
        <v>1.5486725663716817E-2</v>
      </c>
      <c r="V12" s="62">
        <f>U12*Q12</f>
        <v>2323.0088495575228</v>
      </c>
      <c r="W12" s="76">
        <v>0.8</v>
      </c>
      <c r="X12" s="66">
        <f t="shared" ref="X12:X15" si="11">T12*(1-W12)</f>
        <v>929.2035398230089</v>
      </c>
    </row>
    <row r="13" spans="2:25" s="31" customFormat="1" ht="18.649999999999999" customHeight="1" x14ac:dyDescent="0.45">
      <c r="B13" s="87"/>
      <c r="C13" s="33" t="s">
        <v>103</v>
      </c>
      <c r="D13" s="33" t="s">
        <v>106</v>
      </c>
      <c r="E13" s="33">
        <v>12000</v>
      </c>
      <c r="F13" s="38">
        <f>550/10000</f>
        <v>5.5E-2</v>
      </c>
      <c r="G13" s="35">
        <f t="shared" si="6"/>
        <v>660</v>
      </c>
      <c r="H13" s="36">
        <f t="shared" si="7"/>
        <v>584.07079646017701</v>
      </c>
      <c r="I13" s="45">
        <f>0.01</f>
        <v>0.01</v>
      </c>
      <c r="J13" s="62">
        <f>I13*E13</f>
        <v>120</v>
      </c>
      <c r="K13" s="76">
        <v>0.25</v>
      </c>
      <c r="L13" s="66">
        <f t="shared" si="8"/>
        <v>438.05309734513276</v>
      </c>
      <c r="N13" s="87"/>
      <c r="O13" s="33" t="s">
        <v>103</v>
      </c>
      <c r="P13" s="33" t="s">
        <v>106</v>
      </c>
      <c r="Q13" s="33">
        <v>150000</v>
      </c>
      <c r="R13" s="38">
        <f>550/10000</f>
        <v>5.5E-2</v>
      </c>
      <c r="S13" s="35">
        <f t="shared" si="9"/>
        <v>8250</v>
      </c>
      <c r="T13" s="36">
        <f t="shared" si="10"/>
        <v>7300.8849557522135</v>
      </c>
      <c r="U13" s="45">
        <f>0.01</f>
        <v>0.01</v>
      </c>
      <c r="V13" s="62">
        <f>U13*Q13</f>
        <v>1500</v>
      </c>
      <c r="W13" s="76">
        <v>0.65</v>
      </c>
      <c r="X13" s="66">
        <f t="shared" si="11"/>
        <v>2555.3097345132746</v>
      </c>
    </row>
    <row r="14" spans="2:25" s="31" customFormat="1" ht="18.649999999999999" customHeight="1" x14ac:dyDescent="0.45">
      <c r="B14" s="89"/>
      <c r="C14" s="33" t="s">
        <v>103</v>
      </c>
      <c r="D14" s="33" t="s">
        <v>107</v>
      </c>
      <c r="E14" s="33">
        <v>5000</v>
      </c>
      <c r="F14" s="38">
        <f>700/10000</f>
        <v>7.0000000000000007E-2</v>
      </c>
      <c r="G14" s="35">
        <f t="shared" si="6"/>
        <v>350.00000000000006</v>
      </c>
      <c r="H14" s="36">
        <f t="shared" si="7"/>
        <v>309.73451327433634</v>
      </c>
      <c r="I14" s="45">
        <f>0.01</f>
        <v>0.01</v>
      </c>
      <c r="J14" s="62">
        <f>I14*E14</f>
        <v>50</v>
      </c>
      <c r="K14" s="76">
        <v>0.4</v>
      </c>
      <c r="L14" s="66">
        <f t="shared" si="8"/>
        <v>185.84070796460179</v>
      </c>
      <c r="M14" s="93"/>
      <c r="N14" s="89"/>
      <c r="O14" s="33" t="s">
        <v>103</v>
      </c>
      <c r="P14" s="33" t="s">
        <v>107</v>
      </c>
      <c r="Q14" s="33">
        <f t="shared" ref="Q14" si="12">Q6*2</f>
        <v>40000</v>
      </c>
      <c r="R14" s="38">
        <f>700/10000</f>
        <v>7.0000000000000007E-2</v>
      </c>
      <c r="S14" s="35">
        <f t="shared" si="9"/>
        <v>2800.0000000000005</v>
      </c>
      <c r="T14" s="36">
        <f t="shared" si="10"/>
        <v>2477.8761061946907</v>
      </c>
      <c r="U14" s="63">
        <f>0.01</f>
        <v>0.01</v>
      </c>
      <c r="V14" s="62">
        <f>U14*Q14</f>
        <v>400</v>
      </c>
      <c r="W14" s="76">
        <v>0.8</v>
      </c>
      <c r="X14" s="66">
        <f t="shared" si="11"/>
        <v>495.57522123893801</v>
      </c>
    </row>
    <row r="15" spans="2:25" s="31" customFormat="1" ht="18.649999999999999" customHeight="1" x14ac:dyDescent="0.45">
      <c r="B15" s="89"/>
      <c r="C15" s="46"/>
      <c r="D15" s="33"/>
      <c r="E15" s="46"/>
      <c r="F15" s="48"/>
      <c r="G15" s="49"/>
      <c r="H15" s="46"/>
      <c r="I15" s="63"/>
      <c r="J15" s="64"/>
      <c r="K15" s="76"/>
      <c r="L15" s="66">
        <f t="shared" si="8"/>
        <v>0</v>
      </c>
      <c r="N15" s="89"/>
      <c r="O15" s="33" t="s">
        <v>103</v>
      </c>
      <c r="P15" s="33" t="s">
        <v>130</v>
      </c>
      <c r="Q15" s="46"/>
      <c r="R15" s="47"/>
      <c r="S15" s="49">
        <f>T15*1.13</f>
        <v>6101.9999999999991</v>
      </c>
      <c r="T15" s="36">
        <v>5400</v>
      </c>
      <c r="U15" s="37"/>
      <c r="V15" s="64"/>
      <c r="W15" s="76">
        <v>0.4</v>
      </c>
      <c r="X15" s="66">
        <f t="shared" si="11"/>
        <v>3240</v>
      </c>
    </row>
    <row r="16" spans="2:25" s="31" customFormat="1" ht="18.649999999999999" customHeight="1" thickBot="1" x14ac:dyDescent="0.5">
      <c r="B16" s="88"/>
      <c r="C16" s="50" t="s">
        <v>108</v>
      </c>
      <c r="D16" s="51"/>
      <c r="E16" s="52"/>
      <c r="F16" s="43" t="s">
        <v>109</v>
      </c>
      <c r="G16" s="43">
        <f>SUM(G11:G15)</f>
        <v>2205</v>
      </c>
      <c r="H16" s="43">
        <f>SUM(H11:H15)</f>
        <v>1951.3274336283189</v>
      </c>
      <c r="I16" s="43"/>
      <c r="J16" s="61">
        <f>SUM(J11:J15)</f>
        <v>675.32522123893818</v>
      </c>
      <c r="K16" s="66">
        <f>J16/1.13</f>
        <v>597.63293914950282</v>
      </c>
      <c r="L16" s="66">
        <f>SUM(L11:L15)</f>
        <v>921.46017699115055</v>
      </c>
      <c r="M16" s="65">
        <f>1-L16/H16</f>
        <v>0.52777777777777779</v>
      </c>
      <c r="N16" s="88"/>
      <c r="O16" s="40" t="s">
        <v>108</v>
      </c>
      <c r="P16" s="41"/>
      <c r="Q16" s="42"/>
      <c r="R16" s="43" t="s">
        <v>109</v>
      </c>
      <c r="S16" s="43">
        <f>SUM(S11:S15)</f>
        <v>22652</v>
      </c>
      <c r="T16" s="43">
        <f>SUM(T11:T15)</f>
        <v>20046.017699115047</v>
      </c>
      <c r="U16" s="43"/>
      <c r="V16" s="61">
        <f>SUM(V11:V15)</f>
        <v>4255.5088495575228</v>
      </c>
      <c r="W16" s="66">
        <f>V16/1.13</f>
        <v>3765.9370350066579</v>
      </c>
      <c r="X16" s="66">
        <f>SUM(X11:X15)</f>
        <v>7297.5221238938057</v>
      </c>
      <c r="Y16" s="65">
        <f>1-X16/T16</f>
        <v>0.63596150450291367</v>
      </c>
    </row>
    <row r="17" spans="1:17" s="31" customFormat="1" ht="18.649999999999999" customHeight="1" thickBot="1" x14ac:dyDescent="0.5">
      <c r="B17" s="32"/>
      <c r="C17" s="32"/>
      <c r="D17" s="32"/>
      <c r="F17" s="53"/>
      <c r="K17" s="32"/>
      <c r="L17" s="32"/>
      <c r="M17" s="32"/>
      <c r="N17" s="32"/>
      <c r="O17" s="32"/>
    </row>
    <row r="18" spans="1:17" s="31" customFormat="1" ht="28.5" customHeight="1" x14ac:dyDescent="0.45">
      <c r="B18" s="86" t="s">
        <v>112</v>
      </c>
      <c r="C18" s="57" t="s">
        <v>95</v>
      </c>
      <c r="D18" s="57" t="s">
        <v>96</v>
      </c>
      <c r="E18" s="58" t="s">
        <v>97</v>
      </c>
      <c r="F18" s="54" t="s">
        <v>98</v>
      </c>
      <c r="G18" s="55" t="s">
        <v>99</v>
      </c>
      <c r="H18" s="56" t="s">
        <v>100</v>
      </c>
      <c r="I18" s="56" t="s">
        <v>101</v>
      </c>
      <c r="J18" s="59" t="s">
        <v>102</v>
      </c>
      <c r="K18" s="59" t="s">
        <v>128</v>
      </c>
      <c r="M18" s="77" t="s">
        <v>136</v>
      </c>
    </row>
    <row r="19" spans="1:17" s="31" customFormat="1" ht="18.649999999999999" customHeight="1" x14ac:dyDescent="0.45">
      <c r="B19" s="87"/>
      <c r="C19" s="33" t="s">
        <v>103</v>
      </c>
      <c r="D19" s="33" t="s">
        <v>104</v>
      </c>
      <c r="E19" s="33">
        <v>2000</v>
      </c>
      <c r="F19" s="34">
        <f>500/10000</f>
        <v>0.05</v>
      </c>
      <c r="G19" s="35">
        <f>E19*F19</f>
        <v>100</v>
      </c>
      <c r="H19" s="36">
        <f>+E19*F19/1.13</f>
        <v>88.495575221238951</v>
      </c>
      <c r="I19" s="45">
        <f>0.0065</f>
        <v>6.4999999999999997E-3</v>
      </c>
      <c r="J19" s="62">
        <f>I19*E19</f>
        <v>13</v>
      </c>
      <c r="K19" s="76">
        <v>0.65</v>
      </c>
      <c r="L19" s="66">
        <f>H19*(1-K19)</f>
        <v>30.973451327433629</v>
      </c>
      <c r="O19" s="11"/>
      <c r="P19" s="11"/>
      <c r="Q19" s="11"/>
    </row>
    <row r="20" spans="1:17" s="31" customFormat="1" ht="18.649999999999999" customHeight="1" x14ac:dyDescent="0.45">
      <c r="B20" s="87"/>
      <c r="C20" s="33" t="s">
        <v>103</v>
      </c>
      <c r="D20" s="33" t="s">
        <v>105</v>
      </c>
      <c r="E20" s="33">
        <v>70000</v>
      </c>
      <c r="F20" s="34">
        <f>350/10000</f>
        <v>3.5000000000000003E-2</v>
      </c>
      <c r="G20" s="35">
        <f t="shared" ref="G20:G22" si="13">E20*F20</f>
        <v>2450.0000000000005</v>
      </c>
      <c r="H20" s="36">
        <f t="shared" ref="H20:H22" si="14">+E20*F20/1.13</f>
        <v>2168.1415929203545</v>
      </c>
      <c r="I20" s="45">
        <f>0.0175/1.13</f>
        <v>1.5486725663716817E-2</v>
      </c>
      <c r="J20" s="62">
        <f>I20*E20</f>
        <v>1084.0707964601772</v>
      </c>
      <c r="K20" s="76">
        <v>0.75</v>
      </c>
      <c r="L20" s="66">
        <f t="shared" ref="L20:L23" si="15">H20*(1-K20)</f>
        <v>542.03539823008862</v>
      </c>
    </row>
    <row r="21" spans="1:17" s="31" customFormat="1" ht="18.649999999999999" customHeight="1" x14ac:dyDescent="0.45">
      <c r="B21" s="87"/>
      <c r="C21" s="33" t="s">
        <v>103</v>
      </c>
      <c r="D21" s="33" t="s">
        <v>106</v>
      </c>
      <c r="E21" s="33">
        <v>45000</v>
      </c>
      <c r="F21" s="38">
        <f>550/10000</f>
        <v>5.5E-2</v>
      </c>
      <c r="G21" s="35">
        <f t="shared" si="13"/>
        <v>2475</v>
      </c>
      <c r="H21" s="36">
        <f t="shared" si="14"/>
        <v>2190.2654867256638</v>
      </c>
      <c r="I21" s="45">
        <f>0.01</f>
        <v>0.01</v>
      </c>
      <c r="J21" s="62">
        <f>I21*E21</f>
        <v>450</v>
      </c>
      <c r="K21" s="76">
        <v>0.5</v>
      </c>
      <c r="L21" s="66">
        <f t="shared" si="15"/>
        <v>1095.1327433628319</v>
      </c>
    </row>
    <row r="22" spans="1:17" s="31" customFormat="1" ht="18.649999999999999" customHeight="1" x14ac:dyDescent="0.45">
      <c r="B22" s="89"/>
      <c r="C22" s="33" t="s">
        <v>103</v>
      </c>
      <c r="D22" s="33" t="s">
        <v>107</v>
      </c>
      <c r="E22" s="46">
        <v>10000</v>
      </c>
      <c r="F22" s="38">
        <f>700/10000</f>
        <v>7.0000000000000007E-2</v>
      </c>
      <c r="G22" s="35">
        <f t="shared" si="13"/>
        <v>700.00000000000011</v>
      </c>
      <c r="H22" s="36">
        <f t="shared" si="14"/>
        <v>619.46902654867267</v>
      </c>
      <c r="I22" s="63">
        <f>0.01</f>
        <v>0.01</v>
      </c>
      <c r="J22" s="62">
        <f>I22*E22</f>
        <v>100</v>
      </c>
      <c r="K22" s="76">
        <v>0.7</v>
      </c>
      <c r="L22" s="66">
        <f t="shared" si="15"/>
        <v>185.84070796460182</v>
      </c>
    </row>
    <row r="23" spans="1:17" s="31" customFormat="1" ht="18.649999999999999" customHeight="1" x14ac:dyDescent="0.45">
      <c r="B23" s="89"/>
      <c r="C23" s="33"/>
      <c r="D23" s="33"/>
      <c r="E23" s="46"/>
      <c r="F23" s="47"/>
      <c r="G23" s="49"/>
      <c r="H23" s="36"/>
      <c r="I23" s="37"/>
      <c r="J23" s="64"/>
      <c r="K23" s="76"/>
      <c r="L23" s="66">
        <f t="shared" si="15"/>
        <v>0</v>
      </c>
    </row>
    <row r="24" spans="1:17" s="31" customFormat="1" ht="18.649999999999999" customHeight="1" thickBot="1" x14ac:dyDescent="0.5">
      <c r="B24" s="88"/>
      <c r="C24" s="40" t="s">
        <v>108</v>
      </c>
      <c r="D24" s="41"/>
      <c r="E24" s="42"/>
      <c r="F24" s="43" t="s">
        <v>109</v>
      </c>
      <c r="G24" s="43">
        <f>SUM(G19:G23)</f>
        <v>5725</v>
      </c>
      <c r="H24" s="43">
        <f>SUM(H19:H23)</f>
        <v>5066.3716814159297</v>
      </c>
      <c r="I24" s="43"/>
      <c r="J24" s="61">
        <f>SUM(J19:J23)</f>
        <v>1647.0707964601772</v>
      </c>
      <c r="K24" s="66">
        <f>J24/1.13</f>
        <v>1457.5847756284757</v>
      </c>
      <c r="L24" s="66">
        <f>SUM(L19:L23)</f>
        <v>1853.9823008849557</v>
      </c>
      <c r="M24" s="65">
        <f>1-L24/H24</f>
        <v>0.63406113537117914</v>
      </c>
    </row>
    <row r="27" spans="1:17" ht="14.5" x14ac:dyDescent="0.35">
      <c r="C27" s="67"/>
      <c r="D27" s="70" t="s">
        <v>121</v>
      </c>
      <c r="E27" s="70" t="s">
        <v>122</v>
      </c>
      <c r="F27" s="83" t="s">
        <v>115</v>
      </c>
    </row>
    <row r="28" spans="1:17" ht="14.5" x14ac:dyDescent="0.35">
      <c r="C28" s="69" t="s">
        <v>119</v>
      </c>
      <c r="D28" s="68">
        <v>13000000</v>
      </c>
      <c r="E28" s="68">
        <f>D28/10</f>
        <v>1300000</v>
      </c>
      <c r="F28" s="83" t="s">
        <v>145</v>
      </c>
    </row>
    <row r="29" spans="1:17" ht="14.5" x14ac:dyDescent="0.35">
      <c r="C29" s="69" t="s">
        <v>131</v>
      </c>
      <c r="D29" s="70" t="s">
        <v>132</v>
      </c>
    </row>
    <row r="30" spans="1:17" ht="14.5" x14ac:dyDescent="0.35">
      <c r="C30" s="83"/>
      <c r="D30" s="84"/>
    </row>
    <row r="31" spans="1:17" ht="15" x14ac:dyDescent="0.4">
      <c r="A31" s="73" t="s">
        <v>133</v>
      </c>
      <c r="E31" s="73" t="s">
        <v>135</v>
      </c>
      <c r="I31" s="73" t="s">
        <v>125</v>
      </c>
    </row>
    <row r="32" spans="1:17" ht="15" x14ac:dyDescent="0.4">
      <c r="A32" s="11" t="s">
        <v>127</v>
      </c>
      <c r="B32" s="66">
        <f>B40</f>
        <v>666247</v>
      </c>
      <c r="E32" s="11" t="s">
        <v>127</v>
      </c>
      <c r="F32" s="66">
        <v>402854</v>
      </c>
      <c r="I32" s="11" t="s">
        <v>127</v>
      </c>
      <c r="J32" s="66">
        <v>1738454</v>
      </c>
    </row>
    <row r="33" spans="1:12" ht="15" x14ac:dyDescent="0.4">
      <c r="A33" s="11" t="s">
        <v>116</v>
      </c>
      <c r="B33" s="66">
        <f>51924350.83+8623021.41</f>
        <v>60547372.239999995</v>
      </c>
      <c r="C33" s="66">
        <f>B33/B32</f>
        <v>90.878266228590888</v>
      </c>
      <c r="E33" s="11" t="s">
        <v>116</v>
      </c>
      <c r="F33" s="66">
        <v>8232991.1200000001</v>
      </c>
      <c r="G33" s="66">
        <f>F33/F32</f>
        <v>20.436662215095296</v>
      </c>
      <c r="I33" s="11" t="s">
        <v>116</v>
      </c>
      <c r="J33" s="66">
        <v>12649664.42</v>
      </c>
      <c r="K33" s="66">
        <f>J33/J32</f>
        <v>7.2763871922984444</v>
      </c>
      <c r="L33" s="66"/>
    </row>
    <row r="34" spans="1:12" ht="15" x14ac:dyDescent="0.4">
      <c r="A34" s="11" t="s">
        <v>117</v>
      </c>
      <c r="B34" s="66">
        <v>17715830.34</v>
      </c>
      <c r="C34" s="66">
        <f>B34/B32</f>
        <v>26.590484219816375</v>
      </c>
      <c r="E34" s="11" t="s">
        <v>117</v>
      </c>
      <c r="F34" s="66">
        <v>10687785.75</v>
      </c>
      <c r="G34" s="66">
        <f>F34/F32</f>
        <v>26.530171600629508</v>
      </c>
      <c r="I34" s="11" t="s">
        <v>117</v>
      </c>
      <c r="J34" s="66">
        <v>18227673.57</v>
      </c>
      <c r="K34" s="66">
        <f>J34/J32</f>
        <v>10.484990439781553</v>
      </c>
      <c r="L34" s="66"/>
    </row>
    <row r="35" spans="1:12" ht="15" x14ac:dyDescent="0.4">
      <c r="A35" s="11" t="s">
        <v>118</v>
      </c>
      <c r="B35" s="66">
        <v>9687902.5899999999</v>
      </c>
      <c r="C35" s="66">
        <f>B35/B32</f>
        <v>14.541007449189264</v>
      </c>
      <c r="E35" s="11" t="s">
        <v>118</v>
      </c>
      <c r="F35" s="66">
        <v>14925787.23</v>
      </c>
      <c r="G35" s="66">
        <f>F35/F32</f>
        <v>37.050115500901072</v>
      </c>
      <c r="I35" s="11" t="s">
        <v>118</v>
      </c>
      <c r="J35" s="66">
        <v>32832420.449999999</v>
      </c>
      <c r="K35" s="66">
        <f>J35/J32</f>
        <v>18.885987463573958</v>
      </c>
      <c r="L35" s="66"/>
    </row>
    <row r="36" spans="1:12" ht="15" x14ac:dyDescent="0.4">
      <c r="A36" s="11" t="s">
        <v>134</v>
      </c>
      <c r="B36" s="66">
        <v>1156975.76</v>
      </c>
      <c r="C36" s="66">
        <f>B36/B32</f>
        <v>1.7365568025071783</v>
      </c>
      <c r="E36" s="11" t="s">
        <v>123</v>
      </c>
      <c r="F36" s="66">
        <f>SUM(F33:F35)</f>
        <v>33846564.100000001</v>
      </c>
      <c r="G36" s="72">
        <f>SUM(G33:G35)</f>
        <v>84.016949316625869</v>
      </c>
      <c r="I36" s="11" t="s">
        <v>123</v>
      </c>
      <c r="J36" s="66">
        <f>SUM(J33:J35)</f>
        <v>63709758.439999998</v>
      </c>
      <c r="K36" s="66">
        <f>SUM(K33:K35)</f>
        <v>36.647365095653953</v>
      </c>
      <c r="L36" s="66"/>
    </row>
    <row r="37" spans="1:12" ht="15" x14ac:dyDescent="0.4">
      <c r="A37" s="11" t="s">
        <v>123</v>
      </c>
      <c r="B37" s="66">
        <f>SUM(B33:B36)</f>
        <v>89108080.930000007</v>
      </c>
      <c r="C37" s="72">
        <f>SUM(C33:C36)</f>
        <v>133.74631470010371</v>
      </c>
      <c r="E37" s="11"/>
      <c r="F37" s="11"/>
      <c r="G37" s="11"/>
      <c r="I37" s="11"/>
      <c r="K37" s="66"/>
      <c r="L37" s="66"/>
    </row>
    <row r="38" spans="1:12" ht="15" x14ac:dyDescent="0.4">
      <c r="A38" s="11"/>
      <c r="B38" s="11"/>
      <c r="C38" s="11"/>
      <c r="E38" s="11"/>
      <c r="F38" s="11"/>
      <c r="G38" s="11"/>
      <c r="I38" s="11"/>
      <c r="K38" s="66"/>
      <c r="L38" s="66"/>
    </row>
    <row r="39" spans="1:12" ht="15" x14ac:dyDescent="0.4">
      <c r="A39" s="11" t="s">
        <v>17</v>
      </c>
      <c r="B39" s="66">
        <v>89108080.930000007</v>
      </c>
      <c r="E39" s="11" t="s">
        <v>17</v>
      </c>
      <c r="F39" s="66">
        <v>33846564.100000001</v>
      </c>
      <c r="I39" s="11" t="s">
        <v>17</v>
      </c>
      <c r="J39" s="66">
        <v>63709758.439999998</v>
      </c>
    </row>
    <row r="40" spans="1:12" ht="15" x14ac:dyDescent="0.4">
      <c r="A40" s="11" t="s">
        <v>126</v>
      </c>
      <c r="B40" s="66">
        <v>666247</v>
      </c>
      <c r="C40" s="66"/>
      <c r="E40" s="11" t="s">
        <v>126</v>
      </c>
      <c r="F40" s="66">
        <v>402854</v>
      </c>
      <c r="G40" s="66"/>
      <c r="I40" s="11" t="s">
        <v>126</v>
      </c>
      <c r="J40" s="66">
        <v>1738454</v>
      </c>
      <c r="K40" s="66"/>
      <c r="L40" s="66"/>
    </row>
    <row r="41" spans="1:12" ht="15" x14ac:dyDescent="0.4">
      <c r="A41" s="11" t="s">
        <v>120</v>
      </c>
      <c r="B41" s="66">
        <f>B39/B40</f>
        <v>133.74631470010374</v>
      </c>
      <c r="E41" s="11" t="s">
        <v>120</v>
      </c>
      <c r="F41" s="66">
        <f>F39/F40</f>
        <v>84.016949316625883</v>
      </c>
      <c r="I41" s="11" t="s">
        <v>120</v>
      </c>
      <c r="J41" s="66">
        <f>J39/J40</f>
        <v>36.647365095653953</v>
      </c>
    </row>
    <row r="42" spans="1:12" ht="15" x14ac:dyDescent="0.4">
      <c r="A42" s="11" t="s">
        <v>128</v>
      </c>
      <c r="B42" s="71">
        <v>0.8831</v>
      </c>
      <c r="E42" s="11" t="s">
        <v>128</v>
      </c>
      <c r="F42" s="71">
        <v>0.85680000000000001</v>
      </c>
      <c r="I42" s="11" t="s">
        <v>128</v>
      </c>
      <c r="J42" s="71">
        <v>0.89159999999999995</v>
      </c>
    </row>
    <row r="43" spans="1:12" ht="15" x14ac:dyDescent="0.4">
      <c r="A43" s="11" t="s">
        <v>124</v>
      </c>
      <c r="B43" s="66">
        <f>B41/(1-B42)</f>
        <v>1144.1087656125212</v>
      </c>
      <c r="E43" s="11" t="s">
        <v>124</v>
      </c>
      <c r="F43" s="66">
        <f>F41/(1-F42)</f>
        <v>586.71053992057182</v>
      </c>
      <c r="I43" s="11" t="s">
        <v>124</v>
      </c>
      <c r="J43" s="66">
        <f>J41/(1-J42)</f>
        <v>338.07532376064518</v>
      </c>
    </row>
    <row r="44" spans="1:12" ht="15" x14ac:dyDescent="0.4">
      <c r="A44" s="11"/>
      <c r="B44" s="66"/>
    </row>
    <row r="46" spans="1:12" ht="15" x14ac:dyDescent="0.4">
      <c r="E46" s="73" t="s">
        <v>130</v>
      </c>
      <c r="I46" s="73" t="s">
        <v>129</v>
      </c>
    </row>
    <row r="47" spans="1:12" ht="15" x14ac:dyDescent="0.4">
      <c r="E47" s="11" t="s">
        <v>127</v>
      </c>
      <c r="F47" s="66">
        <v>214121431</v>
      </c>
      <c r="I47" s="11" t="s">
        <v>127</v>
      </c>
      <c r="J47" s="66"/>
    </row>
    <row r="48" spans="1:12" ht="15" x14ac:dyDescent="0.4">
      <c r="E48" s="11" t="s">
        <v>116</v>
      </c>
      <c r="F48" s="66">
        <v>174969861.97999999</v>
      </c>
      <c r="G48" s="66">
        <f>F48/F47</f>
        <v>0.81715249689322311</v>
      </c>
      <c r="I48" s="11" t="s">
        <v>116</v>
      </c>
      <c r="J48" s="66">
        <v>11470484.699999999</v>
      </c>
    </row>
    <row r="49" spans="5:10" ht="15" x14ac:dyDescent="0.4">
      <c r="E49" s="11" t="s">
        <v>117</v>
      </c>
      <c r="F49" s="66">
        <v>52037829.210000001</v>
      </c>
      <c r="G49" s="66">
        <f>F49/F47</f>
        <v>0.24302952285985796</v>
      </c>
      <c r="I49" s="11" t="s">
        <v>117</v>
      </c>
      <c r="J49" s="66">
        <v>3363536.04</v>
      </c>
    </row>
    <row r="50" spans="5:10" ht="15" x14ac:dyDescent="0.4">
      <c r="E50" s="11" t="s">
        <v>118</v>
      </c>
      <c r="F50" s="66">
        <v>87402543.239999995</v>
      </c>
      <c r="G50" s="66">
        <f>F50/F47</f>
        <v>0.40819147729308791</v>
      </c>
      <c r="I50" s="11" t="s">
        <v>118</v>
      </c>
      <c r="J50" s="66">
        <v>2073227.76</v>
      </c>
    </row>
    <row r="51" spans="5:10" ht="15" x14ac:dyDescent="0.4">
      <c r="E51" s="11" t="s">
        <v>123</v>
      </c>
      <c r="F51" s="66">
        <f>SUM(F48:F50)</f>
        <v>314410234.43000001</v>
      </c>
      <c r="G51" s="66">
        <f>SUM(G48:G50)</f>
        <v>1.468373497046169</v>
      </c>
      <c r="I51" s="11" t="s">
        <v>123</v>
      </c>
      <c r="J51" s="66">
        <f>SUM(J48:J50)</f>
        <v>16907248.5</v>
      </c>
    </row>
    <row r="53" spans="5:10" ht="15" x14ac:dyDescent="0.4">
      <c r="E53" s="11" t="s">
        <v>17</v>
      </c>
      <c r="F53" s="66">
        <v>314410234.43000001</v>
      </c>
    </row>
    <row r="54" spans="5:10" ht="15" x14ac:dyDescent="0.4">
      <c r="E54" s="11" t="s">
        <v>126</v>
      </c>
      <c r="F54" s="66">
        <f>F47</f>
        <v>214121431</v>
      </c>
      <c r="I54" s="11" t="s">
        <v>17</v>
      </c>
      <c r="J54" s="66">
        <v>16907248.5</v>
      </c>
    </row>
    <row r="55" spans="5:10" ht="15" x14ac:dyDescent="0.4">
      <c r="E55" s="11" t="s">
        <v>120</v>
      </c>
      <c r="F55" s="66">
        <f>F53/F54</f>
        <v>1.468373497046169</v>
      </c>
      <c r="I55" s="11" t="s">
        <v>126</v>
      </c>
      <c r="J55" s="66"/>
    </row>
    <row r="56" spans="5:10" ht="15" x14ac:dyDescent="0.4">
      <c r="E56" s="11" t="s">
        <v>128</v>
      </c>
      <c r="F56" s="71">
        <v>0.26179999999999998</v>
      </c>
      <c r="I56" s="11" t="s">
        <v>120</v>
      </c>
      <c r="J56" s="66" t="e">
        <f>J54/J55</f>
        <v>#DIV/0!</v>
      </c>
    </row>
    <row r="57" spans="5:10" ht="15" x14ac:dyDescent="0.4">
      <c r="E57" s="11" t="s">
        <v>124</v>
      </c>
      <c r="F57" s="66">
        <f>F55/(1-F56)</f>
        <v>1.9891269263697766</v>
      </c>
      <c r="I57" s="11" t="s">
        <v>128</v>
      </c>
      <c r="J57" s="71">
        <v>0.3967</v>
      </c>
    </row>
    <row r="58" spans="5:10" ht="15" x14ac:dyDescent="0.4">
      <c r="I58" s="11" t="s">
        <v>124</v>
      </c>
      <c r="J58" s="66" t="e">
        <f>J56/(1-J57)</f>
        <v>#DIV/0!</v>
      </c>
    </row>
  </sheetData>
  <mergeCells count="5">
    <mergeCell ref="B2:B8"/>
    <mergeCell ref="B10:B16"/>
    <mergeCell ref="B18:B24"/>
    <mergeCell ref="N2:N8"/>
    <mergeCell ref="N10:N16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8EDA-4593-4716-8E07-F96199749A40}">
  <dimension ref="B2:Q84"/>
  <sheetViews>
    <sheetView showGridLines="0" workbookViewId="0">
      <selection activeCell="Q32" sqref="Q32"/>
    </sheetView>
  </sheetViews>
  <sheetFormatPr defaultRowHeight="14.5" x14ac:dyDescent="0.4"/>
  <cols>
    <col min="1" max="1" width="8.6640625" style="79"/>
    <col min="2" max="2" width="26.6640625" style="79" customWidth="1"/>
    <col min="3" max="3" width="15.1640625" style="79" customWidth="1"/>
    <col min="4" max="6" width="8.6640625" style="79"/>
    <col min="7" max="7" width="11.6640625" style="22" customWidth="1"/>
    <col min="8" max="8" width="37.83203125" style="11" customWidth="1"/>
    <col min="9" max="9" width="10.75" style="16" customWidth="1"/>
    <col min="10" max="10" width="11.58203125" style="16" customWidth="1"/>
    <col min="11" max="16384" width="8.6640625" style="79"/>
  </cols>
  <sheetData>
    <row r="2" spans="2:14" x14ac:dyDescent="0.4">
      <c r="B2" s="11" t="s">
        <v>33</v>
      </c>
      <c r="C2" s="18" t="s">
        <v>34</v>
      </c>
      <c r="D2" s="11"/>
      <c r="E2" s="11"/>
    </row>
    <row r="3" spans="2:14" x14ac:dyDescent="0.4">
      <c r="B3" s="11" t="s">
        <v>36</v>
      </c>
      <c r="C3" s="15">
        <v>12000</v>
      </c>
      <c r="D3" s="16">
        <f t="shared" ref="D3:D14" si="0">C3/10000</f>
        <v>1.2</v>
      </c>
      <c r="E3" s="16">
        <f>D3*3</f>
        <v>3.5999999999999996</v>
      </c>
      <c r="H3" s="11" t="s">
        <v>44</v>
      </c>
      <c r="I3" s="16" t="s">
        <v>34</v>
      </c>
      <c r="J3" s="16" t="s">
        <v>35</v>
      </c>
    </row>
    <row r="4" spans="2:14" x14ac:dyDescent="0.4">
      <c r="B4" s="11" t="s">
        <v>37</v>
      </c>
      <c r="C4" s="15">
        <v>169800</v>
      </c>
      <c r="D4" s="16">
        <f t="shared" si="0"/>
        <v>16.98</v>
      </c>
      <c r="E4" s="16">
        <f>D4*3</f>
        <v>50.94</v>
      </c>
      <c r="H4" s="11" t="s">
        <v>45</v>
      </c>
      <c r="I4" s="16">
        <v>7752.83</v>
      </c>
      <c r="J4" s="16">
        <v>77528.3</v>
      </c>
    </row>
    <row r="5" spans="2:14" x14ac:dyDescent="0.4">
      <c r="B5" s="11" t="s">
        <v>38</v>
      </c>
      <c r="C5" s="15">
        <v>83700</v>
      </c>
      <c r="D5" s="16">
        <f t="shared" si="0"/>
        <v>8.3699999999999992</v>
      </c>
      <c r="E5" s="16">
        <f>D5*3</f>
        <v>25.11</v>
      </c>
      <c r="H5" s="11" t="s">
        <v>46</v>
      </c>
      <c r="I5" s="16">
        <v>421.81</v>
      </c>
      <c r="J5" s="16">
        <v>2649.16</v>
      </c>
    </row>
    <row r="6" spans="2:14" x14ac:dyDescent="0.4">
      <c r="B6" s="19" t="s">
        <v>36</v>
      </c>
      <c r="C6" s="20">
        <v>8640</v>
      </c>
      <c r="D6" s="21">
        <f t="shared" si="0"/>
        <v>0.86399999999999999</v>
      </c>
      <c r="E6" s="21">
        <f>D6/0.4*0.5</f>
        <v>1.0799999999999998</v>
      </c>
      <c r="H6" s="11" t="s">
        <v>47</v>
      </c>
      <c r="I6" s="16">
        <v>2376.1799999999998</v>
      </c>
      <c r="J6" s="16">
        <v>17315.7</v>
      </c>
    </row>
    <row r="7" spans="2:14" x14ac:dyDescent="0.4">
      <c r="B7" s="19" t="s">
        <v>37</v>
      </c>
      <c r="C7" s="20">
        <v>200718</v>
      </c>
      <c r="D7" s="21">
        <f t="shared" si="0"/>
        <v>20.0718</v>
      </c>
      <c r="E7" s="21">
        <f>D7/0.4*0.5</f>
        <v>25.089749999999999</v>
      </c>
      <c r="H7" s="11" t="s">
        <v>48</v>
      </c>
      <c r="I7" s="16">
        <v>1890.49</v>
      </c>
      <c r="J7" s="16">
        <v>19635.16</v>
      </c>
    </row>
    <row r="8" spans="2:14" x14ac:dyDescent="0.4">
      <c r="B8" s="19" t="s">
        <v>38</v>
      </c>
      <c r="C8" s="20">
        <v>191584.08</v>
      </c>
      <c r="D8" s="21">
        <f t="shared" si="0"/>
        <v>19.158407999999998</v>
      </c>
      <c r="E8" s="21">
        <f>D8/0.4*0.5</f>
        <v>23.948009999999996</v>
      </c>
      <c r="H8" s="11" t="s">
        <v>49</v>
      </c>
      <c r="I8" s="16">
        <v>13.09</v>
      </c>
      <c r="J8" s="16">
        <v>130.9</v>
      </c>
    </row>
    <row r="9" spans="2:14" x14ac:dyDescent="0.4">
      <c r="B9" s="11" t="s">
        <v>36</v>
      </c>
      <c r="C9" s="15">
        <v>2700</v>
      </c>
      <c r="D9" s="16">
        <f t="shared" si="0"/>
        <v>0.27</v>
      </c>
      <c r="E9" s="16">
        <f t="shared" ref="E9:E14" si="1">D9*3</f>
        <v>0.81</v>
      </c>
      <c r="H9" s="11" t="s">
        <v>50</v>
      </c>
      <c r="I9" s="16">
        <v>16370.16</v>
      </c>
      <c r="J9" s="16">
        <v>163701.6</v>
      </c>
    </row>
    <row r="10" spans="2:14" x14ac:dyDescent="0.4">
      <c r="B10" s="11" t="s">
        <v>37</v>
      </c>
      <c r="C10" s="15">
        <v>33528.239999999998</v>
      </c>
      <c r="D10" s="16">
        <f t="shared" si="0"/>
        <v>3.3528239999999996</v>
      </c>
      <c r="E10" s="16">
        <f t="shared" si="1"/>
        <v>10.058471999999998</v>
      </c>
    </row>
    <row r="11" spans="2:14" x14ac:dyDescent="0.4">
      <c r="B11" s="11" t="s">
        <v>38</v>
      </c>
      <c r="C11" s="15">
        <v>12714.12</v>
      </c>
      <c r="D11" s="16">
        <f t="shared" si="0"/>
        <v>1.271412</v>
      </c>
      <c r="E11" s="16">
        <f t="shared" si="1"/>
        <v>3.8142360000000002</v>
      </c>
      <c r="H11" s="11" t="s">
        <v>44</v>
      </c>
    </row>
    <row r="12" spans="2:14" x14ac:dyDescent="0.4">
      <c r="B12" s="11" t="s">
        <v>36</v>
      </c>
      <c r="C12" s="15">
        <v>1440</v>
      </c>
      <c r="D12" s="16">
        <f t="shared" si="0"/>
        <v>0.14399999999999999</v>
      </c>
      <c r="E12" s="16">
        <f t="shared" si="1"/>
        <v>0.43199999999999994</v>
      </c>
      <c r="H12" s="11" t="s">
        <v>51</v>
      </c>
      <c r="J12" s="16">
        <v>66371.679999999993</v>
      </c>
      <c r="K12" s="16">
        <f>J12/10000</f>
        <v>6.6371679999999991</v>
      </c>
      <c r="L12" s="80"/>
      <c r="M12" s="80"/>
      <c r="N12" s="80"/>
    </row>
    <row r="13" spans="2:14" x14ac:dyDescent="0.4">
      <c r="B13" s="11" t="s">
        <v>37</v>
      </c>
      <c r="C13" s="15">
        <v>20148</v>
      </c>
      <c r="D13" s="16">
        <f t="shared" si="0"/>
        <v>2.0148000000000001</v>
      </c>
      <c r="E13" s="16">
        <f t="shared" si="1"/>
        <v>6.0444000000000004</v>
      </c>
      <c r="H13" s="23" t="s">
        <v>52</v>
      </c>
      <c r="I13" s="16">
        <v>143679.25</v>
      </c>
      <c r="J13" s="16">
        <f>I13*2</f>
        <v>287358.5</v>
      </c>
      <c r="K13" s="16">
        <f t="shared" ref="K13:K14" si="2">J13/10000</f>
        <v>28.735849999999999</v>
      </c>
    </row>
    <row r="14" spans="2:14" x14ac:dyDescent="0.4">
      <c r="B14" s="11" t="s">
        <v>38</v>
      </c>
      <c r="C14" s="15">
        <v>8088</v>
      </c>
      <c r="D14" s="16">
        <f t="shared" si="0"/>
        <v>0.80879999999999996</v>
      </c>
      <c r="E14" s="16">
        <f t="shared" si="1"/>
        <v>2.4264000000000001</v>
      </c>
      <c r="H14" s="16" t="s">
        <v>53</v>
      </c>
      <c r="J14" s="16">
        <v>41367.730000000003</v>
      </c>
      <c r="K14" s="16">
        <f t="shared" si="2"/>
        <v>4.1367730000000007</v>
      </c>
    </row>
    <row r="15" spans="2:14" x14ac:dyDescent="0.4">
      <c r="B15" s="78" t="s">
        <v>142</v>
      </c>
      <c r="C15" s="11"/>
      <c r="D15" s="11"/>
      <c r="E15" s="17">
        <f>SUM(E3:E14)</f>
        <v>153.35326799999999</v>
      </c>
      <c r="K15" s="16">
        <f>SUM(K12:K14)</f>
        <v>39.509791</v>
      </c>
    </row>
    <row r="16" spans="2:14" x14ac:dyDescent="0.4">
      <c r="G16" s="23"/>
      <c r="H16" s="16" t="s">
        <v>54</v>
      </c>
      <c r="I16" s="16">
        <v>23120.05</v>
      </c>
      <c r="J16" s="16">
        <v>230300.5</v>
      </c>
    </row>
    <row r="17" spans="2:17" x14ac:dyDescent="0.4">
      <c r="B17" s="11" t="s">
        <v>36</v>
      </c>
      <c r="C17" s="15">
        <v>28017</v>
      </c>
      <c r="D17" s="16">
        <f>C17/10000</f>
        <v>2.8016999999999999</v>
      </c>
      <c r="E17" s="16">
        <f>D17*3</f>
        <v>8.4050999999999991</v>
      </c>
      <c r="G17" s="23"/>
      <c r="H17" s="16" t="s">
        <v>55</v>
      </c>
      <c r="I17" s="16">
        <v>47223.12</v>
      </c>
      <c r="J17" s="16">
        <v>561329.71</v>
      </c>
    </row>
    <row r="18" spans="2:17" x14ac:dyDescent="0.4">
      <c r="B18" s="11" t="s">
        <v>39</v>
      </c>
      <c r="C18" s="15">
        <v>4398.83</v>
      </c>
      <c r="D18" s="16">
        <f t="shared" ref="D18:D22" si="3">C18/10000</f>
        <v>0.43988299999999997</v>
      </c>
      <c r="E18" s="16">
        <f t="shared" ref="E18:E22" si="4">D18*3</f>
        <v>1.3196489999999998</v>
      </c>
      <c r="G18" s="23"/>
      <c r="H18" s="16" t="s">
        <v>56</v>
      </c>
      <c r="I18" s="16">
        <v>1188.99</v>
      </c>
      <c r="J18" s="16">
        <v>14565.1</v>
      </c>
    </row>
    <row r="19" spans="2:17" x14ac:dyDescent="0.4">
      <c r="B19" s="11" t="s">
        <v>40</v>
      </c>
      <c r="C19" s="15">
        <v>9230.27</v>
      </c>
      <c r="D19" s="16">
        <f t="shared" si="3"/>
        <v>0.92302700000000004</v>
      </c>
      <c r="E19" s="16">
        <f t="shared" si="4"/>
        <v>2.7690809999999999</v>
      </c>
    </row>
    <row r="20" spans="2:17" x14ac:dyDescent="0.4">
      <c r="B20" s="11" t="s">
        <v>41</v>
      </c>
      <c r="C20" s="15">
        <v>8848.57</v>
      </c>
      <c r="D20" s="16">
        <f t="shared" si="3"/>
        <v>0.884857</v>
      </c>
      <c r="E20" s="16">
        <f t="shared" si="4"/>
        <v>2.6545709999999998</v>
      </c>
    </row>
    <row r="21" spans="2:17" x14ac:dyDescent="0.4">
      <c r="B21" s="11" t="s">
        <v>42</v>
      </c>
      <c r="C21" s="15">
        <v>15056.4</v>
      </c>
      <c r="D21" s="16">
        <f t="shared" si="3"/>
        <v>1.5056399999999999</v>
      </c>
      <c r="E21" s="16">
        <f t="shared" si="4"/>
        <v>4.5169199999999998</v>
      </c>
    </row>
    <row r="22" spans="2:17" x14ac:dyDescent="0.4">
      <c r="B22" s="11" t="s">
        <v>43</v>
      </c>
      <c r="C22" s="15">
        <v>11751.3</v>
      </c>
      <c r="D22" s="16">
        <f t="shared" si="3"/>
        <v>1.17513</v>
      </c>
      <c r="E22" s="16">
        <f t="shared" si="4"/>
        <v>3.5253899999999998</v>
      </c>
      <c r="M22" s="80"/>
    </row>
    <row r="23" spans="2:17" x14ac:dyDescent="0.4">
      <c r="B23" s="19" t="s">
        <v>36</v>
      </c>
      <c r="C23" s="20">
        <v>105444</v>
      </c>
      <c r="D23" s="21">
        <f>C23/10000</f>
        <v>10.5444</v>
      </c>
      <c r="E23" s="21">
        <f>D23/0.4*0.5</f>
        <v>13.180499999999999</v>
      </c>
      <c r="M23" s="80"/>
    </row>
    <row r="24" spans="2:17" x14ac:dyDescent="0.4">
      <c r="B24" s="19" t="s">
        <v>39</v>
      </c>
      <c r="C24" s="20">
        <v>35640</v>
      </c>
      <c r="D24" s="21">
        <f t="shared" ref="D24:D26" si="5">C24/10000</f>
        <v>3.5640000000000001</v>
      </c>
      <c r="E24" s="21">
        <f t="shared" ref="E24:E26" si="6">D24/0.4*0.5</f>
        <v>4.4550000000000001</v>
      </c>
      <c r="K24" s="80"/>
      <c r="L24" s="80"/>
      <c r="M24" s="80"/>
    </row>
    <row r="25" spans="2:17" x14ac:dyDescent="0.4">
      <c r="B25" s="19" t="s">
        <v>41</v>
      </c>
      <c r="C25" s="20">
        <v>6050.3</v>
      </c>
      <c r="D25" s="21">
        <f t="shared" si="5"/>
        <v>0.60503000000000007</v>
      </c>
      <c r="E25" s="21">
        <f t="shared" si="6"/>
        <v>0.7562875</v>
      </c>
      <c r="G25" s="81" t="s">
        <v>83</v>
      </c>
      <c r="H25" s="81" t="s">
        <v>91</v>
      </c>
      <c r="I25" s="81"/>
      <c r="J25" s="81"/>
      <c r="K25" s="81" t="s">
        <v>84</v>
      </c>
      <c r="L25" s="81">
        <v>2</v>
      </c>
      <c r="M25" s="81">
        <v>15.486700000000001</v>
      </c>
      <c r="N25" s="82">
        <f>L25*M25</f>
        <v>30.973400000000002</v>
      </c>
    </row>
    <row r="26" spans="2:17" ht="29" x14ac:dyDescent="0.4">
      <c r="B26" s="19" t="s">
        <v>42</v>
      </c>
      <c r="C26" s="20">
        <v>4716.9799999999996</v>
      </c>
      <c r="D26" s="21">
        <f t="shared" si="5"/>
        <v>0.47169799999999995</v>
      </c>
      <c r="E26" s="21">
        <f t="shared" si="6"/>
        <v>0.58962249999999994</v>
      </c>
      <c r="G26" s="81" t="s">
        <v>85</v>
      </c>
      <c r="H26" s="81" t="s">
        <v>86</v>
      </c>
      <c r="I26" s="81" t="s">
        <v>87</v>
      </c>
      <c r="J26" s="81"/>
      <c r="K26" s="81" t="s">
        <v>88</v>
      </c>
      <c r="L26" s="81">
        <v>1</v>
      </c>
      <c r="M26" s="81">
        <v>6.3028000000000004</v>
      </c>
      <c r="N26" s="82">
        <f>L26*M26</f>
        <v>6.3028000000000004</v>
      </c>
    </row>
    <row r="27" spans="2:17" x14ac:dyDescent="0.4">
      <c r="B27" s="11" t="s">
        <v>36</v>
      </c>
      <c r="C27" s="15">
        <v>3465.89</v>
      </c>
      <c r="D27" s="16">
        <f>C27/10000</f>
        <v>0.34658899999999998</v>
      </c>
      <c r="E27" s="16">
        <f>D27*3</f>
        <v>1.0397669999999999</v>
      </c>
      <c r="H27" s="81" t="s">
        <v>89</v>
      </c>
      <c r="K27" s="80"/>
      <c r="L27" s="80"/>
      <c r="M27" s="80"/>
      <c r="N27" s="82">
        <v>61.95</v>
      </c>
    </row>
    <row r="28" spans="2:17" x14ac:dyDescent="0.4">
      <c r="B28" s="11" t="s">
        <v>39</v>
      </c>
      <c r="C28" s="15">
        <v>876.15</v>
      </c>
      <c r="D28" s="16">
        <f t="shared" ref="D28:D38" si="7">C28/10000</f>
        <v>8.7614999999999998E-2</v>
      </c>
      <c r="E28" s="16">
        <f t="shared" ref="E28:E38" si="8">D28*3</f>
        <v>0.262845</v>
      </c>
      <c r="K28" s="80"/>
      <c r="L28" s="80"/>
      <c r="M28" s="81" t="s">
        <v>90</v>
      </c>
      <c r="N28" s="82">
        <f>SUM(N25:N27)</f>
        <v>99.226200000000006</v>
      </c>
    </row>
    <row r="29" spans="2:17" x14ac:dyDescent="0.4">
      <c r="B29" s="11" t="s">
        <v>40</v>
      </c>
      <c r="C29" s="15">
        <v>1978.88</v>
      </c>
      <c r="D29" s="16">
        <f t="shared" si="7"/>
        <v>0.19788800000000001</v>
      </c>
      <c r="E29" s="16">
        <f t="shared" si="8"/>
        <v>0.59366399999999997</v>
      </c>
      <c r="K29" s="80"/>
      <c r="L29" s="80"/>
      <c r="M29" s="80"/>
    </row>
    <row r="30" spans="2:17" x14ac:dyDescent="0.4">
      <c r="B30" s="11" t="s">
        <v>41</v>
      </c>
      <c r="C30" s="15">
        <v>3150</v>
      </c>
      <c r="D30" s="16">
        <f t="shared" si="7"/>
        <v>0.315</v>
      </c>
      <c r="E30" s="16">
        <f t="shared" si="8"/>
        <v>0.94500000000000006</v>
      </c>
      <c r="G30" s="11" t="s">
        <v>138</v>
      </c>
      <c r="H30" s="16" t="s">
        <v>140</v>
      </c>
      <c r="I30" s="16" t="s">
        <v>139</v>
      </c>
      <c r="J30" s="16" t="s">
        <v>141</v>
      </c>
      <c r="K30" s="16" t="s">
        <v>90</v>
      </c>
      <c r="L30" s="80"/>
      <c r="M30" s="80"/>
      <c r="N30" s="80"/>
      <c r="O30" s="80"/>
      <c r="Q30" s="80"/>
    </row>
    <row r="31" spans="2:17" x14ac:dyDescent="0.4">
      <c r="B31" s="11" t="s">
        <v>42</v>
      </c>
      <c r="C31" s="15">
        <v>3292.62</v>
      </c>
      <c r="D31" s="16">
        <f t="shared" si="7"/>
        <v>0.329262</v>
      </c>
      <c r="E31" s="16">
        <f t="shared" si="8"/>
        <v>0.98778600000000005</v>
      </c>
      <c r="G31" s="11" t="s">
        <v>21</v>
      </c>
      <c r="H31" s="11" t="s">
        <v>36</v>
      </c>
      <c r="I31" s="16">
        <v>36.25</v>
      </c>
      <c r="J31" s="16">
        <f>SUMIF(B40:B79,H31,E40:E79)</f>
        <v>16.248160500000001</v>
      </c>
      <c r="K31" s="16">
        <f>SUM(I31:J31)</f>
        <v>52.498160499999997</v>
      </c>
      <c r="L31" s="80"/>
      <c r="M31" s="80"/>
      <c r="N31" s="80"/>
    </row>
    <row r="32" spans="2:17" x14ac:dyDescent="0.4">
      <c r="B32" s="11" t="s">
        <v>43</v>
      </c>
      <c r="C32" s="15">
        <v>1890.49</v>
      </c>
      <c r="D32" s="16">
        <f t="shared" si="7"/>
        <v>0.18904899999999999</v>
      </c>
      <c r="E32" s="16">
        <f t="shared" si="8"/>
        <v>0.56714699999999996</v>
      </c>
      <c r="G32" s="11" t="s">
        <v>21</v>
      </c>
      <c r="H32" s="11" t="s">
        <v>39</v>
      </c>
      <c r="I32" s="16">
        <v>88.13</v>
      </c>
      <c r="J32" s="16">
        <f t="shared" ref="J32:J35" si="9">SUMIF(B41:B80,H32,E41:E80)</f>
        <v>33.597115300000006</v>
      </c>
      <c r="K32" s="16">
        <f t="shared" ref="K32:K35" si="10">SUM(I32:J32)</f>
        <v>121.72711530000001</v>
      </c>
    </row>
    <row r="33" spans="2:16" x14ac:dyDescent="0.4">
      <c r="B33" s="11" t="s">
        <v>36</v>
      </c>
      <c r="C33" s="15">
        <v>2567.4</v>
      </c>
      <c r="D33" s="16">
        <f t="shared" si="7"/>
        <v>0.25674000000000002</v>
      </c>
      <c r="E33" s="16">
        <f t="shared" si="8"/>
        <v>0.77022000000000013</v>
      </c>
      <c r="G33" s="11" t="s">
        <v>21</v>
      </c>
      <c r="H33" s="11" t="s">
        <v>40</v>
      </c>
      <c r="I33" s="16">
        <v>34.5</v>
      </c>
      <c r="J33" s="16">
        <f t="shared" si="9"/>
        <v>10.474606600000001</v>
      </c>
      <c r="K33" s="16">
        <f t="shared" si="10"/>
        <v>44.974606600000001</v>
      </c>
      <c r="L33" s="80"/>
      <c r="M33" s="80"/>
      <c r="N33" s="80"/>
    </row>
    <row r="34" spans="2:16" x14ac:dyDescent="0.4">
      <c r="B34" s="11" t="s">
        <v>39</v>
      </c>
      <c r="C34" s="15">
        <v>467.28</v>
      </c>
      <c r="D34" s="16">
        <f t="shared" si="7"/>
        <v>4.6727999999999999E-2</v>
      </c>
      <c r="E34" s="16">
        <f t="shared" si="8"/>
        <v>0.140184</v>
      </c>
      <c r="G34" s="11" t="s">
        <v>21</v>
      </c>
      <c r="H34" s="11" t="s">
        <v>42</v>
      </c>
      <c r="I34" s="16">
        <v>84.51</v>
      </c>
      <c r="J34" s="16">
        <f t="shared" si="9"/>
        <v>27.2208714</v>
      </c>
      <c r="K34" s="16">
        <f t="shared" si="10"/>
        <v>111.73087140000001</v>
      </c>
      <c r="L34" s="80"/>
      <c r="M34" s="80"/>
      <c r="N34" s="80"/>
    </row>
    <row r="35" spans="2:16" x14ac:dyDescent="0.4">
      <c r="B35" s="11" t="s">
        <v>40</v>
      </c>
      <c r="C35" s="15">
        <v>1055.4000000000001</v>
      </c>
      <c r="D35" s="16">
        <f t="shared" si="7"/>
        <v>0.10554000000000001</v>
      </c>
      <c r="E35" s="16">
        <f t="shared" si="8"/>
        <v>0.31662000000000001</v>
      </c>
      <c r="G35" s="11" t="s">
        <v>21</v>
      </c>
      <c r="H35" s="11" t="s">
        <v>43</v>
      </c>
      <c r="I35" s="16">
        <v>51.21</v>
      </c>
      <c r="J35" s="16">
        <f t="shared" si="9"/>
        <v>15.581529550000003</v>
      </c>
      <c r="K35" s="16">
        <f t="shared" si="10"/>
        <v>66.791529550000007</v>
      </c>
      <c r="L35" s="80"/>
      <c r="M35" s="80"/>
      <c r="N35" s="80"/>
    </row>
    <row r="36" spans="2:16" x14ac:dyDescent="0.4">
      <c r="B36" s="11" t="s">
        <v>41</v>
      </c>
      <c r="C36" s="15">
        <v>1680</v>
      </c>
      <c r="D36" s="16">
        <f t="shared" si="7"/>
        <v>0.16800000000000001</v>
      </c>
      <c r="E36" s="16">
        <f t="shared" si="8"/>
        <v>0.504</v>
      </c>
      <c r="K36" s="80"/>
      <c r="L36" s="80"/>
      <c r="M36" s="80"/>
      <c r="N36" s="80"/>
    </row>
    <row r="37" spans="2:16" x14ac:dyDescent="0.4">
      <c r="B37" s="11" t="s">
        <v>42</v>
      </c>
      <c r="C37" s="15">
        <v>1722.33</v>
      </c>
      <c r="D37" s="16">
        <f t="shared" si="7"/>
        <v>0.172233</v>
      </c>
      <c r="E37" s="16">
        <f t="shared" si="8"/>
        <v>0.51669900000000002</v>
      </c>
    </row>
    <row r="38" spans="2:16" x14ac:dyDescent="0.4">
      <c r="B38" s="11" t="s">
        <v>43</v>
      </c>
      <c r="C38" s="15">
        <v>1397.92</v>
      </c>
      <c r="D38" s="16">
        <f t="shared" si="7"/>
        <v>0.139792</v>
      </c>
      <c r="E38" s="16">
        <f t="shared" si="8"/>
        <v>0.41937599999999997</v>
      </c>
      <c r="L38" s="80"/>
      <c r="M38" s="80"/>
      <c r="N38" s="80"/>
      <c r="O38" s="80"/>
    </row>
    <row r="39" spans="2:16" x14ac:dyDescent="0.4">
      <c r="B39" s="78" t="s">
        <v>143</v>
      </c>
      <c r="E39" s="16">
        <f>SUM(E17:E38)</f>
        <v>49.235428999999989</v>
      </c>
      <c r="L39" s="80"/>
      <c r="M39" s="80"/>
      <c r="N39" s="80"/>
      <c r="O39" s="80"/>
    </row>
    <row r="40" spans="2:16" x14ac:dyDescent="0.4">
      <c r="B40" s="11" t="s">
        <v>36</v>
      </c>
      <c r="C40" s="15">
        <v>22923</v>
      </c>
      <c r="D40" s="16">
        <f>C40/10000</f>
        <v>2.2923</v>
      </c>
      <c r="E40" s="16">
        <f>D40*3</f>
        <v>6.8769</v>
      </c>
      <c r="L40" s="80"/>
      <c r="M40" s="80"/>
      <c r="N40" s="80"/>
      <c r="O40" s="80"/>
    </row>
    <row r="41" spans="2:16" x14ac:dyDescent="0.4">
      <c r="B41" s="11" t="s">
        <v>39</v>
      </c>
      <c r="C41" s="15">
        <v>62763.93</v>
      </c>
      <c r="D41" s="16">
        <f t="shared" ref="D41:D55" si="11">C41/10000</f>
        <v>6.2763929999999997</v>
      </c>
      <c r="E41" s="16">
        <f t="shared" ref="E41:E44" si="12">D41*3</f>
        <v>18.829179</v>
      </c>
      <c r="L41" s="80"/>
      <c r="M41" s="80"/>
      <c r="N41" s="80"/>
      <c r="O41" s="80"/>
    </row>
    <row r="42" spans="2:16" x14ac:dyDescent="0.4">
      <c r="B42" s="11" t="s">
        <v>40</v>
      </c>
      <c r="C42" s="15">
        <v>22152.61</v>
      </c>
      <c r="D42" s="16">
        <f t="shared" si="11"/>
        <v>2.2152609999999999</v>
      </c>
      <c r="E42" s="16">
        <f t="shared" si="12"/>
        <v>6.6457829999999998</v>
      </c>
      <c r="L42" s="80"/>
      <c r="M42" s="80"/>
      <c r="N42" s="80"/>
      <c r="O42" s="80"/>
    </row>
    <row r="43" spans="2:16" x14ac:dyDescent="0.4">
      <c r="B43" s="11" t="s">
        <v>42</v>
      </c>
      <c r="C43" s="15">
        <v>53425.16</v>
      </c>
      <c r="D43" s="16">
        <f t="shared" si="11"/>
        <v>5.3425160000000007</v>
      </c>
      <c r="E43" s="16">
        <f t="shared" si="12"/>
        <v>16.027548000000003</v>
      </c>
      <c r="M43" s="80"/>
      <c r="N43" s="80"/>
      <c r="O43" s="80"/>
      <c r="P43" s="80"/>
    </row>
    <row r="44" spans="2:16" x14ac:dyDescent="0.4">
      <c r="B44" s="11" t="s">
        <v>43</v>
      </c>
      <c r="C44" s="15">
        <v>27419.7</v>
      </c>
      <c r="D44" s="16">
        <f t="shared" si="11"/>
        <v>2.7419700000000002</v>
      </c>
      <c r="E44" s="16">
        <f t="shared" si="12"/>
        <v>8.2259100000000007</v>
      </c>
      <c r="K44" s="80"/>
      <c r="L44" s="80"/>
      <c r="M44" s="80"/>
      <c r="N44" s="80"/>
      <c r="O44" s="80"/>
      <c r="P44" s="80"/>
    </row>
    <row r="45" spans="2:16" x14ac:dyDescent="0.4">
      <c r="B45" s="19" t="s">
        <v>36</v>
      </c>
      <c r="C45" s="20">
        <v>63266.400000000001</v>
      </c>
      <c r="D45" s="21">
        <f t="shared" si="11"/>
        <v>6.3266400000000003</v>
      </c>
      <c r="E45" s="21">
        <f t="shared" ref="E45:E49" si="13">D45/0.4*0.5</f>
        <v>7.9082999999999997</v>
      </c>
      <c r="M45" s="80"/>
      <c r="N45" s="80"/>
      <c r="O45" s="80"/>
      <c r="P45" s="80"/>
    </row>
    <row r="46" spans="2:16" x14ac:dyDescent="0.4">
      <c r="B46" s="19" t="s">
        <v>39</v>
      </c>
      <c r="C46" s="20">
        <v>84345.2</v>
      </c>
      <c r="D46" s="21">
        <f t="shared" si="11"/>
        <v>8.4345199999999991</v>
      </c>
      <c r="E46" s="21">
        <f t="shared" si="13"/>
        <v>10.543149999999999</v>
      </c>
      <c r="M46" s="80"/>
      <c r="N46" s="80"/>
    </row>
    <row r="47" spans="2:16" x14ac:dyDescent="0.4">
      <c r="B47" s="19" t="s">
        <v>40</v>
      </c>
      <c r="C47" s="20">
        <v>11018.24</v>
      </c>
      <c r="D47" s="21">
        <f t="shared" si="11"/>
        <v>1.1018239999999999</v>
      </c>
      <c r="E47" s="21">
        <f t="shared" si="13"/>
        <v>1.3772799999999998</v>
      </c>
      <c r="N47" s="80"/>
      <c r="O47" s="80"/>
    </row>
    <row r="48" spans="2:16" x14ac:dyDescent="0.4">
      <c r="B48" s="19" t="s">
        <v>42</v>
      </c>
      <c r="C48" s="20">
        <v>43318.38</v>
      </c>
      <c r="D48" s="21">
        <f t="shared" si="11"/>
        <v>4.3318379999999994</v>
      </c>
      <c r="E48" s="21">
        <f t="shared" si="13"/>
        <v>5.4147974999999988</v>
      </c>
      <c r="L48" s="80"/>
      <c r="M48" s="80"/>
      <c r="N48" s="80"/>
      <c r="O48" s="80"/>
    </row>
    <row r="49" spans="2:16" x14ac:dyDescent="0.4">
      <c r="B49" s="19" t="s">
        <v>43</v>
      </c>
      <c r="C49" s="20">
        <v>35971.49</v>
      </c>
      <c r="D49" s="21">
        <f t="shared" si="11"/>
        <v>3.5971489999999999</v>
      </c>
      <c r="E49" s="21">
        <f t="shared" si="13"/>
        <v>4.4964362499999995</v>
      </c>
    </row>
    <row r="50" spans="2:16" x14ac:dyDescent="0.4">
      <c r="B50" s="11" t="s">
        <v>36</v>
      </c>
      <c r="C50" s="15">
        <v>1958.5150000000001</v>
      </c>
      <c r="D50" s="16">
        <f t="shared" si="11"/>
        <v>0.19585150000000001</v>
      </c>
      <c r="E50" s="16">
        <f t="shared" ref="E50:E55" si="14">D50*3</f>
        <v>0.58755449999999998</v>
      </c>
      <c r="K50" s="80"/>
      <c r="L50" s="80"/>
      <c r="M50" s="80"/>
      <c r="N50" s="80"/>
    </row>
    <row r="51" spans="2:16" x14ac:dyDescent="0.4">
      <c r="B51" s="11" t="s">
        <v>39</v>
      </c>
      <c r="C51" s="15">
        <v>5976.4160000000002</v>
      </c>
      <c r="D51" s="16">
        <f t="shared" si="11"/>
        <v>0.5976416</v>
      </c>
      <c r="E51" s="16">
        <f t="shared" si="14"/>
        <v>1.7929248</v>
      </c>
      <c r="L51" s="80"/>
      <c r="M51" s="80"/>
      <c r="N51" s="80"/>
      <c r="O51" s="80"/>
    </row>
    <row r="52" spans="2:16" x14ac:dyDescent="0.4">
      <c r="B52" s="11" t="s">
        <v>40</v>
      </c>
      <c r="C52" s="15">
        <v>3884.4780000000001</v>
      </c>
      <c r="D52" s="16">
        <f t="shared" si="11"/>
        <v>0.38844780000000001</v>
      </c>
      <c r="E52" s="16">
        <f t="shared" si="14"/>
        <v>1.1653434</v>
      </c>
      <c r="K52" s="80"/>
      <c r="L52" s="80"/>
      <c r="M52" s="80"/>
      <c r="N52" s="80"/>
    </row>
    <row r="53" spans="2:16" x14ac:dyDescent="0.4">
      <c r="B53" s="11" t="s">
        <v>42</v>
      </c>
      <c r="C53" s="15">
        <v>8972.5519999999997</v>
      </c>
      <c r="D53" s="16">
        <f t="shared" si="11"/>
        <v>0.89725519999999992</v>
      </c>
      <c r="E53" s="16">
        <f t="shared" si="14"/>
        <v>2.6917655999999996</v>
      </c>
    </row>
    <row r="54" spans="2:16" x14ac:dyDescent="0.4">
      <c r="B54" s="11" t="s">
        <v>43</v>
      </c>
      <c r="C54" s="15">
        <v>3827.2510000000002</v>
      </c>
      <c r="D54" s="16">
        <f t="shared" si="11"/>
        <v>0.38272510000000004</v>
      </c>
      <c r="E54" s="16">
        <f t="shared" si="14"/>
        <v>1.1481753000000001</v>
      </c>
      <c r="L54" s="80"/>
      <c r="M54" s="80"/>
      <c r="N54" s="80"/>
      <c r="O54" s="80"/>
    </row>
    <row r="55" spans="2:16" x14ac:dyDescent="0.4">
      <c r="B55" s="11" t="s">
        <v>36</v>
      </c>
      <c r="C55" s="15">
        <v>61.209000000000003</v>
      </c>
      <c r="D55" s="16">
        <f t="shared" si="11"/>
        <v>6.1209000000000003E-3</v>
      </c>
      <c r="E55" s="16">
        <f t="shared" si="14"/>
        <v>1.8362700000000003E-2</v>
      </c>
    </row>
    <row r="56" spans="2:16" x14ac:dyDescent="0.4">
      <c r="B56" s="11" t="s">
        <v>39</v>
      </c>
      <c r="C56" s="15">
        <v>186.76300000000001</v>
      </c>
      <c r="D56" s="16">
        <f t="shared" ref="D56:D66" si="15">C56/10000</f>
        <v>1.86763E-2</v>
      </c>
      <c r="E56" s="16">
        <f t="shared" ref="E56:E66" si="16">D56*3</f>
        <v>5.60289E-2</v>
      </c>
    </row>
    <row r="57" spans="2:16" x14ac:dyDescent="0.4">
      <c r="B57" s="11" t="s">
        <v>40</v>
      </c>
      <c r="C57" s="15">
        <v>121.38499999999999</v>
      </c>
      <c r="D57" s="16">
        <f t="shared" si="15"/>
        <v>1.2138499999999998E-2</v>
      </c>
      <c r="E57" s="16">
        <f t="shared" si="16"/>
        <v>3.6415499999999996E-2</v>
      </c>
    </row>
    <row r="58" spans="2:16" x14ac:dyDescent="0.4">
      <c r="B58" s="11" t="s">
        <v>42</v>
      </c>
      <c r="C58" s="15">
        <v>280.39299999999997</v>
      </c>
      <c r="D58" s="16">
        <f t="shared" si="15"/>
        <v>2.8039299999999996E-2</v>
      </c>
      <c r="E58" s="16">
        <f t="shared" si="16"/>
        <v>8.4117899999999995E-2</v>
      </c>
    </row>
    <row r="59" spans="2:16" x14ac:dyDescent="0.4">
      <c r="B59" s="11" t="s">
        <v>43</v>
      </c>
      <c r="C59" s="15">
        <v>119.602</v>
      </c>
      <c r="D59" s="16">
        <f t="shared" si="15"/>
        <v>1.1960200000000001E-2</v>
      </c>
      <c r="E59" s="16">
        <f t="shared" si="16"/>
        <v>3.5880599999999999E-2</v>
      </c>
      <c r="L59" s="80"/>
      <c r="M59" s="80"/>
      <c r="N59" s="80"/>
      <c r="O59" s="80"/>
      <c r="P59" s="80"/>
    </row>
    <row r="60" spans="2:16" x14ac:dyDescent="0.4">
      <c r="B60" s="11" t="s">
        <v>36</v>
      </c>
      <c r="C60" s="15">
        <v>24.48</v>
      </c>
      <c r="D60" s="16">
        <f t="shared" si="15"/>
        <v>2.4480000000000001E-3</v>
      </c>
      <c r="E60" s="16">
        <f t="shared" si="16"/>
        <v>7.3439999999999998E-3</v>
      </c>
      <c r="M60" s="80"/>
      <c r="N60" s="80"/>
      <c r="O60" s="80"/>
      <c r="P60" s="80"/>
    </row>
    <row r="61" spans="2:16" x14ac:dyDescent="0.4">
      <c r="B61" s="11" t="s">
        <v>39</v>
      </c>
      <c r="C61" s="15">
        <v>74.700999999999993</v>
      </c>
      <c r="D61" s="16">
        <f t="shared" si="15"/>
        <v>7.4700999999999995E-3</v>
      </c>
      <c r="E61" s="16">
        <f t="shared" si="16"/>
        <v>2.2410299999999998E-2</v>
      </c>
      <c r="L61" s="80"/>
      <c r="M61" s="80"/>
      <c r="N61" s="80"/>
      <c r="O61" s="80"/>
      <c r="P61" s="80"/>
    </row>
    <row r="62" spans="2:16" x14ac:dyDescent="0.4">
      <c r="B62" s="11" t="s">
        <v>40</v>
      </c>
      <c r="C62" s="15">
        <v>48.548000000000002</v>
      </c>
      <c r="D62" s="16">
        <f t="shared" si="15"/>
        <v>4.8548000000000003E-3</v>
      </c>
      <c r="E62" s="16">
        <f t="shared" si="16"/>
        <v>1.4564400000000002E-2</v>
      </c>
      <c r="M62" s="80"/>
      <c r="N62" s="80"/>
      <c r="O62" s="80"/>
      <c r="P62" s="80"/>
    </row>
    <row r="63" spans="2:16" x14ac:dyDescent="0.4">
      <c r="B63" s="11" t="s">
        <v>42</v>
      </c>
      <c r="C63" s="15">
        <v>112.15899999999999</v>
      </c>
      <c r="D63" s="16">
        <f t="shared" si="15"/>
        <v>1.1215899999999999E-2</v>
      </c>
      <c r="E63" s="16">
        <f t="shared" si="16"/>
        <v>3.3647699999999996E-2</v>
      </c>
      <c r="L63" s="80"/>
      <c r="M63" s="80"/>
      <c r="N63" s="80"/>
      <c r="O63" s="80"/>
    </row>
    <row r="64" spans="2:16" x14ac:dyDescent="0.4">
      <c r="B64" s="11" t="s">
        <v>43</v>
      </c>
      <c r="C64" s="15">
        <v>47.837000000000003</v>
      </c>
      <c r="D64" s="16">
        <f t="shared" si="15"/>
        <v>4.7837000000000001E-3</v>
      </c>
      <c r="E64" s="16">
        <f t="shared" si="16"/>
        <v>1.43511E-2</v>
      </c>
    </row>
    <row r="65" spans="2:15" x14ac:dyDescent="0.4">
      <c r="B65" s="11" t="s">
        <v>36</v>
      </c>
      <c r="C65" s="15">
        <v>97.923000000000002</v>
      </c>
      <c r="D65" s="16">
        <f t="shared" si="15"/>
        <v>9.7923000000000003E-3</v>
      </c>
      <c r="E65" s="16">
        <f t="shared" si="16"/>
        <v>2.9376900000000001E-2</v>
      </c>
      <c r="L65" s="80"/>
      <c r="M65" s="80"/>
      <c r="N65" s="80"/>
      <c r="O65" s="80"/>
    </row>
    <row r="66" spans="2:15" x14ac:dyDescent="0.4">
      <c r="B66" s="11" t="s">
        <v>39</v>
      </c>
      <c r="C66" s="15">
        <v>298.82499999999999</v>
      </c>
      <c r="D66" s="16">
        <f t="shared" si="15"/>
        <v>2.9882499999999999E-2</v>
      </c>
      <c r="E66" s="16">
        <f t="shared" si="16"/>
        <v>8.9647499999999991E-2</v>
      </c>
    </row>
    <row r="67" spans="2:15" x14ac:dyDescent="0.4">
      <c r="B67" s="11" t="s">
        <v>40</v>
      </c>
      <c r="C67" s="15">
        <v>194.233</v>
      </c>
      <c r="D67" s="16">
        <f t="shared" ref="D67:D79" si="17">C67/10000</f>
        <v>1.9423300000000001E-2</v>
      </c>
      <c r="E67" s="16">
        <f t="shared" ref="E67:E79" si="18">D67*3</f>
        <v>5.8269899999999999E-2</v>
      </c>
      <c r="L67" s="80"/>
      <c r="M67" s="80"/>
      <c r="N67" s="80"/>
      <c r="O67" s="80"/>
    </row>
    <row r="68" spans="2:15" x14ac:dyDescent="0.4">
      <c r="B68" s="11" t="s">
        <v>42</v>
      </c>
      <c r="C68" s="15">
        <v>448.62399999999997</v>
      </c>
      <c r="D68" s="16">
        <f t="shared" si="17"/>
        <v>4.4862399999999997E-2</v>
      </c>
      <c r="E68" s="16">
        <f t="shared" si="18"/>
        <v>0.13458719999999999</v>
      </c>
    </row>
    <row r="69" spans="2:15" x14ac:dyDescent="0.4">
      <c r="B69" s="11" t="s">
        <v>43</v>
      </c>
      <c r="C69" s="15">
        <v>191.36600000000001</v>
      </c>
      <c r="D69" s="16">
        <f t="shared" si="17"/>
        <v>1.91366E-2</v>
      </c>
      <c r="E69" s="16">
        <f t="shared" si="18"/>
        <v>5.7409799999999997E-2</v>
      </c>
    </row>
    <row r="70" spans="2:15" x14ac:dyDescent="0.4">
      <c r="B70" s="11" t="s">
        <v>36</v>
      </c>
      <c r="C70" s="15">
        <v>574.94799999999998</v>
      </c>
      <c r="D70" s="16">
        <f t="shared" si="17"/>
        <v>5.7494799999999999E-2</v>
      </c>
      <c r="E70" s="16">
        <f t="shared" si="18"/>
        <v>0.17248439999999998</v>
      </c>
    </row>
    <row r="71" spans="2:15" x14ac:dyDescent="0.4">
      <c r="B71" s="11" t="s">
        <v>39</v>
      </c>
      <c r="C71" s="15">
        <v>1754.404</v>
      </c>
      <c r="D71" s="16">
        <f t="shared" si="17"/>
        <v>0.1754404</v>
      </c>
      <c r="E71" s="16">
        <f t="shared" si="18"/>
        <v>0.52632119999999993</v>
      </c>
    </row>
    <row r="72" spans="2:15" x14ac:dyDescent="0.4">
      <c r="B72" s="11" t="s">
        <v>40</v>
      </c>
      <c r="C72" s="15">
        <v>1127.5440000000001</v>
      </c>
      <c r="D72" s="16">
        <f t="shared" si="17"/>
        <v>0.1127544</v>
      </c>
      <c r="E72" s="16">
        <f t="shared" si="18"/>
        <v>0.33826319999999999</v>
      </c>
    </row>
    <row r="73" spans="2:15" x14ac:dyDescent="0.4">
      <c r="B73" s="11" t="s">
        <v>42</v>
      </c>
      <c r="C73" s="15">
        <v>2634.1970000000001</v>
      </c>
      <c r="D73" s="16">
        <f t="shared" si="17"/>
        <v>0.26341970000000003</v>
      </c>
      <c r="E73" s="16">
        <f t="shared" si="18"/>
        <v>0.7902591000000001</v>
      </c>
    </row>
    <row r="74" spans="2:15" x14ac:dyDescent="0.4">
      <c r="B74" s="11" t="s">
        <v>43</v>
      </c>
      <c r="C74" s="15">
        <v>1122.059</v>
      </c>
      <c r="D74" s="16">
        <f t="shared" si="17"/>
        <v>0.1122059</v>
      </c>
      <c r="E74" s="16">
        <f t="shared" si="18"/>
        <v>0.33661770000000002</v>
      </c>
    </row>
    <row r="75" spans="2:15" x14ac:dyDescent="0.4">
      <c r="B75" s="11" t="s">
        <v>36</v>
      </c>
      <c r="C75" s="15">
        <v>2159.46</v>
      </c>
      <c r="D75" s="16">
        <f t="shared" si="17"/>
        <v>0.215946</v>
      </c>
      <c r="E75" s="16">
        <f t="shared" si="18"/>
        <v>0.64783800000000002</v>
      </c>
    </row>
    <row r="76" spans="2:15" x14ac:dyDescent="0.4">
      <c r="B76" s="11" t="s">
        <v>39</v>
      </c>
      <c r="C76" s="15">
        <v>5791.5120000000006</v>
      </c>
      <c r="D76" s="16">
        <f t="shared" si="17"/>
        <v>0.57915120000000009</v>
      </c>
      <c r="E76" s="16">
        <f t="shared" si="18"/>
        <v>1.7374536000000003</v>
      </c>
    </row>
    <row r="77" spans="2:15" x14ac:dyDescent="0.4">
      <c r="B77" s="11" t="s">
        <v>40</v>
      </c>
      <c r="C77" s="15">
        <v>2795.6240000000003</v>
      </c>
      <c r="D77" s="16">
        <f t="shared" si="17"/>
        <v>0.27956240000000004</v>
      </c>
      <c r="E77" s="16">
        <f t="shared" si="18"/>
        <v>0.83868720000000008</v>
      </c>
    </row>
    <row r="78" spans="2:15" x14ac:dyDescent="0.4">
      <c r="B78" s="11" t="s">
        <v>42</v>
      </c>
      <c r="C78" s="15">
        <v>6813.8279999999995</v>
      </c>
      <c r="D78" s="16">
        <f t="shared" si="17"/>
        <v>0.68138279999999996</v>
      </c>
      <c r="E78" s="16">
        <f t="shared" si="18"/>
        <v>2.0441484000000001</v>
      </c>
    </row>
    <row r="79" spans="2:15" x14ac:dyDescent="0.4">
      <c r="B79" s="11" t="s">
        <v>43</v>
      </c>
      <c r="C79" s="15">
        <v>4222.4960000000001</v>
      </c>
      <c r="D79" s="16">
        <f t="shared" si="17"/>
        <v>0.4222496</v>
      </c>
      <c r="E79" s="16">
        <f t="shared" si="18"/>
        <v>1.2667488</v>
      </c>
    </row>
    <row r="80" spans="2:15" x14ac:dyDescent="0.4">
      <c r="B80" s="78" t="s">
        <v>144</v>
      </c>
      <c r="C80" s="15"/>
      <c r="D80" s="16"/>
      <c r="E80" s="16">
        <f>SUM(E40:E79)</f>
        <v>103.12228334999999</v>
      </c>
    </row>
    <row r="81" spans="2:5" x14ac:dyDescent="0.4">
      <c r="B81" s="11" t="s">
        <v>93</v>
      </c>
      <c r="C81" s="15">
        <v>7358.73</v>
      </c>
      <c r="D81" s="16">
        <f t="shared" ref="D81" si="19">C81/10000</f>
        <v>0.735873</v>
      </c>
      <c r="E81" s="16">
        <f t="shared" ref="E81" si="20">D81*3</f>
        <v>2.2076190000000002</v>
      </c>
    </row>
    <row r="82" spans="2:5" x14ac:dyDescent="0.4">
      <c r="B82" s="11" t="s">
        <v>94</v>
      </c>
      <c r="C82" s="15">
        <v>3559.81</v>
      </c>
      <c r="D82" s="16">
        <f t="shared" ref="D82" si="21">C82/10000</f>
        <v>0.35598099999999999</v>
      </c>
      <c r="E82" s="16">
        <f t="shared" ref="E82" si="22">D82*3</f>
        <v>1.0679430000000001</v>
      </c>
    </row>
    <row r="83" spans="2:5" x14ac:dyDescent="0.4">
      <c r="B83" s="11"/>
      <c r="C83" s="15"/>
      <c r="D83" s="16"/>
      <c r="E83" s="16">
        <f>SUM(E81:E82)</f>
        <v>3.2755620000000003</v>
      </c>
    </row>
    <row r="84" spans="2:5" x14ac:dyDescent="0.4">
      <c r="B84" s="11"/>
      <c r="C84" s="15"/>
      <c r="D84" s="16"/>
      <c r="E84" s="1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经营预测</vt:lpstr>
      <vt:lpstr>收入预测</vt:lpstr>
      <vt:lpstr>费用预测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张海霞</dc:creator>
  <cp:lastModifiedBy>张 海霞</cp:lastModifiedBy>
  <dcterms:created xsi:type="dcterms:W3CDTF">2015-06-05T18:19:34Z</dcterms:created>
  <dcterms:modified xsi:type="dcterms:W3CDTF">2025-11-21T06:38:10Z</dcterms:modified>
</cp:coreProperties>
</file>