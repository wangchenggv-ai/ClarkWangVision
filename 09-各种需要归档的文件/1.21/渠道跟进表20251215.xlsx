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imi\Desktop\"/>
    </mc:Choice>
  </mc:AlternateContent>
  <xr:revisionPtr revIDLastSave="0" documentId="13_ncr:1_{C73D9CBE-3CF4-453D-9B7B-6BE557E00D10}" xr6:coauthVersionLast="47" xr6:coauthVersionMax="47" xr10:uidLastSave="{00000000-0000-0000-0000-000000000000}"/>
  <bookViews>
    <workbookView xWindow="-98" yWindow="-98" windowWidth="23236" windowHeight="13875" tabRatio="922" xr2:uid="{00000000-000D-0000-FFFF-FFFF00000000}"/>
  </bookViews>
  <sheets>
    <sheet name="TIPS" sheetId="1" r:id="rId1"/>
    <sheet name="可视化动态图形合集" sheetId="2" r:id="rId2"/>
    <sheet name="省市" sheetId="9" state="hidden" r:id="rId3"/>
    <sheet name="ALL总表-各代理商总达成" sheetId="5" r:id="rId4"/>
    <sheet name="代理商-产品进销存" sheetId="4" r:id="rId5"/>
    <sheet name="代理商-进货明细表" sheetId="11" r:id="rId6"/>
    <sheet name="代理商-授权医院清单" sheetId="7" r:id="rId7"/>
    <sheet name="终端客户销售统计表" sheetId="6" r:id="rId8"/>
  </sheets>
  <definedNames>
    <definedName name="_xlnm._FilterDatabase" localSheetId="4" hidden="1">'代理商-产品进销存'!$A$2:$AC$158</definedName>
    <definedName name="_xlnm._FilterDatabase" localSheetId="7" hidden="1">终端客户销售统计表!$A$1:$R$21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2" l="1"/>
  <c r="L16" i="2"/>
  <c r="M16" i="2"/>
  <c r="N16" i="2"/>
  <c r="O16" i="2"/>
  <c r="P16" i="2"/>
  <c r="Q16" i="2"/>
  <c r="R16" i="2"/>
  <c r="S16" i="2"/>
  <c r="T16" i="2"/>
  <c r="U16" i="2"/>
  <c r="J16" i="2"/>
  <c r="C16" i="2"/>
  <c r="D16" i="2"/>
  <c r="E16" i="2"/>
  <c r="F16" i="2"/>
  <c r="G16" i="2"/>
  <c r="H16" i="2"/>
  <c r="I16" i="2"/>
  <c r="B16" i="2"/>
  <c r="AA4" i="4"/>
  <c r="AA5" i="4"/>
  <c r="AA6" i="4"/>
  <c r="AA7" i="4"/>
  <c r="AA8" i="4"/>
  <c r="AA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41" i="4"/>
  <c r="AA42" i="4"/>
  <c r="AA43" i="4"/>
  <c r="AA44" i="4"/>
  <c r="AA45" i="4"/>
  <c r="AA46" i="4"/>
  <c r="AA47" i="4"/>
  <c r="AA48" i="4"/>
  <c r="AA49" i="4"/>
  <c r="AA50" i="4"/>
  <c r="AA51" i="4"/>
  <c r="AA52" i="4"/>
  <c r="AA53" i="4"/>
  <c r="AA54" i="4"/>
  <c r="AA55" i="4"/>
  <c r="AA56" i="4"/>
  <c r="AA57" i="4"/>
  <c r="AA58" i="4"/>
  <c r="AA59" i="4"/>
  <c r="AA60" i="4"/>
  <c r="AA61" i="4"/>
  <c r="AA62" i="4"/>
  <c r="AA63" i="4"/>
  <c r="AA64" i="4"/>
  <c r="AA65" i="4"/>
  <c r="AA66" i="4"/>
  <c r="AA67" i="4"/>
  <c r="AA68" i="4"/>
  <c r="AA69" i="4"/>
  <c r="AA70" i="4"/>
  <c r="AA71" i="4"/>
  <c r="AA72" i="4"/>
  <c r="AA73" i="4"/>
  <c r="AA74" i="4"/>
  <c r="AA75" i="4"/>
  <c r="AA76" i="4"/>
  <c r="AA77" i="4"/>
  <c r="AA78" i="4"/>
  <c r="AA79" i="4"/>
  <c r="AA80" i="4"/>
  <c r="AA81" i="4"/>
  <c r="AA82" i="4"/>
  <c r="AA83" i="4"/>
  <c r="AA84" i="4"/>
  <c r="AA85" i="4"/>
  <c r="AA86" i="4"/>
  <c r="AA87" i="4"/>
  <c r="AA88" i="4"/>
  <c r="AA89" i="4"/>
  <c r="AA90" i="4"/>
  <c r="AA91" i="4"/>
  <c r="AA92" i="4"/>
  <c r="AA93" i="4"/>
  <c r="AA94" i="4"/>
  <c r="AA95" i="4"/>
  <c r="AA96" i="4"/>
  <c r="AA97" i="4"/>
  <c r="AA98" i="4"/>
  <c r="AA99" i="4"/>
  <c r="AA100" i="4"/>
  <c r="AA101" i="4"/>
  <c r="AA102" i="4"/>
  <c r="AA103" i="4"/>
  <c r="AA104" i="4"/>
  <c r="AA105" i="4"/>
  <c r="AA106" i="4"/>
  <c r="AA107" i="4"/>
  <c r="AA108" i="4"/>
  <c r="AA109" i="4"/>
  <c r="AA110" i="4"/>
  <c r="AA111" i="4"/>
  <c r="AA112" i="4"/>
  <c r="AA113" i="4"/>
  <c r="AA114" i="4"/>
  <c r="AA115" i="4"/>
  <c r="AA116" i="4"/>
  <c r="AA117" i="4"/>
  <c r="AA118" i="4"/>
  <c r="AA119" i="4"/>
  <c r="AA120" i="4"/>
  <c r="AA121" i="4"/>
  <c r="AA122" i="4"/>
  <c r="AA123" i="4"/>
  <c r="AA124" i="4"/>
  <c r="AA125" i="4"/>
  <c r="AA126" i="4"/>
  <c r="AA127" i="4"/>
  <c r="AA128" i="4"/>
  <c r="AA129" i="4"/>
  <c r="AA130" i="4"/>
  <c r="AA131" i="4"/>
  <c r="AA132" i="4"/>
  <c r="AA133" i="4"/>
  <c r="AA134" i="4"/>
  <c r="AA135" i="4"/>
  <c r="AA136" i="4"/>
  <c r="AA137" i="4"/>
  <c r="AA138" i="4"/>
  <c r="AA139" i="4"/>
  <c r="AA140" i="4"/>
  <c r="AA141" i="4"/>
  <c r="AA142" i="4"/>
  <c r="AA143" i="4"/>
  <c r="AA144" i="4"/>
  <c r="AA145" i="4"/>
  <c r="AA146" i="4"/>
  <c r="AA147" i="4"/>
  <c r="AA148" i="4"/>
  <c r="AA149" i="4"/>
  <c r="AA150" i="4"/>
  <c r="AA151" i="4"/>
  <c r="AA152" i="4"/>
  <c r="AA153" i="4"/>
  <c r="AA154" i="4"/>
  <c r="AA155" i="4"/>
  <c r="AA156" i="4"/>
  <c r="AA157" i="4"/>
  <c r="AA158" i="4"/>
  <c r="W4" i="4"/>
  <c r="X4" i="4"/>
  <c r="Y4" i="4"/>
  <c r="Z4" i="4"/>
  <c r="W5" i="4"/>
  <c r="X5" i="4"/>
  <c r="Y5" i="4"/>
  <c r="Z5" i="4"/>
  <c r="W6" i="4"/>
  <c r="X6" i="4"/>
  <c r="Y6" i="4"/>
  <c r="Z6" i="4"/>
  <c r="W7" i="4"/>
  <c r="X7" i="4"/>
  <c r="Y7" i="4"/>
  <c r="Z7" i="4"/>
  <c r="W8" i="4"/>
  <c r="X8" i="4"/>
  <c r="Y8" i="4"/>
  <c r="Z8" i="4"/>
  <c r="W9" i="4"/>
  <c r="X9" i="4"/>
  <c r="Y9" i="4"/>
  <c r="Z9" i="4"/>
  <c r="W10" i="4"/>
  <c r="X10" i="4"/>
  <c r="Y10" i="4"/>
  <c r="Z10" i="4"/>
  <c r="W11" i="4"/>
  <c r="X11" i="4"/>
  <c r="Y11" i="4"/>
  <c r="Z11" i="4"/>
  <c r="W12" i="4"/>
  <c r="X12" i="4"/>
  <c r="Y12" i="4"/>
  <c r="Z12" i="4"/>
  <c r="W13" i="4"/>
  <c r="X13" i="4"/>
  <c r="Y13" i="4"/>
  <c r="Z13" i="4"/>
  <c r="W14" i="4"/>
  <c r="X14" i="4"/>
  <c r="Y14" i="4"/>
  <c r="Z14" i="4"/>
  <c r="W15" i="4"/>
  <c r="X15" i="4"/>
  <c r="Y15" i="4"/>
  <c r="Z15" i="4"/>
  <c r="W16" i="4"/>
  <c r="X16" i="4"/>
  <c r="Y16" i="4"/>
  <c r="Z16" i="4"/>
  <c r="W17" i="4"/>
  <c r="X17" i="4"/>
  <c r="Y17" i="4"/>
  <c r="Z17" i="4"/>
  <c r="W18" i="4"/>
  <c r="X18" i="4"/>
  <c r="Y18" i="4"/>
  <c r="Z18" i="4"/>
  <c r="W19" i="4"/>
  <c r="X19" i="4"/>
  <c r="Y19" i="4"/>
  <c r="Z19" i="4"/>
  <c r="W20" i="4"/>
  <c r="X20" i="4"/>
  <c r="Y20" i="4"/>
  <c r="Z20" i="4"/>
  <c r="W21" i="4"/>
  <c r="X21" i="4"/>
  <c r="Y21" i="4"/>
  <c r="Z21" i="4"/>
  <c r="W22" i="4"/>
  <c r="X22" i="4"/>
  <c r="Y22" i="4"/>
  <c r="Z22" i="4"/>
  <c r="W23" i="4"/>
  <c r="X23" i="4"/>
  <c r="Y23" i="4"/>
  <c r="Z23" i="4"/>
  <c r="W24" i="4"/>
  <c r="X24" i="4"/>
  <c r="Y24" i="4"/>
  <c r="Z24" i="4"/>
  <c r="W25" i="4"/>
  <c r="X25" i="4"/>
  <c r="Y25" i="4"/>
  <c r="Z25" i="4"/>
  <c r="W26" i="4"/>
  <c r="X26" i="4"/>
  <c r="Y26" i="4"/>
  <c r="Z26" i="4"/>
  <c r="W27" i="4"/>
  <c r="X27" i="4"/>
  <c r="Y27" i="4"/>
  <c r="Z27" i="4"/>
  <c r="W28" i="4"/>
  <c r="X28" i="4"/>
  <c r="Y28" i="4"/>
  <c r="Z28" i="4"/>
  <c r="W29" i="4"/>
  <c r="X29" i="4"/>
  <c r="Y29" i="4"/>
  <c r="Z29" i="4"/>
  <c r="W30" i="4"/>
  <c r="X30" i="4"/>
  <c r="Y30" i="4"/>
  <c r="Z30" i="4"/>
  <c r="W31" i="4"/>
  <c r="X31" i="4"/>
  <c r="Y31" i="4"/>
  <c r="Z31" i="4"/>
  <c r="W32" i="4"/>
  <c r="X32" i="4"/>
  <c r="Y32" i="4"/>
  <c r="Z32" i="4"/>
  <c r="W33" i="4"/>
  <c r="X33" i="4"/>
  <c r="Y33" i="4"/>
  <c r="Z33" i="4"/>
  <c r="W34" i="4"/>
  <c r="X34" i="4"/>
  <c r="Y34" i="4"/>
  <c r="Z34" i="4"/>
  <c r="W35" i="4"/>
  <c r="X35" i="4"/>
  <c r="Y35" i="4"/>
  <c r="Z35" i="4"/>
  <c r="W36" i="4"/>
  <c r="X36" i="4"/>
  <c r="Y36" i="4"/>
  <c r="Z36" i="4"/>
  <c r="W37" i="4"/>
  <c r="X37" i="4"/>
  <c r="Y37" i="4"/>
  <c r="Z37" i="4"/>
  <c r="W38" i="4"/>
  <c r="X38" i="4"/>
  <c r="Y38" i="4"/>
  <c r="Z38" i="4"/>
  <c r="W39" i="4"/>
  <c r="X39" i="4"/>
  <c r="Y39" i="4"/>
  <c r="Z39" i="4"/>
  <c r="W40" i="4"/>
  <c r="X40" i="4"/>
  <c r="Y40" i="4"/>
  <c r="Z40" i="4"/>
  <c r="W41" i="4"/>
  <c r="X41" i="4"/>
  <c r="Y41" i="4"/>
  <c r="Z41" i="4"/>
  <c r="W42" i="4"/>
  <c r="X42" i="4"/>
  <c r="Y42" i="4"/>
  <c r="Z42" i="4"/>
  <c r="W43" i="4"/>
  <c r="X43" i="4"/>
  <c r="Y43" i="4"/>
  <c r="Z43" i="4"/>
  <c r="W44" i="4"/>
  <c r="X44" i="4"/>
  <c r="Y44" i="4"/>
  <c r="Z44" i="4"/>
  <c r="W45" i="4"/>
  <c r="X45" i="4"/>
  <c r="Y45" i="4"/>
  <c r="Z45" i="4"/>
  <c r="W46" i="4"/>
  <c r="X46" i="4"/>
  <c r="Y46" i="4"/>
  <c r="Z46" i="4"/>
  <c r="W47" i="4"/>
  <c r="X47" i="4"/>
  <c r="Y47" i="4"/>
  <c r="Z47" i="4"/>
  <c r="W48" i="4"/>
  <c r="X48" i="4"/>
  <c r="Y48" i="4"/>
  <c r="Z48" i="4"/>
  <c r="W49" i="4"/>
  <c r="X49" i="4"/>
  <c r="Y49" i="4"/>
  <c r="Z49" i="4"/>
  <c r="W50" i="4"/>
  <c r="X50" i="4"/>
  <c r="Y50" i="4"/>
  <c r="Z50" i="4"/>
  <c r="W51" i="4"/>
  <c r="X51" i="4"/>
  <c r="Y51" i="4"/>
  <c r="Z51" i="4"/>
  <c r="W52" i="4"/>
  <c r="X52" i="4"/>
  <c r="Y52" i="4"/>
  <c r="Z52" i="4"/>
  <c r="W53" i="4"/>
  <c r="X53" i="4"/>
  <c r="Y53" i="4"/>
  <c r="Z53" i="4"/>
  <c r="W54" i="4"/>
  <c r="X54" i="4"/>
  <c r="Y54" i="4"/>
  <c r="Z54" i="4"/>
  <c r="W55" i="4"/>
  <c r="X55" i="4"/>
  <c r="Y55" i="4"/>
  <c r="Z55" i="4"/>
  <c r="W56" i="4"/>
  <c r="X56" i="4"/>
  <c r="Y56" i="4"/>
  <c r="Z56" i="4"/>
  <c r="W57" i="4"/>
  <c r="X57" i="4"/>
  <c r="Y57" i="4"/>
  <c r="Z57" i="4"/>
  <c r="W58" i="4"/>
  <c r="X58" i="4"/>
  <c r="Y58" i="4"/>
  <c r="Z58" i="4"/>
  <c r="W59" i="4"/>
  <c r="X59" i="4"/>
  <c r="Y59" i="4"/>
  <c r="Z59" i="4"/>
  <c r="W60" i="4"/>
  <c r="X60" i="4"/>
  <c r="Y60" i="4"/>
  <c r="Z60" i="4"/>
  <c r="W61" i="4"/>
  <c r="X61" i="4"/>
  <c r="Y61" i="4"/>
  <c r="Z61" i="4"/>
  <c r="W62" i="4"/>
  <c r="X62" i="4"/>
  <c r="Y62" i="4"/>
  <c r="Z62" i="4"/>
  <c r="W63" i="4"/>
  <c r="X63" i="4"/>
  <c r="Y63" i="4"/>
  <c r="Z63" i="4"/>
  <c r="W64" i="4"/>
  <c r="X64" i="4"/>
  <c r="Y64" i="4"/>
  <c r="Z64" i="4"/>
  <c r="W65" i="4"/>
  <c r="X65" i="4"/>
  <c r="Y65" i="4"/>
  <c r="Z65" i="4"/>
  <c r="W66" i="4"/>
  <c r="X66" i="4"/>
  <c r="Y66" i="4"/>
  <c r="Z66" i="4"/>
  <c r="W67" i="4"/>
  <c r="X67" i="4"/>
  <c r="Y67" i="4"/>
  <c r="Z67" i="4"/>
  <c r="W68" i="4"/>
  <c r="X68" i="4"/>
  <c r="Y68" i="4"/>
  <c r="Z68" i="4"/>
  <c r="W69" i="4"/>
  <c r="X69" i="4"/>
  <c r="Y69" i="4"/>
  <c r="Z69" i="4"/>
  <c r="W70" i="4"/>
  <c r="X70" i="4"/>
  <c r="Y70" i="4"/>
  <c r="Z70" i="4"/>
  <c r="W71" i="4"/>
  <c r="X71" i="4"/>
  <c r="Y71" i="4"/>
  <c r="Z71" i="4"/>
  <c r="W72" i="4"/>
  <c r="X72" i="4"/>
  <c r="Y72" i="4"/>
  <c r="Z72" i="4"/>
  <c r="W73" i="4"/>
  <c r="X73" i="4"/>
  <c r="Y73" i="4"/>
  <c r="Z73" i="4"/>
  <c r="W74" i="4"/>
  <c r="X74" i="4"/>
  <c r="Y74" i="4"/>
  <c r="Z74" i="4"/>
  <c r="W75" i="4"/>
  <c r="X75" i="4"/>
  <c r="Y75" i="4"/>
  <c r="Z75" i="4"/>
  <c r="W76" i="4"/>
  <c r="X76" i="4"/>
  <c r="Y76" i="4"/>
  <c r="Z76" i="4"/>
  <c r="W77" i="4"/>
  <c r="X77" i="4"/>
  <c r="Y77" i="4"/>
  <c r="Z77" i="4"/>
  <c r="W78" i="4"/>
  <c r="X78" i="4"/>
  <c r="Y78" i="4"/>
  <c r="Z78" i="4"/>
  <c r="W79" i="4"/>
  <c r="X79" i="4"/>
  <c r="Y79" i="4"/>
  <c r="Z79" i="4"/>
  <c r="W80" i="4"/>
  <c r="X80" i="4"/>
  <c r="Y80" i="4"/>
  <c r="Z80" i="4"/>
  <c r="W81" i="4"/>
  <c r="X81" i="4"/>
  <c r="Y81" i="4"/>
  <c r="Z81" i="4"/>
  <c r="W82" i="4"/>
  <c r="X82" i="4"/>
  <c r="Y82" i="4"/>
  <c r="Z82" i="4"/>
  <c r="W83" i="4"/>
  <c r="X83" i="4"/>
  <c r="Y83" i="4"/>
  <c r="Z83" i="4"/>
  <c r="W84" i="4"/>
  <c r="X84" i="4"/>
  <c r="Y84" i="4"/>
  <c r="Z84" i="4"/>
  <c r="W85" i="4"/>
  <c r="X85" i="4"/>
  <c r="Y85" i="4"/>
  <c r="Z85" i="4"/>
  <c r="W86" i="4"/>
  <c r="X86" i="4"/>
  <c r="Y86" i="4"/>
  <c r="Z86" i="4"/>
  <c r="W87" i="4"/>
  <c r="X87" i="4"/>
  <c r="Y87" i="4"/>
  <c r="Z87" i="4"/>
  <c r="W88" i="4"/>
  <c r="X88" i="4"/>
  <c r="Y88" i="4"/>
  <c r="Z88" i="4"/>
  <c r="W89" i="4"/>
  <c r="X89" i="4"/>
  <c r="Y89" i="4"/>
  <c r="Z89" i="4"/>
  <c r="W90" i="4"/>
  <c r="X90" i="4"/>
  <c r="Y90" i="4"/>
  <c r="Z90" i="4"/>
  <c r="W91" i="4"/>
  <c r="X91" i="4"/>
  <c r="Y91" i="4"/>
  <c r="Z91" i="4"/>
  <c r="W92" i="4"/>
  <c r="X92" i="4"/>
  <c r="Y92" i="4"/>
  <c r="Z92" i="4"/>
  <c r="W93" i="4"/>
  <c r="X93" i="4"/>
  <c r="Y93" i="4"/>
  <c r="Z93" i="4"/>
  <c r="W94" i="4"/>
  <c r="X94" i="4"/>
  <c r="Y94" i="4"/>
  <c r="Z94" i="4"/>
  <c r="W95" i="4"/>
  <c r="X95" i="4"/>
  <c r="Y95" i="4"/>
  <c r="Z95" i="4"/>
  <c r="W96" i="4"/>
  <c r="X96" i="4"/>
  <c r="Y96" i="4"/>
  <c r="Z96" i="4"/>
  <c r="W97" i="4"/>
  <c r="X97" i="4"/>
  <c r="Y97" i="4"/>
  <c r="Z97" i="4"/>
  <c r="W98" i="4"/>
  <c r="X98" i="4"/>
  <c r="Y98" i="4"/>
  <c r="Z98" i="4"/>
  <c r="W99" i="4"/>
  <c r="X99" i="4"/>
  <c r="Y99" i="4"/>
  <c r="Z99" i="4"/>
  <c r="W100" i="4"/>
  <c r="X100" i="4"/>
  <c r="Y100" i="4"/>
  <c r="Z100" i="4"/>
  <c r="W101" i="4"/>
  <c r="X101" i="4"/>
  <c r="Y101" i="4"/>
  <c r="Z101" i="4"/>
  <c r="W102" i="4"/>
  <c r="X102" i="4"/>
  <c r="Y102" i="4"/>
  <c r="Z102" i="4"/>
  <c r="W103" i="4"/>
  <c r="X103" i="4"/>
  <c r="Y103" i="4"/>
  <c r="Z103" i="4"/>
  <c r="W104" i="4"/>
  <c r="X104" i="4"/>
  <c r="Y104" i="4"/>
  <c r="Z104" i="4"/>
  <c r="W105" i="4"/>
  <c r="X105" i="4"/>
  <c r="Y105" i="4"/>
  <c r="Z105" i="4"/>
  <c r="W106" i="4"/>
  <c r="X106" i="4"/>
  <c r="Y106" i="4"/>
  <c r="Z106" i="4"/>
  <c r="W107" i="4"/>
  <c r="X107" i="4"/>
  <c r="Y107" i="4"/>
  <c r="Z107" i="4"/>
  <c r="W108" i="4"/>
  <c r="X108" i="4"/>
  <c r="Y108" i="4"/>
  <c r="Z108" i="4"/>
  <c r="W109" i="4"/>
  <c r="X109" i="4"/>
  <c r="Y109" i="4"/>
  <c r="Z109" i="4"/>
  <c r="W110" i="4"/>
  <c r="X110" i="4"/>
  <c r="Y110" i="4"/>
  <c r="Z110" i="4"/>
  <c r="W111" i="4"/>
  <c r="X111" i="4"/>
  <c r="Y111" i="4"/>
  <c r="Z111" i="4"/>
  <c r="W112" i="4"/>
  <c r="X112" i="4"/>
  <c r="Y112" i="4"/>
  <c r="Z112" i="4"/>
  <c r="W113" i="4"/>
  <c r="X113" i="4"/>
  <c r="Y113" i="4"/>
  <c r="Z113" i="4"/>
  <c r="W114" i="4"/>
  <c r="X114" i="4"/>
  <c r="Y114" i="4"/>
  <c r="Z114" i="4"/>
  <c r="W115" i="4"/>
  <c r="X115" i="4"/>
  <c r="Y115" i="4"/>
  <c r="Z115" i="4"/>
  <c r="W116" i="4"/>
  <c r="X116" i="4"/>
  <c r="Y116" i="4"/>
  <c r="Z116" i="4"/>
  <c r="W117" i="4"/>
  <c r="X117" i="4"/>
  <c r="Y117" i="4"/>
  <c r="Z117" i="4"/>
  <c r="W118" i="4"/>
  <c r="X118" i="4"/>
  <c r="Y118" i="4"/>
  <c r="Z118" i="4"/>
  <c r="W119" i="4"/>
  <c r="X119" i="4"/>
  <c r="Y119" i="4"/>
  <c r="Z119" i="4"/>
  <c r="W120" i="4"/>
  <c r="X120" i="4"/>
  <c r="Y120" i="4"/>
  <c r="Z120" i="4"/>
  <c r="W121" i="4"/>
  <c r="X121" i="4"/>
  <c r="Y121" i="4"/>
  <c r="Z121" i="4"/>
  <c r="W122" i="4"/>
  <c r="X122" i="4"/>
  <c r="Y122" i="4"/>
  <c r="Z122" i="4"/>
  <c r="W123" i="4"/>
  <c r="X123" i="4"/>
  <c r="Y123" i="4"/>
  <c r="Z123" i="4"/>
  <c r="W124" i="4"/>
  <c r="X124" i="4"/>
  <c r="Y124" i="4"/>
  <c r="Z124" i="4"/>
  <c r="W125" i="4"/>
  <c r="X125" i="4"/>
  <c r="Y125" i="4"/>
  <c r="Z125" i="4"/>
  <c r="W126" i="4"/>
  <c r="X126" i="4"/>
  <c r="Y126" i="4"/>
  <c r="Z126" i="4"/>
  <c r="W127" i="4"/>
  <c r="X127" i="4"/>
  <c r="Y127" i="4"/>
  <c r="Z127" i="4"/>
  <c r="W128" i="4"/>
  <c r="X128" i="4"/>
  <c r="Y128" i="4"/>
  <c r="Z128" i="4"/>
  <c r="W129" i="4"/>
  <c r="X129" i="4"/>
  <c r="Y129" i="4"/>
  <c r="Z129" i="4"/>
  <c r="W130" i="4"/>
  <c r="X130" i="4"/>
  <c r="Y130" i="4"/>
  <c r="Z130" i="4"/>
  <c r="W131" i="4"/>
  <c r="X131" i="4"/>
  <c r="Y131" i="4"/>
  <c r="Z131" i="4"/>
  <c r="W132" i="4"/>
  <c r="X132" i="4"/>
  <c r="Y132" i="4"/>
  <c r="Z132" i="4"/>
  <c r="W133" i="4"/>
  <c r="X133" i="4"/>
  <c r="Y133" i="4"/>
  <c r="Z133" i="4"/>
  <c r="W134" i="4"/>
  <c r="X134" i="4"/>
  <c r="Y134" i="4"/>
  <c r="Z134" i="4"/>
  <c r="W135" i="4"/>
  <c r="X135" i="4"/>
  <c r="Y135" i="4"/>
  <c r="Z135" i="4"/>
  <c r="W136" i="4"/>
  <c r="X136" i="4"/>
  <c r="Y136" i="4"/>
  <c r="Z136" i="4"/>
  <c r="W137" i="4"/>
  <c r="X137" i="4"/>
  <c r="Y137" i="4"/>
  <c r="Z137" i="4"/>
  <c r="W138" i="4"/>
  <c r="X138" i="4"/>
  <c r="Y138" i="4"/>
  <c r="Z138" i="4"/>
  <c r="W139" i="4"/>
  <c r="X139" i="4"/>
  <c r="Y139" i="4"/>
  <c r="Z139" i="4"/>
  <c r="W140" i="4"/>
  <c r="X140" i="4"/>
  <c r="Y140" i="4"/>
  <c r="Z140" i="4"/>
  <c r="W141" i="4"/>
  <c r="X141" i="4"/>
  <c r="Y141" i="4"/>
  <c r="Z141" i="4"/>
  <c r="W142" i="4"/>
  <c r="X142" i="4"/>
  <c r="Y142" i="4"/>
  <c r="Z142" i="4"/>
  <c r="W143" i="4"/>
  <c r="X143" i="4"/>
  <c r="Y143" i="4"/>
  <c r="Z143" i="4"/>
  <c r="W144" i="4"/>
  <c r="X144" i="4"/>
  <c r="Y144" i="4"/>
  <c r="Z144" i="4"/>
  <c r="W145" i="4"/>
  <c r="X145" i="4"/>
  <c r="Y145" i="4"/>
  <c r="Z145" i="4"/>
  <c r="W146" i="4"/>
  <c r="X146" i="4"/>
  <c r="Y146" i="4"/>
  <c r="Z146" i="4"/>
  <c r="W147" i="4"/>
  <c r="X147" i="4"/>
  <c r="Y147" i="4"/>
  <c r="Z147" i="4"/>
  <c r="W148" i="4"/>
  <c r="X148" i="4"/>
  <c r="Y148" i="4"/>
  <c r="Z148" i="4"/>
  <c r="W149" i="4"/>
  <c r="X149" i="4"/>
  <c r="Y149" i="4"/>
  <c r="Z149" i="4"/>
  <c r="W150" i="4"/>
  <c r="X150" i="4"/>
  <c r="Y150" i="4"/>
  <c r="Z150" i="4"/>
  <c r="W151" i="4"/>
  <c r="X151" i="4"/>
  <c r="Y151" i="4"/>
  <c r="Z151" i="4"/>
  <c r="W152" i="4"/>
  <c r="X152" i="4"/>
  <c r="Y152" i="4"/>
  <c r="Z152" i="4"/>
  <c r="W153" i="4"/>
  <c r="X153" i="4"/>
  <c r="Y153" i="4"/>
  <c r="Z153" i="4"/>
  <c r="W154" i="4"/>
  <c r="X154" i="4"/>
  <c r="Y154" i="4"/>
  <c r="Z154" i="4"/>
  <c r="W155" i="4"/>
  <c r="X155" i="4"/>
  <c r="Y155" i="4"/>
  <c r="Z155" i="4"/>
  <c r="W156" i="4"/>
  <c r="X156" i="4"/>
  <c r="Y156" i="4"/>
  <c r="Z156" i="4"/>
  <c r="W157" i="4"/>
  <c r="X157" i="4"/>
  <c r="Y157" i="4"/>
  <c r="Z157" i="4"/>
  <c r="W158" i="4"/>
  <c r="X158" i="4"/>
  <c r="Y158" i="4"/>
  <c r="Z158" i="4"/>
  <c r="AA3" i="4"/>
  <c r="X3" i="4"/>
  <c r="Y3" i="4"/>
  <c r="Z3" i="4"/>
  <c r="W3" i="4"/>
  <c r="S4" i="4"/>
  <c r="T4" i="4"/>
  <c r="U4" i="4"/>
  <c r="R5" i="4"/>
  <c r="S5" i="4"/>
  <c r="U5" i="4"/>
  <c r="R6" i="4"/>
  <c r="S6" i="4"/>
  <c r="T6" i="4"/>
  <c r="R7" i="4"/>
  <c r="S7" i="4"/>
  <c r="T7" i="4"/>
  <c r="U7" i="4"/>
  <c r="R8" i="4"/>
  <c r="S8" i="4"/>
  <c r="T8" i="4"/>
  <c r="U8" i="4"/>
  <c r="R9" i="4"/>
  <c r="S9" i="4"/>
  <c r="T9" i="4"/>
  <c r="U9" i="4"/>
  <c r="R10" i="4"/>
  <c r="S10" i="4"/>
  <c r="T10" i="4"/>
  <c r="U10" i="4"/>
  <c r="R11" i="4"/>
  <c r="S11" i="4"/>
  <c r="T11" i="4"/>
  <c r="U11" i="4"/>
  <c r="R12" i="4"/>
  <c r="S12" i="4"/>
  <c r="T12" i="4"/>
  <c r="U12" i="4"/>
  <c r="R13" i="4"/>
  <c r="S13" i="4"/>
  <c r="T13" i="4"/>
  <c r="U13" i="4"/>
  <c r="R14" i="4"/>
  <c r="S14" i="4"/>
  <c r="T14" i="4"/>
  <c r="U14" i="4"/>
  <c r="R15" i="4"/>
  <c r="V15" i="4" s="1"/>
  <c r="S15" i="4"/>
  <c r="T15" i="4"/>
  <c r="U15" i="4"/>
  <c r="R16" i="4"/>
  <c r="S16" i="4"/>
  <c r="T16" i="4"/>
  <c r="U16" i="4"/>
  <c r="R17" i="4"/>
  <c r="S17" i="4"/>
  <c r="T17" i="4"/>
  <c r="U17" i="4"/>
  <c r="R18" i="4"/>
  <c r="S18" i="4"/>
  <c r="T18" i="4"/>
  <c r="U18" i="4"/>
  <c r="R19" i="4"/>
  <c r="S19" i="4"/>
  <c r="T19" i="4"/>
  <c r="U19" i="4"/>
  <c r="R20" i="4"/>
  <c r="S20" i="4"/>
  <c r="T20" i="4"/>
  <c r="U20" i="4"/>
  <c r="R21" i="4"/>
  <c r="S21" i="4"/>
  <c r="T21" i="4"/>
  <c r="U21" i="4"/>
  <c r="R22" i="4"/>
  <c r="S22" i="4"/>
  <c r="T22" i="4"/>
  <c r="U22" i="4"/>
  <c r="R23" i="4"/>
  <c r="S23" i="4"/>
  <c r="T23" i="4"/>
  <c r="U23" i="4"/>
  <c r="R24" i="4"/>
  <c r="S24" i="4"/>
  <c r="T24" i="4"/>
  <c r="U24" i="4"/>
  <c r="R25" i="4"/>
  <c r="S25" i="4"/>
  <c r="T25" i="4"/>
  <c r="U25" i="4"/>
  <c r="R26" i="4"/>
  <c r="V26" i="4" s="1"/>
  <c r="S26" i="4"/>
  <c r="T26" i="4"/>
  <c r="U26" i="4"/>
  <c r="R27" i="4"/>
  <c r="S27" i="4"/>
  <c r="T27" i="4"/>
  <c r="U27" i="4"/>
  <c r="R28" i="4"/>
  <c r="S28" i="4"/>
  <c r="T28" i="4"/>
  <c r="U28" i="4"/>
  <c r="R29" i="4"/>
  <c r="S29" i="4"/>
  <c r="T29" i="4"/>
  <c r="U29" i="4"/>
  <c r="R30" i="4"/>
  <c r="S30" i="4"/>
  <c r="T30" i="4"/>
  <c r="U30" i="4"/>
  <c r="R31" i="4"/>
  <c r="S31" i="4"/>
  <c r="T31" i="4"/>
  <c r="U31" i="4"/>
  <c r="R32" i="4"/>
  <c r="S32" i="4"/>
  <c r="T32" i="4"/>
  <c r="U32" i="4"/>
  <c r="R33" i="4"/>
  <c r="S33" i="4"/>
  <c r="T33" i="4"/>
  <c r="U33" i="4"/>
  <c r="R34" i="4"/>
  <c r="S34" i="4"/>
  <c r="T34" i="4"/>
  <c r="U34" i="4"/>
  <c r="R35" i="4"/>
  <c r="S35" i="4"/>
  <c r="T35" i="4"/>
  <c r="U35" i="4"/>
  <c r="R36" i="4"/>
  <c r="S36" i="4"/>
  <c r="T36" i="4"/>
  <c r="U36" i="4"/>
  <c r="R37" i="4"/>
  <c r="V37" i="4" s="1"/>
  <c r="S37" i="4"/>
  <c r="T37" i="4"/>
  <c r="U37" i="4"/>
  <c r="R38" i="4"/>
  <c r="S38" i="4"/>
  <c r="T38" i="4"/>
  <c r="U38" i="4"/>
  <c r="R39" i="4"/>
  <c r="S39" i="4"/>
  <c r="T39" i="4"/>
  <c r="U39" i="4"/>
  <c r="R40" i="4"/>
  <c r="S40" i="4"/>
  <c r="T40" i="4"/>
  <c r="U40" i="4"/>
  <c r="R41" i="4"/>
  <c r="S41" i="4"/>
  <c r="T41" i="4"/>
  <c r="U41" i="4"/>
  <c r="R42" i="4"/>
  <c r="S42" i="4"/>
  <c r="T42" i="4"/>
  <c r="U42" i="4"/>
  <c r="R43" i="4"/>
  <c r="S43" i="4"/>
  <c r="T43" i="4"/>
  <c r="U43" i="4"/>
  <c r="R44" i="4"/>
  <c r="S44" i="4"/>
  <c r="T44" i="4"/>
  <c r="U44" i="4"/>
  <c r="R45" i="4"/>
  <c r="S45" i="4"/>
  <c r="T45" i="4"/>
  <c r="U45" i="4"/>
  <c r="R46" i="4"/>
  <c r="S46" i="4"/>
  <c r="T46" i="4"/>
  <c r="U46" i="4"/>
  <c r="R47" i="4"/>
  <c r="S47" i="4"/>
  <c r="T47" i="4"/>
  <c r="U47" i="4"/>
  <c r="R48" i="4"/>
  <c r="V48" i="4" s="1"/>
  <c r="S48" i="4"/>
  <c r="T48" i="4"/>
  <c r="U48" i="4"/>
  <c r="R49" i="4"/>
  <c r="S49" i="4"/>
  <c r="T49" i="4"/>
  <c r="U49" i="4"/>
  <c r="R50" i="4"/>
  <c r="S50" i="4"/>
  <c r="T50" i="4"/>
  <c r="U50" i="4"/>
  <c r="R51" i="4"/>
  <c r="S51" i="4"/>
  <c r="T51" i="4"/>
  <c r="U51" i="4"/>
  <c r="R52" i="4"/>
  <c r="S52" i="4"/>
  <c r="T52" i="4"/>
  <c r="U52" i="4"/>
  <c r="R53" i="4"/>
  <c r="S53" i="4"/>
  <c r="T53" i="4"/>
  <c r="U53" i="4"/>
  <c r="R54" i="4"/>
  <c r="S54" i="4"/>
  <c r="T54" i="4"/>
  <c r="U54" i="4"/>
  <c r="R55" i="4"/>
  <c r="S55" i="4"/>
  <c r="T55" i="4"/>
  <c r="U55" i="4"/>
  <c r="R56" i="4"/>
  <c r="S56" i="4"/>
  <c r="T56" i="4"/>
  <c r="U56" i="4"/>
  <c r="R57" i="4"/>
  <c r="S57" i="4"/>
  <c r="T57" i="4"/>
  <c r="U57" i="4"/>
  <c r="R58" i="4"/>
  <c r="S58" i="4"/>
  <c r="T58" i="4"/>
  <c r="U58" i="4"/>
  <c r="R59" i="4"/>
  <c r="V59" i="4" s="1"/>
  <c r="S59" i="4"/>
  <c r="T59" i="4"/>
  <c r="U59" i="4"/>
  <c r="R60" i="4"/>
  <c r="S60" i="4"/>
  <c r="T60" i="4"/>
  <c r="U60" i="4"/>
  <c r="R61" i="4"/>
  <c r="S61" i="4"/>
  <c r="T61" i="4"/>
  <c r="U61" i="4"/>
  <c r="R62" i="4"/>
  <c r="S62" i="4"/>
  <c r="T62" i="4"/>
  <c r="U62" i="4"/>
  <c r="R63" i="4"/>
  <c r="S63" i="4"/>
  <c r="T63" i="4"/>
  <c r="U63" i="4"/>
  <c r="R64" i="4"/>
  <c r="S64" i="4"/>
  <c r="T64" i="4"/>
  <c r="U64" i="4"/>
  <c r="R65" i="4"/>
  <c r="S65" i="4"/>
  <c r="T65" i="4"/>
  <c r="U65" i="4"/>
  <c r="R66" i="4"/>
  <c r="S66" i="4"/>
  <c r="T66" i="4"/>
  <c r="U66" i="4"/>
  <c r="R67" i="4"/>
  <c r="S67" i="4"/>
  <c r="T67" i="4"/>
  <c r="U67" i="4"/>
  <c r="R68" i="4"/>
  <c r="S68" i="4"/>
  <c r="T68" i="4"/>
  <c r="U68" i="4"/>
  <c r="R69" i="4"/>
  <c r="S69" i="4"/>
  <c r="T69" i="4"/>
  <c r="U69" i="4"/>
  <c r="R70" i="4"/>
  <c r="V70" i="4" s="1"/>
  <c r="S70" i="4"/>
  <c r="T70" i="4"/>
  <c r="U70" i="4"/>
  <c r="R71" i="4"/>
  <c r="S71" i="4"/>
  <c r="T71" i="4"/>
  <c r="U71" i="4"/>
  <c r="R72" i="4"/>
  <c r="S72" i="4"/>
  <c r="T72" i="4"/>
  <c r="U72" i="4"/>
  <c r="R73" i="4"/>
  <c r="S73" i="4"/>
  <c r="T73" i="4"/>
  <c r="U73" i="4"/>
  <c r="R74" i="4"/>
  <c r="S74" i="4"/>
  <c r="T74" i="4"/>
  <c r="U74" i="4"/>
  <c r="R75" i="4"/>
  <c r="S75" i="4"/>
  <c r="T75" i="4"/>
  <c r="U75" i="4"/>
  <c r="R76" i="4"/>
  <c r="S76" i="4"/>
  <c r="T76" i="4"/>
  <c r="U76" i="4"/>
  <c r="R77" i="4"/>
  <c r="V77" i="4" s="1"/>
  <c r="S77" i="4"/>
  <c r="T77" i="4"/>
  <c r="U77" i="4"/>
  <c r="R78" i="4"/>
  <c r="S78" i="4"/>
  <c r="T78" i="4"/>
  <c r="U78" i="4"/>
  <c r="R79" i="4"/>
  <c r="S79" i="4"/>
  <c r="T79" i="4"/>
  <c r="U79" i="4"/>
  <c r="R80" i="4"/>
  <c r="S80" i="4"/>
  <c r="T80" i="4"/>
  <c r="U80" i="4"/>
  <c r="R81" i="4"/>
  <c r="V81" i="4" s="1"/>
  <c r="S81" i="4"/>
  <c r="T81" i="4"/>
  <c r="U81" i="4"/>
  <c r="R82" i="4"/>
  <c r="S82" i="4"/>
  <c r="T82" i="4"/>
  <c r="U82" i="4"/>
  <c r="R83" i="4"/>
  <c r="S83" i="4"/>
  <c r="T83" i="4"/>
  <c r="U83" i="4"/>
  <c r="R84" i="4"/>
  <c r="S84" i="4"/>
  <c r="T84" i="4"/>
  <c r="U84" i="4"/>
  <c r="R85" i="4"/>
  <c r="S85" i="4"/>
  <c r="T85" i="4"/>
  <c r="U85" i="4"/>
  <c r="R86" i="4"/>
  <c r="S86" i="4"/>
  <c r="T86" i="4"/>
  <c r="U86" i="4"/>
  <c r="R87" i="4"/>
  <c r="S87" i="4"/>
  <c r="T87" i="4"/>
  <c r="U87" i="4"/>
  <c r="R88" i="4"/>
  <c r="V88" i="4" s="1"/>
  <c r="S88" i="4"/>
  <c r="T88" i="4"/>
  <c r="U88" i="4"/>
  <c r="R89" i="4"/>
  <c r="S89" i="4"/>
  <c r="T89" i="4"/>
  <c r="U89" i="4"/>
  <c r="R90" i="4"/>
  <c r="S90" i="4"/>
  <c r="T90" i="4"/>
  <c r="U90" i="4"/>
  <c r="R91" i="4"/>
  <c r="S91" i="4"/>
  <c r="T91" i="4"/>
  <c r="U91" i="4"/>
  <c r="R92" i="4"/>
  <c r="V92" i="4" s="1"/>
  <c r="S92" i="4"/>
  <c r="T92" i="4"/>
  <c r="U92" i="4"/>
  <c r="R93" i="4"/>
  <c r="S93" i="4"/>
  <c r="T93" i="4"/>
  <c r="U93" i="4"/>
  <c r="R94" i="4"/>
  <c r="S94" i="4"/>
  <c r="T94" i="4"/>
  <c r="U94" i="4"/>
  <c r="R95" i="4"/>
  <c r="S95" i="4"/>
  <c r="T95" i="4"/>
  <c r="U95" i="4"/>
  <c r="R96" i="4"/>
  <c r="S96" i="4"/>
  <c r="T96" i="4"/>
  <c r="U96" i="4"/>
  <c r="R97" i="4"/>
  <c r="S97" i="4"/>
  <c r="T97" i="4"/>
  <c r="U97" i="4"/>
  <c r="R98" i="4"/>
  <c r="S98" i="4"/>
  <c r="T98" i="4"/>
  <c r="U98" i="4"/>
  <c r="R99" i="4"/>
  <c r="V99" i="4" s="1"/>
  <c r="S99" i="4"/>
  <c r="T99" i="4"/>
  <c r="U99" i="4"/>
  <c r="R100" i="4"/>
  <c r="S100" i="4"/>
  <c r="T100" i="4"/>
  <c r="U100" i="4"/>
  <c r="R101" i="4"/>
  <c r="S101" i="4"/>
  <c r="T101" i="4"/>
  <c r="U101" i="4"/>
  <c r="R102" i="4"/>
  <c r="S102" i="4"/>
  <c r="T102" i="4"/>
  <c r="U102" i="4"/>
  <c r="R103" i="4"/>
  <c r="S103" i="4"/>
  <c r="T103" i="4"/>
  <c r="U103" i="4"/>
  <c r="R104" i="4"/>
  <c r="S104" i="4"/>
  <c r="T104" i="4"/>
  <c r="U104" i="4"/>
  <c r="R105" i="4"/>
  <c r="S105" i="4"/>
  <c r="T105" i="4"/>
  <c r="U105" i="4"/>
  <c r="R106" i="4"/>
  <c r="S106" i="4"/>
  <c r="T106" i="4"/>
  <c r="U106" i="4"/>
  <c r="R107" i="4"/>
  <c r="S107" i="4"/>
  <c r="T107" i="4"/>
  <c r="U107" i="4"/>
  <c r="R108" i="4"/>
  <c r="S108" i="4"/>
  <c r="T108" i="4"/>
  <c r="U108" i="4"/>
  <c r="R109" i="4"/>
  <c r="V109" i="4" s="1"/>
  <c r="S109" i="4"/>
  <c r="T109" i="4"/>
  <c r="U109" i="4"/>
  <c r="R110" i="4"/>
  <c r="V110" i="4" s="1"/>
  <c r="S110" i="4"/>
  <c r="T110" i="4"/>
  <c r="U110" i="4"/>
  <c r="R111" i="4"/>
  <c r="S111" i="4"/>
  <c r="T111" i="4"/>
  <c r="U111" i="4"/>
  <c r="R112" i="4"/>
  <c r="S112" i="4"/>
  <c r="T112" i="4"/>
  <c r="U112" i="4"/>
  <c r="R113" i="4"/>
  <c r="S113" i="4"/>
  <c r="T113" i="4"/>
  <c r="U113" i="4"/>
  <c r="R114" i="4"/>
  <c r="S114" i="4"/>
  <c r="T114" i="4"/>
  <c r="U114" i="4"/>
  <c r="R115" i="4"/>
  <c r="S115" i="4"/>
  <c r="T115" i="4"/>
  <c r="U115" i="4"/>
  <c r="R116" i="4"/>
  <c r="S116" i="4"/>
  <c r="T116" i="4"/>
  <c r="U116" i="4"/>
  <c r="R117" i="4"/>
  <c r="S117" i="4"/>
  <c r="T117" i="4"/>
  <c r="U117" i="4"/>
  <c r="R118" i="4"/>
  <c r="S118" i="4"/>
  <c r="T118" i="4"/>
  <c r="U118" i="4"/>
  <c r="R119" i="4"/>
  <c r="S119" i="4"/>
  <c r="T119" i="4"/>
  <c r="U119" i="4"/>
  <c r="R120" i="4"/>
  <c r="S120" i="4"/>
  <c r="T120" i="4"/>
  <c r="U120" i="4"/>
  <c r="R121" i="4"/>
  <c r="V121" i="4" s="1"/>
  <c r="S121" i="4"/>
  <c r="T121" i="4"/>
  <c r="U121" i="4"/>
  <c r="R122" i="4"/>
  <c r="S122" i="4"/>
  <c r="T122" i="4"/>
  <c r="U122" i="4"/>
  <c r="R123" i="4"/>
  <c r="S123" i="4"/>
  <c r="T123" i="4"/>
  <c r="U123" i="4"/>
  <c r="R124" i="4"/>
  <c r="S124" i="4"/>
  <c r="T124" i="4"/>
  <c r="U124" i="4"/>
  <c r="R125" i="4"/>
  <c r="S125" i="4"/>
  <c r="T125" i="4"/>
  <c r="U125" i="4"/>
  <c r="R126" i="4"/>
  <c r="S126" i="4"/>
  <c r="T126" i="4"/>
  <c r="U126" i="4"/>
  <c r="R127" i="4"/>
  <c r="S127" i="4"/>
  <c r="T127" i="4"/>
  <c r="U127" i="4"/>
  <c r="R128" i="4"/>
  <c r="S128" i="4"/>
  <c r="T128" i="4"/>
  <c r="U128" i="4"/>
  <c r="R129" i="4"/>
  <c r="S129" i="4"/>
  <c r="T129" i="4"/>
  <c r="U129" i="4"/>
  <c r="R130" i="4"/>
  <c r="S130" i="4"/>
  <c r="T130" i="4"/>
  <c r="U130" i="4"/>
  <c r="R131" i="4"/>
  <c r="V131" i="4" s="1"/>
  <c r="S131" i="4"/>
  <c r="T131" i="4"/>
  <c r="U131" i="4"/>
  <c r="R132" i="4"/>
  <c r="V132" i="4" s="1"/>
  <c r="S132" i="4"/>
  <c r="T132" i="4"/>
  <c r="U132" i="4"/>
  <c r="R133" i="4"/>
  <c r="S133" i="4"/>
  <c r="T133" i="4"/>
  <c r="U133" i="4"/>
  <c r="R134" i="4"/>
  <c r="S134" i="4"/>
  <c r="T134" i="4"/>
  <c r="U134" i="4"/>
  <c r="R135" i="4"/>
  <c r="S135" i="4"/>
  <c r="T135" i="4"/>
  <c r="U135" i="4"/>
  <c r="R136" i="4"/>
  <c r="S136" i="4"/>
  <c r="T136" i="4"/>
  <c r="U136" i="4"/>
  <c r="R137" i="4"/>
  <c r="S137" i="4"/>
  <c r="T137" i="4"/>
  <c r="U137" i="4"/>
  <c r="R138" i="4"/>
  <c r="S138" i="4"/>
  <c r="T138" i="4"/>
  <c r="U138" i="4"/>
  <c r="R139" i="4"/>
  <c r="S139" i="4"/>
  <c r="T139" i="4"/>
  <c r="U139" i="4"/>
  <c r="R140" i="4"/>
  <c r="S140" i="4"/>
  <c r="T140" i="4"/>
  <c r="U140" i="4"/>
  <c r="R141" i="4"/>
  <c r="S141" i="4"/>
  <c r="T141" i="4"/>
  <c r="U141" i="4"/>
  <c r="R142" i="4"/>
  <c r="S142" i="4"/>
  <c r="T142" i="4"/>
  <c r="U142" i="4"/>
  <c r="R143" i="4"/>
  <c r="S143" i="4"/>
  <c r="T143" i="4"/>
  <c r="U143" i="4"/>
  <c r="R144" i="4"/>
  <c r="S144" i="4"/>
  <c r="T144" i="4"/>
  <c r="U144" i="4"/>
  <c r="R145" i="4"/>
  <c r="S145" i="4"/>
  <c r="T145" i="4"/>
  <c r="U145" i="4"/>
  <c r="R146" i="4"/>
  <c r="S146" i="4"/>
  <c r="T146" i="4"/>
  <c r="U146" i="4"/>
  <c r="R147" i="4"/>
  <c r="S147" i="4"/>
  <c r="T147" i="4"/>
  <c r="U147" i="4"/>
  <c r="R148" i="4"/>
  <c r="S148" i="4"/>
  <c r="T148" i="4"/>
  <c r="U148" i="4"/>
  <c r="R149" i="4"/>
  <c r="S149" i="4"/>
  <c r="T149" i="4"/>
  <c r="U149" i="4"/>
  <c r="R150" i="4"/>
  <c r="S150" i="4"/>
  <c r="T150" i="4"/>
  <c r="U150" i="4"/>
  <c r="R151" i="4"/>
  <c r="S151" i="4"/>
  <c r="T151" i="4"/>
  <c r="U151" i="4"/>
  <c r="R152" i="4"/>
  <c r="S152" i="4"/>
  <c r="T152" i="4"/>
  <c r="U152" i="4"/>
  <c r="R153" i="4"/>
  <c r="V153" i="4" s="1"/>
  <c r="S153" i="4"/>
  <c r="T153" i="4"/>
  <c r="U153" i="4"/>
  <c r="R154" i="4"/>
  <c r="S154" i="4"/>
  <c r="T154" i="4"/>
  <c r="U154" i="4"/>
  <c r="R155" i="4"/>
  <c r="S155" i="4"/>
  <c r="T155" i="4"/>
  <c r="U155" i="4"/>
  <c r="R156" i="4"/>
  <c r="S156" i="4"/>
  <c r="T156" i="4"/>
  <c r="U156" i="4"/>
  <c r="R157" i="4"/>
  <c r="S157" i="4"/>
  <c r="T157" i="4"/>
  <c r="U157" i="4"/>
  <c r="R158" i="4"/>
  <c r="S158" i="4"/>
  <c r="T158" i="4"/>
  <c r="U158" i="4"/>
  <c r="U3" i="4"/>
  <c r="T3" i="4"/>
  <c r="R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3" i="4"/>
  <c r="L28" i="4"/>
  <c r="M28" i="4"/>
  <c r="N28" i="4"/>
  <c r="O28" i="4"/>
  <c r="L29" i="4"/>
  <c r="M29" i="4"/>
  <c r="N29" i="4"/>
  <c r="O29" i="4"/>
  <c r="L30" i="4"/>
  <c r="M30" i="4"/>
  <c r="N30" i="4"/>
  <c r="O30" i="4"/>
  <c r="L31" i="4"/>
  <c r="M31" i="4"/>
  <c r="N31" i="4"/>
  <c r="O31" i="4"/>
  <c r="L32" i="4"/>
  <c r="M32" i="4"/>
  <c r="N32" i="4"/>
  <c r="O32" i="4"/>
  <c r="L33" i="4"/>
  <c r="M33" i="4"/>
  <c r="N33" i="4"/>
  <c r="O33" i="4"/>
  <c r="L34" i="4"/>
  <c r="M34" i="4"/>
  <c r="N34" i="4"/>
  <c r="O34" i="4"/>
  <c r="L35" i="4"/>
  <c r="M35" i="4"/>
  <c r="N35" i="4"/>
  <c r="O35" i="4"/>
  <c r="L36" i="4"/>
  <c r="M36" i="4"/>
  <c r="N36" i="4"/>
  <c r="O36" i="4"/>
  <c r="L37" i="4"/>
  <c r="M37" i="4"/>
  <c r="N37" i="4"/>
  <c r="O37" i="4"/>
  <c r="L38" i="4"/>
  <c r="M38" i="4"/>
  <c r="N38" i="4"/>
  <c r="O38" i="4"/>
  <c r="L39" i="4"/>
  <c r="M39" i="4"/>
  <c r="N39" i="4"/>
  <c r="O39" i="4"/>
  <c r="L40" i="4"/>
  <c r="M40" i="4"/>
  <c r="N40" i="4"/>
  <c r="O40" i="4"/>
  <c r="L41" i="4"/>
  <c r="M41" i="4"/>
  <c r="N41" i="4"/>
  <c r="O41" i="4"/>
  <c r="L42" i="4"/>
  <c r="M42" i="4"/>
  <c r="N42" i="4"/>
  <c r="O42" i="4"/>
  <c r="L43" i="4"/>
  <c r="M43" i="4"/>
  <c r="N43" i="4"/>
  <c r="O43" i="4"/>
  <c r="L44" i="4"/>
  <c r="M44" i="4"/>
  <c r="N44" i="4"/>
  <c r="O44" i="4"/>
  <c r="L45" i="4"/>
  <c r="M45" i="4"/>
  <c r="N45" i="4"/>
  <c r="O45" i="4"/>
  <c r="L46" i="4"/>
  <c r="M46" i="4"/>
  <c r="N46" i="4"/>
  <c r="O46" i="4"/>
  <c r="L47" i="4"/>
  <c r="M47" i="4"/>
  <c r="N47" i="4"/>
  <c r="O47" i="4"/>
  <c r="L48" i="4"/>
  <c r="M48" i="4"/>
  <c r="N48" i="4"/>
  <c r="O48" i="4"/>
  <c r="L49" i="4"/>
  <c r="M49" i="4"/>
  <c r="N49" i="4"/>
  <c r="O49" i="4"/>
  <c r="L50" i="4"/>
  <c r="M50" i="4"/>
  <c r="N50" i="4"/>
  <c r="O50" i="4"/>
  <c r="L51" i="4"/>
  <c r="M51" i="4"/>
  <c r="N51" i="4"/>
  <c r="O51" i="4"/>
  <c r="L52" i="4"/>
  <c r="M52" i="4"/>
  <c r="N52" i="4"/>
  <c r="O52" i="4"/>
  <c r="L53" i="4"/>
  <c r="M53" i="4"/>
  <c r="N53" i="4"/>
  <c r="O53" i="4"/>
  <c r="L54" i="4"/>
  <c r="M54" i="4"/>
  <c r="N54" i="4"/>
  <c r="O54" i="4"/>
  <c r="L55" i="4"/>
  <c r="M55" i="4"/>
  <c r="N55" i="4"/>
  <c r="O55" i="4"/>
  <c r="L56" i="4"/>
  <c r="M56" i="4"/>
  <c r="N56" i="4"/>
  <c r="O56" i="4"/>
  <c r="L57" i="4"/>
  <c r="M57" i="4"/>
  <c r="N57" i="4"/>
  <c r="O57" i="4"/>
  <c r="L58" i="4"/>
  <c r="M58" i="4"/>
  <c r="N58" i="4"/>
  <c r="O58" i="4"/>
  <c r="L59" i="4"/>
  <c r="M59" i="4"/>
  <c r="N59" i="4"/>
  <c r="O59" i="4"/>
  <c r="L60" i="4"/>
  <c r="M60" i="4"/>
  <c r="N60" i="4"/>
  <c r="O60" i="4"/>
  <c r="L61" i="4"/>
  <c r="M61" i="4"/>
  <c r="N61" i="4"/>
  <c r="O61" i="4"/>
  <c r="L62" i="4"/>
  <c r="M62" i="4"/>
  <c r="N62" i="4"/>
  <c r="O62" i="4"/>
  <c r="L63" i="4"/>
  <c r="M63" i="4"/>
  <c r="N63" i="4"/>
  <c r="O63" i="4"/>
  <c r="L64" i="4"/>
  <c r="M64" i="4"/>
  <c r="N64" i="4"/>
  <c r="O64" i="4"/>
  <c r="L65" i="4"/>
  <c r="M65" i="4"/>
  <c r="N65" i="4"/>
  <c r="O65" i="4"/>
  <c r="L66" i="4"/>
  <c r="M66" i="4"/>
  <c r="N66" i="4"/>
  <c r="O66" i="4"/>
  <c r="L67" i="4"/>
  <c r="M67" i="4"/>
  <c r="N67" i="4"/>
  <c r="O67" i="4"/>
  <c r="L68" i="4"/>
  <c r="M68" i="4"/>
  <c r="N68" i="4"/>
  <c r="O68" i="4"/>
  <c r="L69" i="4"/>
  <c r="M69" i="4"/>
  <c r="N69" i="4"/>
  <c r="O69" i="4"/>
  <c r="L70" i="4"/>
  <c r="M70" i="4"/>
  <c r="N70" i="4"/>
  <c r="O70" i="4"/>
  <c r="L71" i="4"/>
  <c r="M71" i="4"/>
  <c r="N71" i="4"/>
  <c r="O71" i="4"/>
  <c r="L72" i="4"/>
  <c r="M72" i="4"/>
  <c r="N72" i="4"/>
  <c r="O72" i="4"/>
  <c r="L73" i="4"/>
  <c r="M73" i="4"/>
  <c r="N73" i="4"/>
  <c r="O73" i="4"/>
  <c r="L74" i="4"/>
  <c r="M74" i="4"/>
  <c r="N74" i="4"/>
  <c r="O74" i="4"/>
  <c r="L75" i="4"/>
  <c r="M75" i="4"/>
  <c r="N75" i="4"/>
  <c r="O75" i="4"/>
  <c r="L76" i="4"/>
  <c r="M76" i="4"/>
  <c r="N76" i="4"/>
  <c r="O76" i="4"/>
  <c r="L77" i="4"/>
  <c r="M77" i="4"/>
  <c r="N77" i="4"/>
  <c r="O77" i="4"/>
  <c r="L78" i="4"/>
  <c r="M78" i="4"/>
  <c r="N78" i="4"/>
  <c r="O78" i="4"/>
  <c r="L79" i="4"/>
  <c r="M79" i="4"/>
  <c r="N79" i="4"/>
  <c r="O79" i="4"/>
  <c r="L80" i="4"/>
  <c r="M80" i="4"/>
  <c r="N80" i="4"/>
  <c r="O80" i="4"/>
  <c r="L81" i="4"/>
  <c r="M81" i="4"/>
  <c r="N81" i="4"/>
  <c r="O81" i="4"/>
  <c r="L82" i="4"/>
  <c r="M82" i="4"/>
  <c r="N82" i="4"/>
  <c r="O82" i="4"/>
  <c r="L83" i="4"/>
  <c r="M83" i="4"/>
  <c r="N83" i="4"/>
  <c r="O83" i="4"/>
  <c r="L84" i="4"/>
  <c r="M84" i="4"/>
  <c r="N84" i="4"/>
  <c r="O84" i="4"/>
  <c r="L85" i="4"/>
  <c r="M85" i="4"/>
  <c r="N85" i="4"/>
  <c r="O85" i="4"/>
  <c r="L86" i="4"/>
  <c r="M86" i="4"/>
  <c r="N86" i="4"/>
  <c r="O86" i="4"/>
  <c r="L87" i="4"/>
  <c r="M87" i="4"/>
  <c r="N87" i="4"/>
  <c r="O87" i="4"/>
  <c r="L88" i="4"/>
  <c r="M88" i="4"/>
  <c r="N88" i="4"/>
  <c r="O88" i="4"/>
  <c r="L89" i="4"/>
  <c r="M89" i="4"/>
  <c r="N89" i="4"/>
  <c r="O89" i="4"/>
  <c r="L90" i="4"/>
  <c r="M90" i="4"/>
  <c r="N90" i="4"/>
  <c r="O90" i="4"/>
  <c r="L91" i="4"/>
  <c r="M91" i="4"/>
  <c r="N91" i="4"/>
  <c r="O91" i="4"/>
  <c r="L92" i="4"/>
  <c r="M92" i="4"/>
  <c r="N92" i="4"/>
  <c r="O92" i="4"/>
  <c r="L93" i="4"/>
  <c r="M93" i="4"/>
  <c r="N93" i="4"/>
  <c r="O93" i="4"/>
  <c r="L94" i="4"/>
  <c r="M94" i="4"/>
  <c r="N94" i="4"/>
  <c r="O94" i="4"/>
  <c r="L95" i="4"/>
  <c r="M95" i="4"/>
  <c r="N95" i="4"/>
  <c r="O95" i="4"/>
  <c r="L96" i="4"/>
  <c r="M96" i="4"/>
  <c r="N96" i="4"/>
  <c r="O96" i="4"/>
  <c r="L97" i="4"/>
  <c r="M97" i="4"/>
  <c r="N97" i="4"/>
  <c r="O97" i="4"/>
  <c r="L98" i="4"/>
  <c r="M98" i="4"/>
  <c r="N98" i="4"/>
  <c r="O98" i="4"/>
  <c r="L99" i="4"/>
  <c r="M99" i="4"/>
  <c r="N99" i="4"/>
  <c r="O99" i="4"/>
  <c r="L100" i="4"/>
  <c r="M100" i="4"/>
  <c r="N100" i="4"/>
  <c r="O100" i="4"/>
  <c r="L101" i="4"/>
  <c r="M101" i="4"/>
  <c r="N101" i="4"/>
  <c r="O101" i="4"/>
  <c r="L102" i="4"/>
  <c r="M102" i="4"/>
  <c r="N102" i="4"/>
  <c r="O102" i="4"/>
  <c r="L103" i="4"/>
  <c r="M103" i="4"/>
  <c r="N103" i="4"/>
  <c r="O103" i="4"/>
  <c r="L104" i="4"/>
  <c r="M104" i="4"/>
  <c r="N104" i="4"/>
  <c r="O104" i="4"/>
  <c r="L105" i="4"/>
  <c r="M105" i="4"/>
  <c r="N105" i="4"/>
  <c r="O105" i="4"/>
  <c r="L106" i="4"/>
  <c r="M106" i="4"/>
  <c r="N106" i="4"/>
  <c r="O106" i="4"/>
  <c r="L107" i="4"/>
  <c r="M107" i="4"/>
  <c r="N107" i="4"/>
  <c r="O107" i="4"/>
  <c r="L108" i="4"/>
  <c r="M108" i="4"/>
  <c r="N108" i="4"/>
  <c r="O108" i="4"/>
  <c r="L109" i="4"/>
  <c r="M109" i="4"/>
  <c r="N109" i="4"/>
  <c r="O109" i="4"/>
  <c r="L110" i="4"/>
  <c r="M110" i="4"/>
  <c r="N110" i="4"/>
  <c r="O110" i="4"/>
  <c r="L111" i="4"/>
  <c r="M111" i="4"/>
  <c r="N111" i="4"/>
  <c r="O111" i="4"/>
  <c r="L112" i="4"/>
  <c r="M112" i="4"/>
  <c r="N112" i="4"/>
  <c r="O112" i="4"/>
  <c r="L113" i="4"/>
  <c r="M113" i="4"/>
  <c r="N113" i="4"/>
  <c r="O113" i="4"/>
  <c r="L114" i="4"/>
  <c r="M114" i="4"/>
  <c r="N114" i="4"/>
  <c r="O114" i="4"/>
  <c r="L115" i="4"/>
  <c r="M115" i="4"/>
  <c r="N115" i="4"/>
  <c r="O115" i="4"/>
  <c r="L116" i="4"/>
  <c r="M116" i="4"/>
  <c r="N116" i="4"/>
  <c r="O116" i="4"/>
  <c r="L117" i="4"/>
  <c r="M117" i="4"/>
  <c r="N117" i="4"/>
  <c r="O117" i="4"/>
  <c r="L118" i="4"/>
  <c r="M118" i="4"/>
  <c r="N118" i="4"/>
  <c r="O118" i="4"/>
  <c r="L119" i="4"/>
  <c r="M119" i="4"/>
  <c r="N119" i="4"/>
  <c r="O119" i="4"/>
  <c r="L120" i="4"/>
  <c r="M120" i="4"/>
  <c r="N120" i="4"/>
  <c r="O120" i="4"/>
  <c r="L121" i="4"/>
  <c r="M121" i="4"/>
  <c r="N121" i="4"/>
  <c r="O121" i="4"/>
  <c r="L122" i="4"/>
  <c r="M122" i="4"/>
  <c r="N122" i="4"/>
  <c r="O122" i="4"/>
  <c r="L123" i="4"/>
  <c r="M123" i="4"/>
  <c r="N123" i="4"/>
  <c r="O123" i="4"/>
  <c r="L124" i="4"/>
  <c r="M124" i="4"/>
  <c r="N124" i="4"/>
  <c r="O124" i="4"/>
  <c r="L125" i="4"/>
  <c r="M125" i="4"/>
  <c r="N125" i="4"/>
  <c r="O125" i="4"/>
  <c r="L126" i="4"/>
  <c r="M126" i="4"/>
  <c r="N126" i="4"/>
  <c r="O126" i="4"/>
  <c r="L127" i="4"/>
  <c r="M127" i="4"/>
  <c r="N127" i="4"/>
  <c r="O127" i="4"/>
  <c r="L128" i="4"/>
  <c r="M128" i="4"/>
  <c r="N128" i="4"/>
  <c r="O128" i="4"/>
  <c r="L129" i="4"/>
  <c r="M129" i="4"/>
  <c r="N129" i="4"/>
  <c r="O129" i="4"/>
  <c r="L130" i="4"/>
  <c r="M130" i="4"/>
  <c r="N130" i="4"/>
  <c r="O130" i="4"/>
  <c r="L131" i="4"/>
  <c r="M131" i="4"/>
  <c r="N131" i="4"/>
  <c r="O131" i="4"/>
  <c r="L132" i="4"/>
  <c r="M132" i="4"/>
  <c r="N132" i="4"/>
  <c r="O132" i="4"/>
  <c r="L133" i="4"/>
  <c r="M133" i="4"/>
  <c r="N133" i="4"/>
  <c r="O133" i="4"/>
  <c r="L134" i="4"/>
  <c r="M134" i="4"/>
  <c r="N134" i="4"/>
  <c r="O134" i="4"/>
  <c r="L135" i="4"/>
  <c r="M135" i="4"/>
  <c r="N135" i="4"/>
  <c r="O135" i="4"/>
  <c r="L136" i="4"/>
  <c r="M136" i="4"/>
  <c r="N136" i="4"/>
  <c r="O136" i="4"/>
  <c r="L137" i="4"/>
  <c r="M137" i="4"/>
  <c r="N137" i="4"/>
  <c r="O137" i="4"/>
  <c r="L138" i="4"/>
  <c r="M138" i="4"/>
  <c r="N138" i="4"/>
  <c r="O138" i="4"/>
  <c r="L139" i="4"/>
  <c r="M139" i="4"/>
  <c r="N139" i="4"/>
  <c r="O139" i="4"/>
  <c r="L140" i="4"/>
  <c r="M140" i="4"/>
  <c r="N140" i="4"/>
  <c r="O140" i="4"/>
  <c r="L141" i="4"/>
  <c r="M141" i="4"/>
  <c r="N141" i="4"/>
  <c r="O141" i="4"/>
  <c r="L142" i="4"/>
  <c r="M142" i="4"/>
  <c r="N142" i="4"/>
  <c r="O142" i="4"/>
  <c r="L143" i="4"/>
  <c r="M143" i="4"/>
  <c r="N143" i="4"/>
  <c r="O143" i="4"/>
  <c r="L144" i="4"/>
  <c r="M144" i="4"/>
  <c r="N144" i="4"/>
  <c r="O144" i="4"/>
  <c r="L145" i="4"/>
  <c r="M145" i="4"/>
  <c r="N145" i="4"/>
  <c r="O145" i="4"/>
  <c r="L146" i="4"/>
  <c r="M146" i="4"/>
  <c r="N146" i="4"/>
  <c r="O146" i="4"/>
  <c r="L147" i="4"/>
  <c r="M147" i="4"/>
  <c r="N147" i="4"/>
  <c r="O147" i="4"/>
  <c r="L148" i="4"/>
  <c r="M148" i="4"/>
  <c r="N148" i="4"/>
  <c r="O148" i="4"/>
  <c r="L149" i="4"/>
  <c r="M149" i="4"/>
  <c r="N149" i="4"/>
  <c r="O149" i="4"/>
  <c r="L150" i="4"/>
  <c r="M150" i="4"/>
  <c r="N150" i="4"/>
  <c r="O150" i="4"/>
  <c r="L151" i="4"/>
  <c r="M151" i="4"/>
  <c r="N151" i="4"/>
  <c r="O151" i="4"/>
  <c r="L152" i="4"/>
  <c r="M152" i="4"/>
  <c r="N152" i="4"/>
  <c r="O152" i="4"/>
  <c r="L153" i="4"/>
  <c r="M153" i="4"/>
  <c r="N153" i="4"/>
  <c r="O153" i="4"/>
  <c r="L154" i="4"/>
  <c r="M154" i="4"/>
  <c r="N154" i="4"/>
  <c r="O154" i="4"/>
  <c r="L155" i="4"/>
  <c r="M155" i="4"/>
  <c r="N155" i="4"/>
  <c r="O155" i="4"/>
  <c r="L156" i="4"/>
  <c r="M156" i="4"/>
  <c r="N156" i="4"/>
  <c r="O156" i="4"/>
  <c r="L157" i="4"/>
  <c r="M157" i="4"/>
  <c r="N157" i="4"/>
  <c r="O157" i="4"/>
  <c r="L158" i="4"/>
  <c r="M158" i="4"/>
  <c r="N158" i="4"/>
  <c r="O158" i="4"/>
  <c r="L4" i="4"/>
  <c r="M4" i="4"/>
  <c r="N4" i="4"/>
  <c r="O4" i="4"/>
  <c r="L5" i="4"/>
  <c r="M5" i="4"/>
  <c r="N5" i="4"/>
  <c r="O5" i="4"/>
  <c r="L6" i="4"/>
  <c r="M6" i="4"/>
  <c r="N6" i="4"/>
  <c r="O6" i="4"/>
  <c r="L7" i="4"/>
  <c r="M7" i="4"/>
  <c r="N7" i="4"/>
  <c r="O7" i="4"/>
  <c r="L8" i="4"/>
  <c r="M8" i="4"/>
  <c r="N8" i="4"/>
  <c r="O8" i="4"/>
  <c r="L9" i="4"/>
  <c r="M9" i="4"/>
  <c r="N9" i="4"/>
  <c r="O9" i="4"/>
  <c r="L10" i="4"/>
  <c r="M10" i="4"/>
  <c r="N10" i="4"/>
  <c r="O10" i="4"/>
  <c r="L11" i="4"/>
  <c r="M11" i="4"/>
  <c r="N11" i="4"/>
  <c r="O11" i="4"/>
  <c r="L12" i="4"/>
  <c r="M12" i="4"/>
  <c r="N12" i="4"/>
  <c r="O12" i="4"/>
  <c r="L13" i="4"/>
  <c r="M13" i="4"/>
  <c r="N13" i="4"/>
  <c r="O13" i="4"/>
  <c r="L14" i="4"/>
  <c r="M14" i="4"/>
  <c r="N14" i="4"/>
  <c r="O14" i="4"/>
  <c r="L15" i="4"/>
  <c r="M15" i="4"/>
  <c r="N15" i="4"/>
  <c r="O15" i="4"/>
  <c r="L16" i="4"/>
  <c r="M16" i="4"/>
  <c r="N16" i="4"/>
  <c r="O16" i="4"/>
  <c r="L17" i="4"/>
  <c r="M17" i="4"/>
  <c r="N17" i="4"/>
  <c r="O17" i="4"/>
  <c r="L18" i="4"/>
  <c r="M18" i="4"/>
  <c r="N18" i="4"/>
  <c r="O18" i="4"/>
  <c r="L19" i="4"/>
  <c r="M19" i="4"/>
  <c r="N19" i="4"/>
  <c r="O19" i="4"/>
  <c r="L20" i="4"/>
  <c r="M20" i="4"/>
  <c r="N20" i="4"/>
  <c r="O20" i="4"/>
  <c r="L21" i="4"/>
  <c r="M21" i="4"/>
  <c r="N21" i="4"/>
  <c r="O21" i="4"/>
  <c r="L22" i="4"/>
  <c r="M22" i="4"/>
  <c r="N22" i="4"/>
  <c r="O22" i="4"/>
  <c r="L23" i="4"/>
  <c r="M23" i="4"/>
  <c r="N23" i="4"/>
  <c r="O23" i="4"/>
  <c r="L24" i="4"/>
  <c r="M24" i="4"/>
  <c r="N24" i="4"/>
  <c r="O24" i="4"/>
  <c r="L25" i="4"/>
  <c r="M25" i="4"/>
  <c r="N25" i="4"/>
  <c r="O25" i="4"/>
  <c r="L26" i="4"/>
  <c r="M26" i="4"/>
  <c r="N26" i="4"/>
  <c r="O26" i="4"/>
  <c r="L27" i="4"/>
  <c r="M27" i="4"/>
  <c r="N27" i="4"/>
  <c r="O27" i="4"/>
  <c r="O3" i="4"/>
  <c r="N3" i="4"/>
  <c r="M3" i="4"/>
  <c r="L3" i="4"/>
  <c r="P3" i="4" s="1"/>
  <c r="V78" i="4" l="1"/>
  <c r="V67" i="4"/>
  <c r="V56" i="4"/>
  <c r="V45" i="4"/>
  <c r="V34" i="4"/>
  <c r="V23" i="4"/>
  <c r="V87" i="4"/>
  <c r="V65" i="4"/>
  <c r="V43" i="4"/>
  <c r="V21" i="4"/>
  <c r="V147" i="4"/>
  <c r="V136" i="4"/>
  <c r="V125" i="4"/>
  <c r="V114" i="4"/>
  <c r="V103" i="4"/>
  <c r="V145" i="4"/>
  <c r="V134" i="4"/>
  <c r="V123" i="4"/>
  <c r="V112" i="4"/>
  <c r="V101" i="4"/>
  <c r="V90" i="4"/>
  <c r="V68" i="4"/>
  <c r="V46" i="4"/>
  <c r="V24" i="4"/>
  <c r="V139" i="4"/>
  <c r="V106" i="4"/>
  <c r="V84" i="4"/>
  <c r="V158" i="4"/>
  <c r="V128" i="4"/>
  <c r="V117" i="4"/>
  <c r="V95" i="4"/>
  <c r="V73" i="4"/>
  <c r="V66" i="4"/>
  <c r="V55" i="4"/>
  <c r="V44" i="4"/>
  <c r="V33" i="4"/>
  <c r="V22" i="4"/>
  <c r="V11" i="4"/>
  <c r="V154" i="4"/>
  <c r="V143" i="4"/>
  <c r="V148" i="4"/>
  <c r="V137" i="4"/>
  <c r="V126" i="4"/>
  <c r="V115" i="4"/>
  <c r="V104" i="4"/>
  <c r="V93" i="4"/>
  <c r="V82" i="4"/>
  <c r="V71" i="4"/>
  <c r="V60" i="4"/>
  <c r="V49" i="4"/>
  <c r="V38" i="4"/>
  <c r="V27" i="4"/>
  <c r="V16" i="4"/>
  <c r="V142" i="4"/>
  <c r="V120" i="4"/>
  <c r="V98" i="4"/>
  <c r="V76" i="4"/>
  <c r="V54" i="4"/>
  <c r="V32" i="4"/>
  <c r="V10" i="4"/>
  <c r="V20" i="4"/>
  <c r="V130" i="4"/>
  <c r="V75" i="4"/>
  <c r="V64" i="4"/>
  <c r="V53" i="4"/>
  <c r="V42" i="4"/>
  <c r="V31" i="4"/>
  <c r="V9" i="4"/>
  <c r="V135" i="4"/>
  <c r="V113" i="4"/>
  <c r="V69" i="4"/>
  <c r="V47" i="4"/>
  <c r="V25" i="4"/>
  <c r="V141" i="4"/>
  <c r="V86" i="4"/>
  <c r="V157" i="4"/>
  <c r="V146" i="4"/>
  <c r="V124" i="4"/>
  <c r="V102" i="4"/>
  <c r="V91" i="4"/>
  <c r="V80" i="4"/>
  <c r="V58" i="4"/>
  <c r="V36" i="4"/>
  <c r="V14" i="4"/>
  <c r="V152" i="4"/>
  <c r="V119" i="4"/>
  <c r="V8" i="4"/>
  <c r="V97" i="4"/>
  <c r="V151" i="4"/>
  <c r="V140" i="4"/>
  <c r="V129" i="4"/>
  <c r="V118" i="4"/>
  <c r="V107" i="4"/>
  <c r="V96" i="4"/>
  <c r="V85" i="4"/>
  <c r="V74" i="4"/>
  <c r="V63" i="4"/>
  <c r="V52" i="4"/>
  <c r="V41" i="4"/>
  <c r="V30" i="4"/>
  <c r="V19" i="4"/>
  <c r="V108" i="4"/>
  <c r="V156" i="4"/>
  <c r="V79" i="4"/>
  <c r="V57" i="4"/>
  <c r="V35" i="4"/>
  <c r="V13" i="4"/>
  <c r="V150" i="4"/>
  <c r="V62" i="4"/>
  <c r="V51" i="4"/>
  <c r="V40" i="4"/>
  <c r="V29" i="4"/>
  <c r="V18" i="4"/>
  <c r="V7" i="4"/>
  <c r="V155" i="4"/>
  <c r="V144" i="4"/>
  <c r="V133" i="4"/>
  <c r="V122" i="4"/>
  <c r="V111" i="4"/>
  <c r="V100" i="4"/>
  <c r="V89" i="4"/>
  <c r="V12" i="4"/>
  <c r="V149" i="4"/>
  <c r="V138" i="4"/>
  <c r="V127" i="4"/>
  <c r="V116" i="4"/>
  <c r="V105" i="4"/>
  <c r="V94" i="4"/>
  <c r="V83" i="4"/>
  <c r="V72" i="4"/>
  <c r="V61" i="4"/>
  <c r="V50" i="4"/>
  <c r="V39" i="4"/>
  <c r="V28" i="4"/>
  <c r="V17" i="4"/>
  <c r="G4" i="4" l="1"/>
  <c r="G5" i="4"/>
  <c r="G6" i="4"/>
  <c r="G7" i="4"/>
  <c r="G8" i="4"/>
  <c r="G9" i="4"/>
  <c r="G10" i="4"/>
  <c r="G11" i="4"/>
  <c r="G12" i="4"/>
  <c r="G13" i="4"/>
  <c r="G14" i="4"/>
  <c r="G3" i="4"/>
  <c r="M3" i="6"/>
  <c r="N3" i="6"/>
  <c r="O3" i="6"/>
  <c r="P3" i="6"/>
  <c r="Q3" i="6"/>
  <c r="R3" i="6"/>
  <c r="M4" i="6"/>
  <c r="N4" i="6"/>
  <c r="O4" i="6"/>
  <c r="P4" i="6"/>
  <c r="Q4" i="6"/>
  <c r="R4" i="6"/>
  <c r="M5" i="6"/>
  <c r="N5" i="6"/>
  <c r="O5" i="6"/>
  <c r="P5" i="6"/>
  <c r="Q5" i="6"/>
  <c r="R5" i="6"/>
  <c r="M6" i="6"/>
  <c r="N6" i="6"/>
  <c r="O6" i="6"/>
  <c r="P6" i="6"/>
  <c r="Q6" i="6"/>
  <c r="R6" i="6"/>
  <c r="M7" i="6"/>
  <c r="N7" i="6"/>
  <c r="O7" i="6"/>
  <c r="P7" i="6"/>
  <c r="Q7" i="6"/>
  <c r="R7" i="6"/>
  <c r="M8" i="6"/>
  <c r="N8" i="6"/>
  <c r="O8" i="6"/>
  <c r="P8" i="6"/>
  <c r="Q8" i="6"/>
  <c r="R8" i="6"/>
  <c r="M9" i="6"/>
  <c r="N9" i="6"/>
  <c r="O9" i="6"/>
  <c r="P9" i="6"/>
  <c r="Q9" i="6"/>
  <c r="R9" i="6"/>
  <c r="M10" i="6"/>
  <c r="N10" i="6"/>
  <c r="O10" i="6"/>
  <c r="P10" i="6"/>
  <c r="Q10" i="6"/>
  <c r="R10" i="6"/>
  <c r="M11" i="6"/>
  <c r="N11" i="6"/>
  <c r="O11" i="6"/>
  <c r="P11" i="6"/>
  <c r="Q11" i="6"/>
  <c r="R11" i="6"/>
  <c r="M12" i="6"/>
  <c r="N12" i="6"/>
  <c r="O12" i="6"/>
  <c r="P12" i="6"/>
  <c r="Q12" i="6"/>
  <c r="R12" i="6"/>
  <c r="M13" i="6"/>
  <c r="N13" i="6"/>
  <c r="O13" i="6"/>
  <c r="P13" i="6"/>
  <c r="Q13" i="6"/>
  <c r="R13" i="6"/>
  <c r="M14" i="6"/>
  <c r="N14" i="6"/>
  <c r="O14" i="6"/>
  <c r="P14" i="6"/>
  <c r="Q14" i="6"/>
  <c r="R14" i="6"/>
  <c r="M15" i="6"/>
  <c r="N15" i="6"/>
  <c r="O15" i="6"/>
  <c r="P15" i="6"/>
  <c r="Q15" i="6"/>
  <c r="R15" i="6"/>
  <c r="M16" i="6"/>
  <c r="N16" i="6"/>
  <c r="O16" i="6"/>
  <c r="P16" i="6"/>
  <c r="Q16" i="6"/>
  <c r="R16" i="6"/>
  <c r="M17" i="6"/>
  <c r="N17" i="6"/>
  <c r="O17" i="6"/>
  <c r="P17" i="6"/>
  <c r="Q17" i="6"/>
  <c r="R17" i="6"/>
  <c r="M18" i="6"/>
  <c r="N18" i="6"/>
  <c r="O18" i="6"/>
  <c r="P18" i="6"/>
  <c r="Q18" i="6"/>
  <c r="R18" i="6"/>
  <c r="M19" i="6"/>
  <c r="N19" i="6"/>
  <c r="O19" i="6"/>
  <c r="P19" i="6"/>
  <c r="Q19" i="6"/>
  <c r="R19" i="6"/>
  <c r="M20" i="6"/>
  <c r="N20" i="6"/>
  <c r="O20" i="6"/>
  <c r="P20" i="6"/>
  <c r="Q20" i="6"/>
  <c r="R20" i="6"/>
  <c r="M21" i="6"/>
  <c r="N21" i="6"/>
  <c r="O21" i="6"/>
  <c r="P21" i="6"/>
  <c r="Q21" i="6"/>
  <c r="R21" i="6"/>
  <c r="R2" i="6"/>
  <c r="Q2" i="6"/>
  <c r="P2" i="6"/>
  <c r="O2" i="6"/>
  <c r="N2" i="6"/>
  <c r="M2" i="6"/>
  <c r="L7" i="6" l="1"/>
  <c r="L14" i="6"/>
  <c r="L18" i="6"/>
  <c r="L13" i="6"/>
  <c r="L20" i="6"/>
  <c r="L9" i="6"/>
  <c r="L15" i="6"/>
  <c r="L11" i="6"/>
  <c r="L5" i="6"/>
  <c r="L12" i="6"/>
  <c r="L8" i="6"/>
  <c r="L19" i="6"/>
  <c r="L2" i="6"/>
  <c r="L4" i="6"/>
  <c r="L16" i="6"/>
  <c r="L3" i="6"/>
  <c r="L21" i="6"/>
  <c r="L10" i="6"/>
  <c r="L17" i="6"/>
  <c r="L6" i="6"/>
  <c r="P122" i="4" l="1"/>
  <c r="P133" i="4"/>
  <c r="G29" i="5"/>
  <c r="H18" i="5"/>
  <c r="P57" i="4"/>
  <c r="P158" i="4"/>
  <c r="G37" i="5"/>
  <c r="I25" i="5"/>
  <c r="G32" i="5"/>
  <c r="P36" i="4"/>
  <c r="P157" i="4"/>
  <c r="F11" i="5"/>
  <c r="P64" i="4"/>
  <c r="G9" i="5"/>
  <c r="P28" i="4"/>
  <c r="F22" i="5"/>
  <c r="H37" i="5"/>
  <c r="F27" i="5"/>
  <c r="P114" i="4"/>
  <c r="P125" i="4"/>
  <c r="G38" i="5"/>
  <c r="I16" i="5"/>
  <c r="I38" i="5"/>
  <c r="H16" i="5"/>
  <c r="F33" i="5"/>
  <c r="H12" i="5"/>
  <c r="F30" i="5"/>
  <c r="H34" i="5"/>
  <c r="H19" i="5"/>
  <c r="H30" i="5"/>
  <c r="I12" i="5"/>
  <c r="G19" i="5"/>
  <c r="G30" i="5"/>
  <c r="F26" i="5"/>
  <c r="G22" i="5"/>
  <c r="I26" i="5"/>
  <c r="G33" i="5"/>
  <c r="I37" i="5"/>
  <c r="I19" i="5"/>
  <c r="G11" i="5" l="1"/>
  <c r="I9" i="5"/>
  <c r="G35" i="5"/>
  <c r="G26" i="5"/>
  <c r="P60" i="4"/>
  <c r="H31" i="5"/>
  <c r="I13" i="5"/>
  <c r="P96" i="4"/>
  <c r="P46" i="4"/>
  <c r="P84" i="4"/>
  <c r="H33" i="5"/>
  <c r="P95" i="4"/>
  <c r="F25" i="5"/>
  <c r="P43" i="4"/>
  <c r="F12" i="5"/>
  <c r="G14" i="5"/>
  <c r="I30" i="5"/>
  <c r="J30" i="5" s="1"/>
  <c r="K30" i="5" s="1"/>
  <c r="I28" i="5"/>
  <c r="H39" i="5"/>
  <c r="F10" i="5"/>
  <c r="H14" i="5"/>
  <c r="I31" i="5"/>
  <c r="H21" i="5"/>
  <c r="F29" i="5"/>
  <c r="I18" i="5"/>
  <c r="P54" i="4"/>
  <c r="P110" i="4"/>
  <c r="I23" i="5"/>
  <c r="H38" i="5"/>
  <c r="H13" i="5"/>
  <c r="I10" i="5"/>
  <c r="I40" i="5"/>
  <c r="I22" i="5"/>
  <c r="P107" i="4"/>
  <c r="F28" i="5"/>
  <c r="F38" i="5"/>
  <c r="G24" i="5"/>
  <c r="F35" i="5"/>
  <c r="G39" i="5"/>
  <c r="H36" i="5"/>
  <c r="P71" i="4"/>
  <c r="F19" i="5"/>
  <c r="J19" i="5" s="1"/>
  <c r="K19" i="5" s="1"/>
  <c r="F8" i="5"/>
  <c r="G27" i="5"/>
  <c r="I35" i="5"/>
  <c r="F17" i="5"/>
  <c r="G21" i="5"/>
  <c r="F14" i="5"/>
  <c r="P47" i="4"/>
  <c r="F13" i="5"/>
  <c r="F34" i="5"/>
  <c r="F9" i="5"/>
  <c r="G36" i="5"/>
  <c r="G18" i="5"/>
  <c r="H20" i="5"/>
  <c r="H15" i="5"/>
  <c r="F32" i="5"/>
  <c r="G15" i="5"/>
  <c r="H22" i="5"/>
  <c r="P55" i="4"/>
  <c r="F15" i="5"/>
  <c r="P50" i="4"/>
  <c r="P70" i="4"/>
  <c r="G31" i="5"/>
  <c r="H40" i="5"/>
  <c r="G17" i="5"/>
  <c r="H35" i="5"/>
  <c r="I17" i="5"/>
  <c r="H28" i="5"/>
  <c r="I32" i="5"/>
  <c r="I27" i="5"/>
  <c r="I20" i="5"/>
  <c r="F16" i="5"/>
  <c r="H10" i="5"/>
  <c r="I14" i="5"/>
  <c r="F18" i="5"/>
  <c r="H27" i="5"/>
  <c r="F39" i="5"/>
  <c r="I29" i="5"/>
  <c r="F36" i="5"/>
  <c r="I8" i="5"/>
  <c r="I11" i="5"/>
  <c r="P75" i="4"/>
  <c r="F20" i="5"/>
  <c r="H8" i="5"/>
  <c r="F31" i="5"/>
  <c r="G13" i="5"/>
  <c r="F24" i="5"/>
  <c r="G28" i="5"/>
  <c r="H25" i="5"/>
  <c r="G40" i="5"/>
  <c r="G34" i="5"/>
  <c r="G16" i="5"/>
  <c r="I24" i="5"/>
  <c r="G10" i="5"/>
  <c r="G8" i="5"/>
  <c r="F23" i="5"/>
  <c r="G25" i="5"/>
  <c r="I15" i="5"/>
  <c r="G12" i="5"/>
  <c r="H9" i="5"/>
  <c r="I39" i="5"/>
  <c r="F21" i="5"/>
  <c r="H11" i="5"/>
  <c r="H23" i="5"/>
  <c r="G20" i="5"/>
  <c r="H32" i="5"/>
  <c r="I36" i="5"/>
  <c r="H29" i="5"/>
  <c r="F40" i="5"/>
  <c r="I34" i="5"/>
  <c r="F37" i="5"/>
  <c r="J37" i="5" s="1"/>
  <c r="K37" i="5" s="1"/>
  <c r="G23" i="5"/>
  <c r="H24" i="5"/>
  <c r="H26" i="5"/>
  <c r="H17" i="5"/>
  <c r="I21" i="5"/>
  <c r="I33" i="5"/>
  <c r="P65" i="4"/>
  <c r="P83" i="4"/>
  <c r="P86" i="4"/>
  <c r="P39" i="4"/>
  <c r="P58" i="4"/>
  <c r="P144" i="4"/>
  <c r="P136" i="4"/>
  <c r="P49" i="4"/>
  <c r="P85" i="4"/>
  <c r="P156" i="4"/>
  <c r="P35" i="4"/>
  <c r="P73" i="4"/>
  <c r="P121" i="4"/>
  <c r="P153" i="4"/>
  <c r="P32" i="4"/>
  <c r="P103" i="4"/>
  <c r="P53" i="4"/>
  <c r="P146" i="4"/>
  <c r="P111" i="4"/>
  <c r="P33" i="4"/>
  <c r="P38" i="4"/>
  <c r="P72" i="4"/>
  <c r="P74" i="4"/>
  <c r="P145" i="4"/>
  <c r="P62" i="4"/>
  <c r="P99" i="4"/>
  <c r="P142" i="4"/>
  <c r="P92" i="4"/>
  <c r="P147" i="4"/>
  <c r="P42" i="4"/>
  <c r="P135" i="4"/>
  <c r="P100" i="4"/>
  <c r="P88" i="4"/>
  <c r="P148" i="4"/>
  <c r="P27" i="4"/>
  <c r="P138" i="4"/>
  <c r="P63" i="4"/>
  <c r="P134" i="4"/>
  <c r="P61" i="4"/>
  <c r="P51" i="4"/>
  <c r="P77" i="4"/>
  <c r="P127" i="4"/>
  <c r="P131" i="4"/>
  <c r="P81" i="4"/>
  <c r="P152" i="4"/>
  <c r="P31" i="4"/>
  <c r="P124" i="4"/>
  <c r="P105" i="4"/>
  <c r="P89" i="4"/>
  <c r="P66" i="4"/>
  <c r="P137" i="4"/>
  <c r="P94" i="4"/>
  <c r="P52" i="4"/>
  <c r="P123" i="4"/>
  <c r="P40" i="4"/>
  <c r="P120" i="4"/>
  <c r="P141" i="4"/>
  <c r="P113" i="4"/>
  <c r="P78" i="4"/>
  <c r="P126" i="4"/>
  <c r="P41" i="4"/>
  <c r="P112" i="4"/>
  <c r="P150" i="4"/>
  <c r="P29" i="4"/>
  <c r="P44" i="4"/>
  <c r="P132" i="4"/>
  <c r="P109" i="4"/>
  <c r="P59" i="4"/>
  <c r="P130" i="4"/>
  <c r="P102" i="4"/>
  <c r="P67" i="4"/>
  <c r="P115" i="4"/>
  <c r="P151" i="4"/>
  <c r="P30" i="4"/>
  <c r="P101" i="4"/>
  <c r="P139" i="4"/>
  <c r="P98" i="4"/>
  <c r="P48" i="4"/>
  <c r="P119" i="4"/>
  <c r="P91" i="4"/>
  <c r="P56" i="4"/>
  <c r="P104" i="4"/>
  <c r="P140" i="4"/>
  <c r="P90" i="4"/>
  <c r="P128" i="4"/>
  <c r="P87" i="4"/>
  <c r="P37" i="4"/>
  <c r="P108" i="4"/>
  <c r="P80" i="4"/>
  <c r="P45" i="4"/>
  <c r="P93" i="4"/>
  <c r="P129" i="4"/>
  <c r="P149" i="4"/>
  <c r="P79" i="4"/>
  <c r="P117" i="4"/>
  <c r="P154" i="4"/>
  <c r="P76" i="4"/>
  <c r="P97" i="4"/>
  <c r="P69" i="4"/>
  <c r="P116" i="4"/>
  <c r="P155" i="4"/>
  <c r="P34" i="4"/>
  <c r="P143" i="4"/>
  <c r="P82" i="4"/>
  <c r="P118" i="4"/>
  <c r="P68" i="4"/>
  <c r="P106" i="4"/>
  <c r="J22" i="5" l="1"/>
  <c r="K22" i="5" s="1"/>
  <c r="J26" i="5"/>
  <c r="K26" i="5" s="1"/>
  <c r="J31" i="5"/>
  <c r="K31" i="5" s="1"/>
  <c r="J24" i="5"/>
  <c r="K24" i="5" s="1"/>
  <c r="J18" i="5"/>
  <c r="K18" i="5" s="1"/>
  <c r="J36" i="5"/>
  <c r="K36" i="5" s="1"/>
  <c r="J33" i="5"/>
  <c r="K33" i="5" s="1"/>
  <c r="J27" i="5"/>
  <c r="K27" i="5" s="1"/>
  <c r="J32" i="5"/>
  <c r="K32" i="5" s="1"/>
  <c r="J11" i="5"/>
  <c r="K11" i="5" s="1"/>
  <c r="J40" i="5"/>
  <c r="K40" i="5" s="1"/>
  <c r="J35" i="5"/>
  <c r="K35" i="5" s="1"/>
  <c r="J21" i="5"/>
  <c r="K21" i="5" s="1"/>
  <c r="J23" i="5"/>
  <c r="K23" i="5" s="1"/>
  <c r="J13" i="5"/>
  <c r="K13" i="5" s="1"/>
  <c r="J15" i="5"/>
  <c r="K15" i="5" s="1"/>
  <c r="J10" i="5"/>
  <c r="K10" i="5" s="1"/>
  <c r="J39" i="5"/>
  <c r="K39" i="5" s="1"/>
  <c r="J38" i="5"/>
  <c r="K38" i="5" s="1"/>
  <c r="J12" i="5"/>
  <c r="K12" i="5" s="1"/>
  <c r="J28" i="5"/>
  <c r="K28" i="5" s="1"/>
  <c r="J25" i="5"/>
  <c r="K25" i="5" s="1"/>
  <c r="J9" i="5"/>
  <c r="K9" i="5" s="1"/>
  <c r="J16" i="5"/>
  <c r="K16" i="5" s="1"/>
  <c r="J34" i="5"/>
  <c r="K34" i="5" s="1"/>
  <c r="J14" i="5"/>
  <c r="K14" i="5" s="1"/>
  <c r="J17" i="5"/>
  <c r="K17" i="5" s="1"/>
  <c r="J29" i="5"/>
  <c r="K29" i="5" s="1"/>
  <c r="J8" i="5"/>
  <c r="K8" i="5" s="1"/>
  <c r="J20" i="5"/>
  <c r="K20" i="5" s="1"/>
  <c r="H4" i="4"/>
  <c r="I4" i="4"/>
  <c r="J4" i="4"/>
  <c r="K4" i="4"/>
  <c r="H5" i="4"/>
  <c r="I5" i="4"/>
  <c r="J5" i="4"/>
  <c r="K5" i="4"/>
  <c r="H6" i="4"/>
  <c r="I6" i="4"/>
  <c r="J6" i="4"/>
  <c r="K6" i="4"/>
  <c r="H7" i="4"/>
  <c r="I7" i="4"/>
  <c r="J7" i="4"/>
  <c r="K7" i="4"/>
  <c r="H8" i="4"/>
  <c r="I8" i="4"/>
  <c r="J8" i="4"/>
  <c r="K8" i="4"/>
  <c r="H9" i="4"/>
  <c r="I9" i="4"/>
  <c r="J9" i="4"/>
  <c r="K9" i="4"/>
  <c r="H10" i="4"/>
  <c r="I10" i="4"/>
  <c r="J10" i="4"/>
  <c r="K10" i="4"/>
  <c r="H11" i="4"/>
  <c r="I11" i="4"/>
  <c r="J11" i="4"/>
  <c r="K11" i="4"/>
  <c r="H12" i="4"/>
  <c r="I12" i="4"/>
  <c r="J12" i="4"/>
  <c r="K12" i="4"/>
  <c r="H13" i="4"/>
  <c r="I13" i="4"/>
  <c r="J13" i="4"/>
  <c r="K13" i="4"/>
  <c r="H14" i="4"/>
  <c r="I14" i="4"/>
  <c r="J14" i="4"/>
  <c r="K14" i="4"/>
  <c r="K3" i="4"/>
  <c r="J3" i="4"/>
  <c r="I3" i="4"/>
  <c r="H3" i="4"/>
  <c r="I3" i="11"/>
  <c r="R4" i="4" s="1"/>
  <c r="V4" i="4" s="1"/>
  <c r="I4" i="11"/>
  <c r="T5" i="4" s="1"/>
  <c r="V5" i="4" s="1"/>
  <c r="I5" i="11"/>
  <c r="U6" i="4" s="1"/>
  <c r="V6" i="4" s="1"/>
  <c r="I2" i="11"/>
  <c r="S3" i="4" s="1"/>
  <c r="V3" i="4" s="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2" i="11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" i="6"/>
  <c r="F7" i="5" l="1"/>
  <c r="G7" i="5"/>
  <c r="H6" i="5" l="1"/>
  <c r="I6" i="5"/>
  <c r="K3" i="6" l="1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" i="6"/>
  <c r="H7" i="5" l="1"/>
  <c r="G6" i="5"/>
  <c r="P16" i="4"/>
  <c r="I2" i="5"/>
  <c r="F3" i="5"/>
  <c r="I3" i="5"/>
  <c r="H4" i="5" l="1"/>
  <c r="F6" i="5"/>
  <c r="J6" i="5" s="1"/>
  <c r="K6" i="5" s="1"/>
  <c r="H3" i="5"/>
  <c r="G4" i="5"/>
  <c r="H5" i="5"/>
  <c r="G3" i="5"/>
  <c r="I5" i="5"/>
  <c r="I7" i="5"/>
  <c r="J7" i="5" s="1"/>
  <c r="K7" i="5" s="1"/>
  <c r="H2" i="5"/>
  <c r="F5" i="5"/>
  <c r="I4" i="5"/>
  <c r="F2" i="5"/>
  <c r="G5" i="5"/>
  <c r="G2" i="5"/>
  <c r="F4" i="5"/>
  <c r="P22" i="4"/>
  <c r="P8" i="4"/>
  <c r="P9" i="4"/>
  <c r="P11" i="4"/>
  <c r="P7" i="4"/>
  <c r="P6" i="4"/>
  <c r="P5" i="4"/>
  <c r="P12" i="4"/>
  <c r="P26" i="4"/>
  <c r="P25" i="4"/>
  <c r="P4" i="4"/>
  <c r="P14" i="4"/>
  <c r="P23" i="4"/>
  <c r="P10" i="4"/>
  <c r="P13" i="4"/>
  <c r="P24" i="4"/>
  <c r="P21" i="4"/>
  <c r="P20" i="4"/>
  <c r="P15" i="4"/>
  <c r="P17" i="4"/>
  <c r="P19" i="4"/>
  <c r="P18" i="4"/>
  <c r="J3" i="5" l="1"/>
  <c r="K3" i="5" s="1"/>
  <c r="J5" i="5"/>
  <c r="K5" i="5" s="1"/>
  <c r="J4" i="5"/>
  <c r="K4" i="5" s="1"/>
  <c r="J2" i="5"/>
  <c r="K2" i="5" s="1"/>
</calcChain>
</file>

<file path=xl/sharedStrings.xml><?xml version="1.0" encoding="utf-8"?>
<sst xmlns="http://schemas.openxmlformats.org/spreadsheetml/2006/main" count="867" uniqueCount="236">
  <si>
    <t>年度</t>
  </si>
  <si>
    <t>合作伙伴名称</t>
  </si>
  <si>
    <t>xxx</t>
  </si>
  <si>
    <t>业绩目标（万元）</t>
  </si>
  <si>
    <t>按季度分解</t>
  </si>
  <si>
    <t>Q1</t>
  </si>
  <si>
    <t>Q2</t>
  </si>
  <si>
    <t>Q3</t>
  </si>
  <si>
    <t>Q4</t>
  </si>
  <si>
    <t>产品线分解（年度）</t>
  </si>
  <si>
    <t>产品型号</t>
  </si>
  <si>
    <t>数量</t>
  </si>
  <si>
    <t>单价</t>
  </si>
  <si>
    <t>总金额</t>
  </si>
  <si>
    <t>Ultra</t>
  </si>
  <si>
    <t>时空之眼</t>
  </si>
  <si>
    <t>小旋风</t>
  </si>
  <si>
    <t>OK7</t>
  </si>
  <si>
    <t>返利计算</t>
  </si>
  <si>
    <t>80%是金额返利，20%是市场返利</t>
  </si>
  <si>
    <t>市场支持</t>
  </si>
  <si>
    <t>专家讲课</t>
  </si>
  <si>
    <t>市场物料</t>
  </si>
  <si>
    <t>区域会议</t>
  </si>
  <si>
    <t>参会或游学</t>
  </si>
  <si>
    <t>新媒体</t>
  </si>
  <si>
    <t>其他（一事一议）</t>
  </si>
  <si>
    <t>年度</t>
    <phoneticPr fontId="1" type="noConversion"/>
  </si>
  <si>
    <t>代理商编号</t>
    <phoneticPr fontId="1" type="noConversion"/>
  </si>
  <si>
    <t>代理商名称</t>
    <phoneticPr fontId="1" type="noConversion"/>
  </si>
  <si>
    <t>年度指标(数量)</t>
    <phoneticPr fontId="1" type="noConversion"/>
  </si>
  <si>
    <t>销售单价</t>
    <phoneticPr fontId="1" type="noConversion"/>
  </si>
  <si>
    <t>A00001</t>
    <phoneticPr fontId="1" type="noConversion"/>
  </si>
  <si>
    <t>A00003</t>
  </si>
  <si>
    <t>返利</t>
    <phoneticPr fontId="1" type="noConversion"/>
  </si>
  <si>
    <t>市场支持-分类</t>
    <phoneticPr fontId="1" type="noConversion"/>
  </si>
  <si>
    <t>终端客户名称</t>
    <phoneticPr fontId="1" type="noConversion"/>
  </si>
  <si>
    <t>省/直辖市</t>
    <phoneticPr fontId="1" type="noConversion"/>
  </si>
  <si>
    <t>客户性质</t>
    <phoneticPr fontId="1" type="noConversion"/>
  </si>
  <si>
    <t>状态</t>
    <phoneticPr fontId="1" type="noConversion"/>
  </si>
  <si>
    <t>1月</t>
    <phoneticPr fontId="1" type="noConversion"/>
  </si>
  <si>
    <t>2月</t>
    <phoneticPr fontId="1" type="noConversion"/>
  </si>
  <si>
    <t>中山大学中山眼科中心</t>
    <phoneticPr fontId="3" type="noConversion"/>
  </si>
  <si>
    <t>深圳市眼科医院</t>
    <phoneticPr fontId="3" type="noConversion"/>
  </si>
  <si>
    <t>汕头国际眼科中心</t>
    <phoneticPr fontId="3" type="noConversion"/>
  </si>
  <si>
    <t>佛山市第二人民医院</t>
    <phoneticPr fontId="3" type="noConversion"/>
  </si>
  <si>
    <t>首都医科大学附属北京同仁医院</t>
    <phoneticPr fontId="3" type="noConversion"/>
  </si>
  <si>
    <t>2026年</t>
    <phoneticPr fontId="1" type="noConversion"/>
  </si>
  <si>
    <t>年度指标(万元)</t>
    <phoneticPr fontId="1" type="noConversion"/>
  </si>
  <si>
    <t>开始日期</t>
    <phoneticPr fontId="1" type="noConversion"/>
  </si>
  <si>
    <t>终止日期</t>
    <phoneticPr fontId="1" type="noConversion"/>
  </si>
  <si>
    <t>省市</t>
    <phoneticPr fontId="3" type="noConversion"/>
  </si>
  <si>
    <t>北京市</t>
    <phoneticPr fontId="3" type="noConversion"/>
  </si>
  <si>
    <t>天津市</t>
    <phoneticPr fontId="3" type="noConversion"/>
  </si>
  <si>
    <t>河北省</t>
    <phoneticPr fontId="3" type="noConversion"/>
  </si>
  <si>
    <t>内蒙古自治区</t>
    <phoneticPr fontId="3" type="noConversion"/>
  </si>
  <si>
    <t>山西省</t>
    <phoneticPr fontId="3" type="noConversion"/>
  </si>
  <si>
    <t>陕西省</t>
    <phoneticPr fontId="3" type="noConversion"/>
  </si>
  <si>
    <t>甘肃省</t>
    <phoneticPr fontId="3" type="noConversion"/>
  </si>
  <si>
    <t>青海省</t>
    <phoneticPr fontId="3" type="noConversion"/>
  </si>
  <si>
    <t>宁夏回族自治区</t>
    <phoneticPr fontId="3" type="noConversion"/>
  </si>
  <si>
    <t>新疆维吾尔自治区</t>
    <phoneticPr fontId="3" type="noConversion"/>
  </si>
  <si>
    <t>黑龙江省</t>
    <phoneticPr fontId="3" type="noConversion"/>
  </si>
  <si>
    <t>吉林省</t>
    <phoneticPr fontId="3" type="noConversion"/>
  </si>
  <si>
    <t>辽宁省</t>
    <phoneticPr fontId="3" type="noConversion"/>
  </si>
  <si>
    <t>上海市</t>
    <phoneticPr fontId="3" type="noConversion"/>
  </si>
  <si>
    <t>浙江省</t>
    <phoneticPr fontId="3" type="noConversion"/>
  </si>
  <si>
    <t>湖南省</t>
    <phoneticPr fontId="3" type="noConversion"/>
  </si>
  <si>
    <t>江苏省</t>
    <phoneticPr fontId="3" type="noConversion"/>
  </si>
  <si>
    <t>江西省</t>
    <phoneticPr fontId="3" type="noConversion"/>
  </si>
  <si>
    <t>安徽省</t>
    <phoneticPr fontId="3" type="noConversion"/>
  </si>
  <si>
    <t>福建省</t>
    <phoneticPr fontId="3" type="noConversion"/>
  </si>
  <si>
    <t>广东省</t>
    <phoneticPr fontId="3" type="noConversion"/>
  </si>
  <si>
    <t>广西壮族自治区</t>
    <phoneticPr fontId="3" type="noConversion"/>
  </si>
  <si>
    <t>海南省</t>
    <phoneticPr fontId="3" type="noConversion"/>
  </si>
  <si>
    <t>山东省</t>
    <phoneticPr fontId="3" type="noConversion"/>
  </si>
  <si>
    <t>河南省</t>
    <phoneticPr fontId="3" type="noConversion"/>
  </si>
  <si>
    <t>湖北省</t>
    <phoneticPr fontId="3" type="noConversion"/>
  </si>
  <si>
    <t>四川省</t>
    <phoneticPr fontId="3" type="noConversion"/>
  </si>
  <si>
    <t>重庆市</t>
    <phoneticPr fontId="3" type="noConversion"/>
  </si>
  <si>
    <t>云南省</t>
    <phoneticPr fontId="3" type="noConversion"/>
  </si>
  <si>
    <t>贵州省</t>
    <phoneticPr fontId="3" type="noConversion"/>
  </si>
  <si>
    <t>西藏自治区</t>
    <phoneticPr fontId="3" type="noConversion"/>
  </si>
  <si>
    <t>公司1</t>
    <phoneticPr fontId="1" type="noConversion"/>
  </si>
  <si>
    <t>公司2</t>
    <phoneticPr fontId="1" type="noConversion"/>
  </si>
  <si>
    <t>公司3</t>
  </si>
  <si>
    <t>公司4</t>
  </si>
  <si>
    <t>公司5</t>
  </si>
  <si>
    <t>公司6</t>
  </si>
  <si>
    <t>公司7</t>
  </si>
  <si>
    <t>公司8</t>
  </si>
  <si>
    <t>公司9</t>
  </si>
  <si>
    <t>公司10</t>
  </si>
  <si>
    <t>公司11</t>
  </si>
  <si>
    <t>公司12</t>
  </si>
  <si>
    <t>公司13</t>
  </si>
  <si>
    <t>公司14</t>
  </si>
  <si>
    <t>公司15</t>
  </si>
  <si>
    <t>公司16</t>
  </si>
  <si>
    <t>公司17</t>
  </si>
  <si>
    <t>公司18</t>
  </si>
  <si>
    <t>公司19</t>
  </si>
  <si>
    <t>公司20</t>
  </si>
  <si>
    <t>公司21</t>
  </si>
  <si>
    <t>公司22</t>
  </si>
  <si>
    <t>公司23</t>
  </si>
  <si>
    <t>公司24</t>
  </si>
  <si>
    <t>公司25</t>
  </si>
  <si>
    <t>公司26</t>
  </si>
  <si>
    <t>公司27</t>
  </si>
  <si>
    <t>公司28</t>
  </si>
  <si>
    <t>公司29</t>
  </si>
  <si>
    <t>公司30</t>
  </si>
  <si>
    <t>公司31</t>
  </si>
  <si>
    <t>公司32</t>
  </si>
  <si>
    <t>公司33</t>
  </si>
  <si>
    <t>公司34</t>
  </si>
  <si>
    <t>公司35</t>
  </si>
  <si>
    <t>公司36</t>
  </si>
  <si>
    <t>公司37</t>
  </si>
  <si>
    <t>公司38</t>
  </si>
  <si>
    <t>公司39</t>
  </si>
  <si>
    <t>时间</t>
    <phoneticPr fontId="1" type="noConversion"/>
  </si>
  <si>
    <t>公立</t>
  </si>
  <si>
    <t>已开户</t>
  </si>
  <si>
    <t>北京市</t>
  </si>
  <si>
    <t>客户编码</t>
    <phoneticPr fontId="1" type="noConversion"/>
  </si>
  <si>
    <t>销售月份</t>
    <phoneticPr fontId="1" type="noConversion"/>
  </si>
  <si>
    <t>产品型号</t>
    <phoneticPr fontId="1" type="noConversion"/>
  </si>
  <si>
    <t>数量</t>
    <phoneticPr fontId="1" type="noConversion"/>
  </si>
  <si>
    <t>单价</t>
    <phoneticPr fontId="1" type="noConversion"/>
  </si>
  <si>
    <t>总价</t>
    <phoneticPr fontId="1" type="noConversion"/>
  </si>
  <si>
    <t>销售区域</t>
    <phoneticPr fontId="1" type="noConversion"/>
  </si>
  <si>
    <t>归属人</t>
    <phoneticPr fontId="1" type="noConversion"/>
  </si>
  <si>
    <t>代理商名称-1</t>
    <phoneticPr fontId="1" type="noConversion"/>
  </si>
  <si>
    <t>代理商名称-2</t>
    <phoneticPr fontId="1" type="noConversion"/>
  </si>
  <si>
    <t>指标相关数据</t>
    <phoneticPr fontId="1" type="noConversion"/>
  </si>
  <si>
    <t>年度达成</t>
    <phoneticPr fontId="1" type="noConversion"/>
  </si>
  <si>
    <t>年度达成率</t>
    <phoneticPr fontId="1" type="noConversion"/>
  </si>
  <si>
    <t>授权医院数量</t>
    <phoneticPr fontId="1" type="noConversion"/>
  </si>
  <si>
    <t>ALL</t>
    <phoneticPr fontId="1" type="noConversion"/>
  </si>
  <si>
    <t>全部代理商数据</t>
    <phoneticPr fontId="1" type="noConversion"/>
  </si>
  <si>
    <t>总指标</t>
    <phoneticPr fontId="1" type="noConversion"/>
  </si>
  <si>
    <t>总达成</t>
    <phoneticPr fontId="1" type="noConversion"/>
  </si>
  <si>
    <t>达成率</t>
    <phoneticPr fontId="1" type="noConversion"/>
  </si>
  <si>
    <t>可增加仪表盘，饼图等表达完成进度的图形</t>
    <phoneticPr fontId="1" type="noConversion"/>
  </si>
  <si>
    <t>设置下拉选择，选择某个代理商时，下面达成相应对标，下方可设置某个代理商年度达成进度，分月折线图；产品型号相关数据图形等；根据业务管理需求调整</t>
    <phoneticPr fontId="1" type="noConversion"/>
  </si>
  <si>
    <t>虚拟数据可以模拟放进来，下一版我再设置公式</t>
    <phoneticPr fontId="1" type="noConversion"/>
  </si>
  <si>
    <t>以下需要确认</t>
    <phoneticPr fontId="1" type="noConversion"/>
  </si>
  <si>
    <t>1、产品型号是否有数量和金额双考核指标设置?</t>
    <phoneticPr fontId="1" type="noConversion"/>
  </si>
  <si>
    <t>2、产品型号向下还是否继续分组？如有可能一并设置进来，尽可能全</t>
    <phoneticPr fontId="1" type="noConversion"/>
  </si>
  <si>
    <t>3、返利的逻辑昨天没有太明白，再沟通下，我结合看是否统一设置表格公式</t>
    <phoneticPr fontId="1" type="noConversion"/>
  </si>
  <si>
    <t>4、医院授权代理商会变化，这个时间节点基本是月度或者季度节点吧？</t>
    <phoneticPr fontId="1" type="noConversion"/>
  </si>
  <si>
    <t>5、代理商类似提前备货/吃货这种方式，是否也一并放进来</t>
    <phoneticPr fontId="1" type="noConversion"/>
  </si>
  <si>
    <t>月度跟进表是数量，季度和年度已金额为主，需要分解到产品</t>
  </si>
  <si>
    <t>ultra，时空之眼，小旋风，RGP，OK镜</t>
  </si>
  <si>
    <t>返利你先不用做</t>
  </si>
  <si>
    <t>季度</t>
  </si>
  <si>
    <t>放进去</t>
  </si>
  <si>
    <t>Q1</t>
    <phoneticPr fontId="1" type="noConversion"/>
  </si>
  <si>
    <t>Q2</t>
    <phoneticPr fontId="1" type="noConversion"/>
  </si>
  <si>
    <t>Q3</t>
    <phoneticPr fontId="1" type="noConversion"/>
  </si>
  <si>
    <t>Q4</t>
    <phoneticPr fontId="1" type="noConversion"/>
  </si>
  <si>
    <t>A00002</t>
    <phoneticPr fontId="1" type="noConversion"/>
  </si>
  <si>
    <t>A00004</t>
  </si>
  <si>
    <t>A00005</t>
  </si>
  <si>
    <t>A00006</t>
  </si>
  <si>
    <t>A00007</t>
  </si>
  <si>
    <t>A00008</t>
  </si>
  <si>
    <t>A00009</t>
  </si>
  <si>
    <t>A00010</t>
  </si>
  <si>
    <t>A00011</t>
  </si>
  <si>
    <t>A00012</t>
  </si>
  <si>
    <t>A00013</t>
  </si>
  <si>
    <t>A00014</t>
  </si>
  <si>
    <t>A00015</t>
  </si>
  <si>
    <t>A00016</t>
  </si>
  <si>
    <t>A00017</t>
  </si>
  <si>
    <t>A00018</t>
  </si>
  <si>
    <t>A00019</t>
  </si>
  <si>
    <t>A00020</t>
  </si>
  <si>
    <t>A00021</t>
  </si>
  <si>
    <t>A00022</t>
  </si>
  <si>
    <t>A00023</t>
  </si>
  <si>
    <t>A00024</t>
  </si>
  <si>
    <t>A00025</t>
  </si>
  <si>
    <t>A00026</t>
  </si>
  <si>
    <t>A00027</t>
  </si>
  <si>
    <t>A00028</t>
  </si>
  <si>
    <t>A00029</t>
  </si>
  <si>
    <t>A00030</t>
  </si>
  <si>
    <t>A00031</t>
  </si>
  <si>
    <t>A00032</t>
  </si>
  <si>
    <t>A00033</t>
  </si>
  <si>
    <t>A00034</t>
  </si>
  <si>
    <t>A00035</t>
  </si>
  <si>
    <t>A00036</t>
  </si>
  <si>
    <t>A00037</t>
  </si>
  <si>
    <t>A00038</t>
  </si>
  <si>
    <t>A00039</t>
  </si>
  <si>
    <t>公司1</t>
  </si>
  <si>
    <t>销售日期</t>
    <phoneticPr fontId="1" type="noConversion"/>
  </si>
  <si>
    <t>采购日期</t>
    <phoneticPr fontId="1" type="noConversion"/>
  </si>
  <si>
    <t>采购月份</t>
    <phoneticPr fontId="1" type="noConversion"/>
  </si>
  <si>
    <t>公司4</t>
    <phoneticPr fontId="1" type="noConversion"/>
  </si>
  <si>
    <t>公司3</t>
    <phoneticPr fontId="1" type="noConversion"/>
  </si>
  <si>
    <t>公司6</t>
    <phoneticPr fontId="1" type="noConversion"/>
  </si>
  <si>
    <t>已培训</t>
  </si>
  <si>
    <t>业绩归属代理商</t>
    <phoneticPr fontId="1" type="noConversion"/>
  </si>
  <si>
    <t>终端销售数据</t>
    <phoneticPr fontId="1" type="noConversion"/>
  </si>
  <si>
    <t>代理商进货数据</t>
    <phoneticPr fontId="1" type="noConversion"/>
  </si>
  <si>
    <t>年度总计</t>
    <phoneticPr fontId="1" type="noConversion"/>
  </si>
  <si>
    <t>代理商库存数据</t>
    <phoneticPr fontId="1" type="noConversion"/>
  </si>
  <si>
    <t>代理商</t>
    <phoneticPr fontId="1" type="noConversion"/>
  </si>
  <si>
    <t>3月</t>
    <phoneticPr fontId="1" type="noConversion"/>
  </si>
  <si>
    <t>4月</t>
    <phoneticPr fontId="1" type="noConversion"/>
  </si>
  <si>
    <t>5月</t>
    <phoneticPr fontId="1" type="noConversion"/>
  </si>
  <si>
    <t>6月</t>
    <phoneticPr fontId="1" type="noConversion"/>
  </si>
  <si>
    <t>7月</t>
    <phoneticPr fontId="1" type="noConversion"/>
  </si>
  <si>
    <t>8月</t>
    <phoneticPr fontId="1" type="noConversion"/>
  </si>
  <si>
    <t>9月</t>
    <phoneticPr fontId="1" type="noConversion"/>
  </si>
  <si>
    <t>10月</t>
    <phoneticPr fontId="1" type="noConversion"/>
  </si>
  <si>
    <t>11月</t>
    <phoneticPr fontId="1" type="noConversion"/>
  </si>
  <si>
    <t>12月</t>
    <phoneticPr fontId="1" type="noConversion"/>
  </si>
  <si>
    <t>分月数据</t>
    <phoneticPr fontId="1" type="noConversion"/>
  </si>
  <si>
    <t>1、可视化图形合集--可根据销售和管理策略，设计不同图形化表达，自动</t>
    <phoneticPr fontId="1" type="noConversion"/>
  </si>
  <si>
    <t>2、ALL总表-各代理商总达成：填写指标，其他从后面子表取数</t>
    <phoneticPr fontId="1" type="noConversion"/>
  </si>
  <si>
    <t>3、代理商-产品进销存：代理商分产品指标、进销存数据，蓝色部分已设置公式从子表取数</t>
    <phoneticPr fontId="1" type="noConversion"/>
  </si>
  <si>
    <t>表格说明：暂时用了一些虚拟数据模拟</t>
    <phoneticPr fontId="1" type="noConversion"/>
  </si>
  <si>
    <t>季度指标是否按照一定比例拆分，如是可以设置比例加入公式</t>
    <phoneticPr fontId="1" type="noConversion"/>
  </si>
  <si>
    <t>4、代理商-进货明细表，实时统计代理商进货数据（分型号）</t>
    <phoneticPr fontId="1" type="noConversion"/>
  </si>
  <si>
    <t>5、代理商-授权医院清单：需要期初填报，现用模拟数据</t>
    <phoneticPr fontId="1" type="noConversion"/>
  </si>
  <si>
    <t>6、终端销售统计表：蓝色部分已设置公式，其他需销售动态填报</t>
    <phoneticPr fontId="1" type="noConversion"/>
  </si>
  <si>
    <t>1、季度指标是否按照一定比例拆分，如是可以设置比例加入公式</t>
    <phoneticPr fontId="1" type="noConversion"/>
  </si>
  <si>
    <t>2、代理商和终端客户是否设置代理商编号和客户编码，考虑未来长远也行启用系统可设置</t>
    <phoneticPr fontId="1" type="noConversion"/>
  </si>
  <si>
    <t>有以下两个提示点：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</si>
</sst>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 * #,##0_ ;_ * \-#,##0_ ;_ * &quot;-&quot;_ ;_ @_ "/>
  </numFmts>
  <fonts count="20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9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b/>
      <sz val="10"/>
      <color theme="1" tint="0.34998626667073579"/>
      <name val="微软雅黑"/>
      <family val="2"/>
      <charset val="134"/>
    </font>
    <font>
      <b/>
      <sz val="9"/>
      <color theme="0" tint="-4.9989318521683403E-2"/>
      <name val="微软雅黑"/>
      <family val="2"/>
      <charset val="134"/>
    </font>
    <font>
      <b/>
      <sz val="10"/>
      <color theme="1" tint="0.249977111117893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10"/>
      <color rgb="FFC0000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0"/>
      <color rgb="FFFF0000"/>
      <name val="微软雅黑"/>
      <family val="2"/>
      <charset val="134"/>
    </font>
    <font>
      <sz val="10"/>
      <color theme="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sz val="11"/>
      <color theme="1" tint="0.249977111117893"/>
      <name val="微软雅黑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4" fillId="0" borderId="0" applyFont="0" applyFill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>
      <alignment vertical="center"/>
    </xf>
    <xf numFmtId="0" fontId="5" fillId="0" borderId="0" xfId="0" applyFont="1" applyAlignment="1">
      <alignment horizontal="right" vertical="center"/>
    </xf>
    <xf numFmtId="0" fontId="10" fillId="3" borderId="0" xfId="0" applyFont="1" applyFill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9" fontId="12" fillId="0" borderId="0" xfId="0" applyNumberFormat="1" applyFont="1">
      <alignment vertical="center"/>
    </xf>
    <xf numFmtId="0" fontId="12" fillId="5" borderId="0" xfId="0" applyFont="1" applyFill="1">
      <alignment vertical="center"/>
    </xf>
    <xf numFmtId="14" fontId="5" fillId="0" borderId="1" xfId="0" applyNumberFormat="1" applyFont="1" applyBorder="1">
      <alignment vertical="center"/>
    </xf>
    <xf numFmtId="0" fontId="9" fillId="5" borderId="1" xfId="0" applyFont="1" applyFill="1" applyBorder="1" applyAlignment="1">
      <alignment horizontal="center" vertical="center"/>
    </xf>
    <xf numFmtId="0" fontId="15" fillId="0" borderId="0" xfId="0" applyFont="1">
      <alignment vertical="center"/>
    </xf>
    <xf numFmtId="14" fontId="5" fillId="0" borderId="1" xfId="0" applyNumberFormat="1" applyFont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14" fontId="5" fillId="5" borderId="1" xfId="0" applyNumberFormat="1" applyFont="1" applyFill="1" applyBorder="1" applyAlignment="1">
      <alignment horizontal="center" vertical="center"/>
    </xf>
    <xf numFmtId="41" fontId="5" fillId="5" borderId="1" xfId="0" applyNumberFormat="1" applyFont="1" applyFill="1" applyBorder="1">
      <alignment vertical="center"/>
    </xf>
    <xf numFmtId="0" fontId="9" fillId="6" borderId="3" xfId="0" applyFont="1" applyFill="1" applyBorder="1" applyAlignment="1">
      <alignment vertical="center"/>
    </xf>
    <xf numFmtId="0" fontId="9" fillId="6" borderId="4" xfId="0" applyFont="1" applyFill="1" applyBorder="1" applyAlignment="1">
      <alignment vertical="center"/>
    </xf>
    <xf numFmtId="9" fontId="5" fillId="0" borderId="1" xfId="1" applyFont="1" applyBorder="1" applyAlignment="1">
      <alignment horizontal="right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right" vertical="center"/>
    </xf>
    <xf numFmtId="0" fontId="7" fillId="7" borderId="1" xfId="0" applyFont="1" applyFill="1" applyBorder="1">
      <alignment vertical="center"/>
    </xf>
    <xf numFmtId="14" fontId="7" fillId="7" borderId="1" xfId="0" applyNumberFormat="1" applyFont="1" applyFill="1" applyBorder="1" applyAlignment="1">
      <alignment horizontal="center" vertical="center"/>
    </xf>
    <xf numFmtId="0" fontId="9" fillId="8" borderId="3" xfId="0" applyFont="1" applyFill="1" applyBorder="1" applyAlignment="1">
      <alignment vertical="center"/>
    </xf>
    <xf numFmtId="0" fontId="9" fillId="8" borderId="4" xfId="0" applyFont="1" applyFill="1" applyBorder="1" applyAlignment="1">
      <alignment vertical="center"/>
    </xf>
    <xf numFmtId="0" fontId="16" fillId="7" borderId="1" xfId="0" applyFont="1" applyFill="1" applyBorder="1" applyAlignment="1">
      <alignment horizontal="center" vertical="center"/>
    </xf>
    <xf numFmtId="0" fontId="12" fillId="9" borderId="0" xfId="0" applyFont="1" applyFill="1">
      <alignment vertical="center"/>
    </xf>
    <xf numFmtId="0" fontId="5" fillId="9" borderId="0" xfId="0" applyFont="1" applyFill="1">
      <alignment vertical="center"/>
    </xf>
    <xf numFmtId="0" fontId="9" fillId="4" borderId="3" xfId="0" applyFont="1" applyFill="1" applyBorder="1" applyAlignment="1">
      <alignment vertical="center"/>
    </xf>
    <xf numFmtId="0" fontId="9" fillId="4" borderId="4" xfId="0" applyFont="1" applyFill="1" applyBorder="1" applyAlignment="1">
      <alignment vertical="center"/>
    </xf>
    <xf numFmtId="9" fontId="5" fillId="5" borderId="1" xfId="1" applyFont="1" applyFill="1" applyBorder="1">
      <alignment vertical="center"/>
    </xf>
    <xf numFmtId="0" fontId="18" fillId="0" borderId="0" xfId="0" applyFont="1" applyAlignment="1">
      <alignment horizontal="right" vertical="center"/>
    </xf>
    <xf numFmtId="9" fontId="5" fillId="0" borderId="1" xfId="1" applyFont="1" applyBorder="1">
      <alignment vertical="center"/>
    </xf>
    <xf numFmtId="41" fontId="5" fillId="0" borderId="1" xfId="0" applyNumberFormat="1" applyFont="1" applyBorder="1">
      <alignment vertical="center"/>
    </xf>
    <xf numFmtId="0" fontId="10" fillId="3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right" vertical="center"/>
    </xf>
    <xf numFmtId="0" fontId="19" fillId="0" borderId="0" xfId="0" applyFont="1">
      <alignment vertical="center"/>
    </xf>
    <xf numFmtId="0" fontId="5" fillId="5" borderId="1" xfId="0" applyFont="1" applyFill="1" applyBorder="1" applyAlignment="1">
      <alignment horizontal="right" vertical="center"/>
    </xf>
  </cellXfs>
  <cellStyles count="2">
    <cellStyle name="百分比" xfId="1" builtinId="5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3:O28"/>
  <sheetViews>
    <sheetView showGridLines="0" tabSelected="1" workbookViewId="0">
      <selection activeCell="C18" sqref="C18"/>
    </sheetView>
  </sheetViews>
  <sheetFormatPr defaultColWidth="9" defaultRowHeight="15" x14ac:dyDescent="0.3"/>
  <cols>
    <col min="1" max="1" width="6.265625" style="17" customWidth="1"/>
    <col min="2" max="2" width="82.33203125" style="17" customWidth="1"/>
    <col min="3" max="5" width="10.6640625" style="17" customWidth="1"/>
    <col min="6" max="10" width="9" style="17"/>
    <col min="11" max="17" width="0" style="17" hidden="1" customWidth="1"/>
    <col min="18" max="16384" width="9" style="17"/>
  </cols>
  <sheetData>
    <row r="3" spans="2:15" ht="15.75" x14ac:dyDescent="0.3">
      <c r="K3" s="18" t="s">
        <v>0</v>
      </c>
      <c r="L3" s="17">
        <v>2026</v>
      </c>
    </row>
    <row r="4" spans="2:15" ht="15.75" x14ac:dyDescent="0.3">
      <c r="B4" s="20" t="s">
        <v>147</v>
      </c>
      <c r="K4" s="18" t="s">
        <v>1</v>
      </c>
      <c r="L4" s="17" t="s">
        <v>2</v>
      </c>
    </row>
    <row r="5" spans="2:15" ht="15.75" x14ac:dyDescent="0.3">
      <c r="B5" s="20" t="s">
        <v>148</v>
      </c>
      <c r="K5" s="18" t="s">
        <v>3</v>
      </c>
    </row>
    <row r="6" spans="2:15" ht="15.75" x14ac:dyDescent="0.3">
      <c r="B6" s="17" t="s">
        <v>149</v>
      </c>
      <c r="C6" s="23" t="s">
        <v>154</v>
      </c>
      <c r="D6" s="23"/>
      <c r="K6" s="18" t="s">
        <v>4</v>
      </c>
      <c r="L6" s="17" t="s">
        <v>5</v>
      </c>
      <c r="M6" s="17" t="s">
        <v>6</v>
      </c>
      <c r="N6" s="17" t="s">
        <v>7</v>
      </c>
      <c r="O6" s="17" t="s">
        <v>8</v>
      </c>
    </row>
    <row r="7" spans="2:15" x14ac:dyDescent="0.3">
      <c r="B7" s="17" t="s">
        <v>150</v>
      </c>
      <c r="C7" s="23" t="s">
        <v>155</v>
      </c>
      <c r="D7" s="23"/>
    </row>
    <row r="8" spans="2:15" x14ac:dyDescent="0.3">
      <c r="B8" s="17" t="s">
        <v>151</v>
      </c>
      <c r="C8" s="23" t="s">
        <v>156</v>
      </c>
      <c r="D8" s="23"/>
    </row>
    <row r="9" spans="2:15" ht="15.75" x14ac:dyDescent="0.3">
      <c r="B9" s="17" t="s">
        <v>152</v>
      </c>
      <c r="C9" s="23" t="s">
        <v>157</v>
      </c>
      <c r="D9" s="23"/>
      <c r="K9" s="18" t="s">
        <v>9</v>
      </c>
    </row>
    <row r="10" spans="2:15" x14ac:dyDescent="0.3">
      <c r="B10" s="17" t="s">
        <v>153</v>
      </c>
      <c r="C10" s="23" t="s">
        <v>158</v>
      </c>
      <c r="D10" s="23"/>
    </row>
    <row r="11" spans="2:15" ht="15.75" x14ac:dyDescent="0.3">
      <c r="K11" s="18" t="s">
        <v>10</v>
      </c>
      <c r="L11" s="18" t="s">
        <v>11</v>
      </c>
      <c r="M11" s="18" t="s">
        <v>12</v>
      </c>
      <c r="N11" s="18" t="s">
        <v>13</v>
      </c>
    </row>
    <row r="12" spans="2:15" x14ac:dyDescent="0.3">
      <c r="C12" s="40" t="s">
        <v>229</v>
      </c>
      <c r="D12" s="41"/>
      <c r="E12" s="41"/>
      <c r="F12" s="1"/>
      <c r="G12" s="1"/>
      <c r="K12" s="17" t="s">
        <v>14</v>
      </c>
    </row>
    <row r="13" spans="2:15" x14ac:dyDescent="0.3">
      <c r="C13" s="1"/>
      <c r="D13" s="1"/>
      <c r="E13" s="1"/>
      <c r="F13" s="1"/>
      <c r="G13" s="1"/>
      <c r="K13" s="17" t="s">
        <v>15</v>
      </c>
    </row>
    <row r="14" spans="2:15" x14ac:dyDescent="0.3">
      <c r="K14" s="17" t="s">
        <v>16</v>
      </c>
    </row>
    <row r="15" spans="2:15" ht="15.75" x14ac:dyDescent="0.3">
      <c r="B15" s="50" t="s">
        <v>228</v>
      </c>
      <c r="K15" s="17" t="s">
        <v>17</v>
      </c>
    </row>
    <row r="16" spans="2:15" x14ac:dyDescent="0.3">
      <c r="B16" s="17" t="s">
        <v>225</v>
      </c>
      <c r="L16" s="19">
        <v>0.8</v>
      </c>
      <c r="M16" s="19">
        <v>0.2</v>
      </c>
    </row>
    <row r="17" spans="2:11" ht="15.75" x14ac:dyDescent="0.3">
      <c r="B17" s="17" t="s">
        <v>226</v>
      </c>
      <c r="K17" s="18" t="s">
        <v>18</v>
      </c>
    </row>
    <row r="18" spans="2:11" x14ac:dyDescent="0.3">
      <c r="B18" s="17" t="s">
        <v>227</v>
      </c>
      <c r="K18" s="17" t="s">
        <v>19</v>
      </c>
    </row>
    <row r="19" spans="2:11" x14ac:dyDescent="0.3">
      <c r="B19" s="17" t="s">
        <v>230</v>
      </c>
    </row>
    <row r="20" spans="2:11" x14ac:dyDescent="0.3">
      <c r="B20" s="17" t="s">
        <v>231</v>
      </c>
    </row>
    <row r="21" spans="2:11" ht="15.75" x14ac:dyDescent="0.3">
      <c r="B21" s="17" t="s">
        <v>232</v>
      </c>
      <c r="K21" s="18" t="s">
        <v>20</v>
      </c>
    </row>
    <row r="22" spans="2:11" ht="15.75" x14ac:dyDescent="0.3">
      <c r="K22" s="18"/>
    </row>
    <row r="23" spans="2:11" ht="15.75" x14ac:dyDescent="0.3">
      <c r="B23" s="50" t="s">
        <v>235</v>
      </c>
      <c r="K23" s="17" t="s">
        <v>21</v>
      </c>
    </row>
    <row r="24" spans="2:11" x14ac:dyDescent="0.3">
      <c r="B24" s="17" t="s">
        <v>233</v>
      </c>
      <c r="K24" s="17" t="s">
        <v>22</v>
      </c>
    </row>
    <row r="25" spans="2:11" x14ac:dyDescent="0.3">
      <c r="B25" s="17" t="s">
        <v>234</v>
      </c>
      <c r="K25" s="17" t="s">
        <v>23</v>
      </c>
    </row>
    <row r="26" spans="2:11" x14ac:dyDescent="0.3">
      <c r="K26" s="17" t="s">
        <v>24</v>
      </c>
    </row>
    <row r="27" spans="2:11" x14ac:dyDescent="0.3">
      <c r="K27" s="17" t="s">
        <v>25</v>
      </c>
    </row>
    <row r="28" spans="2:11" x14ac:dyDescent="0.3">
      <c r="K28" s="17" t="s">
        <v>26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C00000"/>
  </sheetPr>
  <dimension ref="A2:U16"/>
  <sheetViews>
    <sheetView showGridLines="0" topLeftCell="A6" workbookViewId="0">
      <selection activeCell="C21" sqref="C21"/>
    </sheetView>
  </sheetViews>
  <sheetFormatPr defaultColWidth="9" defaultRowHeight="13.9" x14ac:dyDescent="0.3"/>
  <cols>
    <col min="1" max="1" width="8.19921875" style="1" customWidth="1"/>
    <col min="2" max="2" width="18.33203125" style="1" customWidth="1"/>
    <col min="3" max="3" width="14.3984375" style="1" customWidth="1"/>
    <col min="4" max="7" width="9.6640625" style="1" customWidth="1"/>
    <col min="8" max="8" width="10.46484375" style="1" customWidth="1"/>
    <col min="9" max="9" width="11.3984375" style="1" customWidth="1"/>
    <col min="10" max="21" width="7.265625" style="14" customWidth="1"/>
    <col min="22" max="16384" width="9" style="1"/>
  </cols>
  <sheetData>
    <row r="2" spans="1:21" x14ac:dyDescent="0.3">
      <c r="A2" s="14" t="s">
        <v>140</v>
      </c>
      <c r="B2" s="1" t="s">
        <v>141</v>
      </c>
    </row>
    <row r="3" spans="1:21" ht="14.65" x14ac:dyDescent="0.3">
      <c r="B3" s="15" t="s">
        <v>142</v>
      </c>
      <c r="C3" s="15" t="s">
        <v>143</v>
      </c>
      <c r="D3" s="15" t="s">
        <v>144</v>
      </c>
    </row>
    <row r="5" spans="1:21" x14ac:dyDescent="0.3">
      <c r="B5" s="1" t="s">
        <v>145</v>
      </c>
    </row>
    <row r="12" spans="1:21" x14ac:dyDescent="0.3">
      <c r="C12" s="16" t="s">
        <v>146</v>
      </c>
    </row>
    <row r="13" spans="1:21" ht="15" customHeight="1" x14ac:dyDescent="0.3">
      <c r="A13" s="45" t="s">
        <v>213</v>
      </c>
      <c r="B13" s="15" t="s">
        <v>200</v>
      </c>
    </row>
    <row r="14" spans="1:21" ht="14.65" x14ac:dyDescent="0.3">
      <c r="J14" s="48" t="s">
        <v>224</v>
      </c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</row>
    <row r="15" spans="1:21" ht="27.4" customHeight="1" x14ac:dyDescent="0.3">
      <c r="B15" s="34" t="s">
        <v>48</v>
      </c>
      <c r="C15" s="34" t="s">
        <v>30</v>
      </c>
      <c r="D15" s="34" t="s">
        <v>159</v>
      </c>
      <c r="E15" s="34" t="s">
        <v>160</v>
      </c>
      <c r="F15" s="34" t="s">
        <v>161</v>
      </c>
      <c r="G15" s="34" t="s">
        <v>162</v>
      </c>
      <c r="H15" s="34" t="s">
        <v>137</v>
      </c>
      <c r="I15" s="34" t="s">
        <v>138</v>
      </c>
      <c r="J15" s="34" t="s">
        <v>40</v>
      </c>
      <c r="K15" s="34" t="s">
        <v>41</v>
      </c>
      <c r="L15" s="34" t="s">
        <v>214</v>
      </c>
      <c r="M15" s="34" t="s">
        <v>215</v>
      </c>
      <c r="N15" s="34" t="s">
        <v>216</v>
      </c>
      <c r="O15" s="34" t="s">
        <v>217</v>
      </c>
      <c r="P15" s="34" t="s">
        <v>218</v>
      </c>
      <c r="Q15" s="34" t="s">
        <v>219</v>
      </c>
      <c r="R15" s="34" t="s">
        <v>220</v>
      </c>
      <c r="S15" s="34" t="s">
        <v>221</v>
      </c>
      <c r="T15" s="34" t="s">
        <v>222</v>
      </c>
      <c r="U15" s="34" t="s">
        <v>223</v>
      </c>
    </row>
    <row r="16" spans="1:21" ht="27.4" customHeight="1" x14ac:dyDescent="0.3">
      <c r="B16" s="47">
        <f>VLOOKUP($B$13,'ALL总表-各代理商总达成'!$C:$N,COLUMN(),)</f>
        <v>2000</v>
      </c>
      <c r="C16" s="47">
        <f>VLOOKUP($B$13,'ALL总表-各代理商总达成'!$C:$N,COLUMN(),)</f>
        <v>0</v>
      </c>
      <c r="D16" s="47">
        <f>VLOOKUP($B$13,'ALL总表-各代理商总达成'!$C:$N,COLUMN(),)</f>
        <v>100</v>
      </c>
      <c r="E16" s="47">
        <f>VLOOKUP($B$13,'ALL总表-各代理商总达成'!$C:$N,COLUMN(),)</f>
        <v>100</v>
      </c>
      <c r="F16" s="47">
        <f>VLOOKUP($B$13,'ALL总表-各代理商总达成'!$C:$N,COLUMN(),)</f>
        <v>100</v>
      </c>
      <c r="G16" s="47">
        <f>VLOOKUP($B$13,'ALL总表-各代理商总达成'!$C:$N,COLUMN(),)</f>
        <v>100</v>
      </c>
      <c r="H16" s="47">
        <f>VLOOKUP($B$13,'ALL总表-各代理商总达成'!$C:$N,COLUMN(),)</f>
        <v>400</v>
      </c>
      <c r="I16" s="46">
        <f>VLOOKUP($B$13,'ALL总表-各代理商总达成'!$C:$N,COLUMN(),)</f>
        <v>0.2</v>
      </c>
      <c r="J16" s="47">
        <f>SUMIFS(终端客户销售统计表!$K:$K,终端客户销售统计表!$L:$L,可视化动态图形合集!$B$13,终端客户销售统计表!$G:$G,可视化动态图形合集!J$15)/10000</f>
        <v>0</v>
      </c>
      <c r="K16" s="47">
        <f>SUMIFS(终端客户销售统计表!$K:$K,终端客户销售统计表!$L:$L,可视化动态图形合集!$B$13,终端客户销售统计表!$G:$G,可视化动态图形合集!K$15)/10000</f>
        <v>0</v>
      </c>
      <c r="L16" s="47">
        <f>SUMIFS(终端客户销售统计表!$K:$K,终端客户销售统计表!$L:$L,可视化动态图形合集!$B$13,终端客户销售统计表!$G:$G,可视化动态图形合集!L$15)/10000</f>
        <v>100</v>
      </c>
      <c r="M16" s="47">
        <f>SUMIFS(终端客户销售统计表!$K:$K,终端客户销售统计表!$L:$L,可视化动态图形合集!$B$13,终端客户销售统计表!$G:$G,可视化动态图形合集!M$15)/10000</f>
        <v>0</v>
      </c>
      <c r="N16" s="47">
        <f>SUMIFS(终端客户销售统计表!$K:$K,终端客户销售统计表!$L:$L,可视化动态图形合集!$B$13,终端客户销售统计表!$G:$G,可视化动态图形合集!N$15)/10000</f>
        <v>0</v>
      </c>
      <c r="O16" s="47">
        <f>SUMIFS(终端客户销售统计表!$K:$K,终端客户销售统计表!$L:$L,可视化动态图形合集!$B$13,终端客户销售统计表!$G:$G,可视化动态图形合集!O$15)/10000</f>
        <v>100</v>
      </c>
      <c r="P16" s="47">
        <f>SUMIFS(终端客户销售统计表!$K:$K,终端客户销售统计表!$L:$L,可视化动态图形合集!$B$13,终端客户销售统计表!$G:$G,可视化动态图形合集!P$15)/10000</f>
        <v>0</v>
      </c>
      <c r="Q16" s="47">
        <f>SUMIFS(终端客户销售统计表!$K:$K,终端客户销售统计表!$L:$L,可视化动态图形合集!$B$13,终端客户销售统计表!$G:$G,可视化动态图形合集!Q$15)/10000</f>
        <v>0</v>
      </c>
      <c r="R16" s="47">
        <f>SUMIFS(终端客户销售统计表!$K:$K,终端客户销售统计表!$L:$L,可视化动态图形合集!$B$13,终端客户销售统计表!$G:$G,可视化动态图形合集!R$15)/10000</f>
        <v>100</v>
      </c>
      <c r="S16" s="47">
        <f>SUMIFS(终端客户销售统计表!$K:$K,终端客户销售统计表!$L:$L,可视化动态图形合集!$B$13,终端客户销售统计表!$G:$G,可视化动态图形合集!S$15)/10000</f>
        <v>0</v>
      </c>
      <c r="T16" s="47">
        <f>SUMIFS(终端客户销售统计表!$K:$K,终端客户销售统计表!$L:$L,可视化动态图形合集!$B$13,终端客户销售统计表!$G:$G,可视化动态图形合集!T$15)/10000</f>
        <v>100</v>
      </c>
      <c r="U16" s="47">
        <f>SUMIFS(终端客户销售统计表!$K:$K,终端客户销售统计表!$L:$L,可视化动态图形合集!$B$13,终端客户销售统计表!$G:$G,可视化动态图形合集!U$15)/10000</f>
        <v>0</v>
      </c>
    </row>
  </sheetData>
  <phoneticPr fontId="1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72681F1-67E6-44E5-8BBA-41AA1EA3FFB9}">
          <x14:formula1>
            <xm:f>'ALL总表-各代理商总达成'!$C$2:$C$40</xm:f>
          </x14:formula1>
          <xm:sqref>B13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0B9FC-AFF1-45DA-8194-C47E4D43AA42}">
  <sheetPr codeName="Sheet3"/>
  <dimension ref="B1:B32"/>
  <sheetViews>
    <sheetView workbookViewId="0">
      <selection activeCell="G20" sqref="G20"/>
    </sheetView>
  </sheetViews>
  <sheetFormatPr defaultRowHeight="13.5" x14ac:dyDescent="0.3"/>
  <cols>
    <col min="2" max="2" width="16" customWidth="1"/>
  </cols>
  <sheetData>
    <row r="1" spans="2:2" x14ac:dyDescent="0.3">
      <c r="B1" s="7" t="s">
        <v>51</v>
      </c>
    </row>
    <row r="2" spans="2:2" x14ac:dyDescent="0.3">
      <c r="B2" s="8" t="s">
        <v>52</v>
      </c>
    </row>
    <row r="3" spans="2:2" x14ac:dyDescent="0.3">
      <c r="B3" s="8" t="s">
        <v>53</v>
      </c>
    </row>
    <row r="4" spans="2:2" x14ac:dyDescent="0.3">
      <c r="B4" s="8" t="s">
        <v>54</v>
      </c>
    </row>
    <row r="5" spans="2:2" x14ac:dyDescent="0.3">
      <c r="B5" s="8" t="s">
        <v>55</v>
      </c>
    </row>
    <row r="6" spans="2:2" x14ac:dyDescent="0.3">
      <c r="B6" s="8" t="s">
        <v>56</v>
      </c>
    </row>
    <row r="7" spans="2:2" x14ac:dyDescent="0.3">
      <c r="B7" s="8" t="s">
        <v>57</v>
      </c>
    </row>
    <row r="8" spans="2:2" x14ac:dyDescent="0.3">
      <c r="B8" s="8" t="s">
        <v>58</v>
      </c>
    </row>
    <row r="9" spans="2:2" x14ac:dyDescent="0.3">
      <c r="B9" s="9" t="s">
        <v>59</v>
      </c>
    </row>
    <row r="10" spans="2:2" x14ac:dyDescent="0.3">
      <c r="B10" s="9" t="s">
        <v>60</v>
      </c>
    </row>
    <row r="11" spans="2:2" x14ac:dyDescent="0.3">
      <c r="B11" s="9" t="s">
        <v>61</v>
      </c>
    </row>
    <row r="12" spans="2:2" x14ac:dyDescent="0.3">
      <c r="B12" s="9" t="s">
        <v>62</v>
      </c>
    </row>
    <row r="13" spans="2:2" x14ac:dyDescent="0.3">
      <c r="B13" s="9" t="s">
        <v>63</v>
      </c>
    </row>
    <row r="14" spans="2:2" x14ac:dyDescent="0.3">
      <c r="B14" s="10" t="s">
        <v>64</v>
      </c>
    </row>
    <row r="15" spans="2:2" x14ac:dyDescent="0.3">
      <c r="B15" s="10" t="s">
        <v>65</v>
      </c>
    </row>
    <row r="16" spans="2:2" x14ac:dyDescent="0.3">
      <c r="B16" s="9" t="s">
        <v>66</v>
      </c>
    </row>
    <row r="17" spans="2:2" x14ac:dyDescent="0.3">
      <c r="B17" s="9" t="s">
        <v>67</v>
      </c>
    </row>
    <row r="18" spans="2:2" x14ac:dyDescent="0.3">
      <c r="B18" s="9" t="s">
        <v>68</v>
      </c>
    </row>
    <row r="19" spans="2:2" x14ac:dyDescent="0.3">
      <c r="B19" s="8" t="s">
        <v>69</v>
      </c>
    </row>
    <row r="20" spans="2:2" x14ac:dyDescent="0.3">
      <c r="B20" s="8" t="s">
        <v>70</v>
      </c>
    </row>
    <row r="21" spans="2:2" x14ac:dyDescent="0.3">
      <c r="B21" s="8" t="s">
        <v>71</v>
      </c>
    </row>
    <row r="22" spans="2:2" x14ac:dyDescent="0.3">
      <c r="B22" s="8" t="s">
        <v>72</v>
      </c>
    </row>
    <row r="23" spans="2:2" x14ac:dyDescent="0.3">
      <c r="B23" s="8" t="s">
        <v>73</v>
      </c>
    </row>
    <row r="24" spans="2:2" x14ac:dyDescent="0.3">
      <c r="B24" s="8" t="s">
        <v>74</v>
      </c>
    </row>
    <row r="25" spans="2:2" x14ac:dyDescent="0.3">
      <c r="B25" s="8" t="s">
        <v>75</v>
      </c>
    </row>
    <row r="26" spans="2:2" x14ac:dyDescent="0.3">
      <c r="B26" s="8" t="s">
        <v>76</v>
      </c>
    </row>
    <row r="27" spans="2:2" x14ac:dyDescent="0.3">
      <c r="B27" s="8" t="s">
        <v>77</v>
      </c>
    </row>
    <row r="28" spans="2:2" x14ac:dyDescent="0.3">
      <c r="B28" s="8" t="s">
        <v>78</v>
      </c>
    </row>
    <row r="29" spans="2:2" x14ac:dyDescent="0.3">
      <c r="B29" s="8" t="s">
        <v>79</v>
      </c>
    </row>
    <row r="30" spans="2:2" x14ac:dyDescent="0.3">
      <c r="B30" s="8" t="s">
        <v>80</v>
      </c>
    </row>
    <row r="31" spans="2:2" x14ac:dyDescent="0.3">
      <c r="B31" s="8" t="s">
        <v>81</v>
      </c>
    </row>
    <row r="32" spans="2:2" x14ac:dyDescent="0.3">
      <c r="B32" s="8" t="s">
        <v>82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A6178-9D34-4FB0-B303-3A5DB738DC1B}">
  <sheetPr codeName="Sheet4">
    <tabColor rgb="FFC00000"/>
  </sheetPr>
  <dimension ref="A1:N40"/>
  <sheetViews>
    <sheetView showGridLines="0" workbookViewId="0">
      <pane ySplit="1" topLeftCell="A2" activePane="bottomLeft" state="frozen"/>
      <selection pane="bottomLeft" activeCell="C12" sqref="C12"/>
    </sheetView>
  </sheetViews>
  <sheetFormatPr defaultRowHeight="13.9" x14ac:dyDescent="0.3"/>
  <cols>
    <col min="1" max="1" width="9.6640625" style="3" customWidth="1"/>
    <col min="2" max="2" width="10.796875" style="2" bestFit="1" customWidth="1"/>
    <col min="3" max="3" width="28.3984375" style="2" customWidth="1"/>
    <col min="4" max="4" width="14.73046875" style="3" customWidth="1"/>
    <col min="5" max="5" width="14.9296875" style="3" customWidth="1"/>
    <col min="6" max="9" width="8.9296875" style="11" customWidth="1"/>
    <col min="10" max="11" width="10.86328125" style="11" customWidth="1"/>
    <col min="12" max="12" width="12.3984375" style="11" customWidth="1"/>
    <col min="13" max="13" width="14.796875" style="3" customWidth="1"/>
    <col min="14" max="14" width="18.1328125" style="3" customWidth="1"/>
    <col min="15" max="16384" width="9.06640625" style="1"/>
  </cols>
  <sheetData>
    <row r="1" spans="1:14" ht="14.65" x14ac:dyDescent="0.3">
      <c r="A1" s="13" t="s">
        <v>27</v>
      </c>
      <c r="B1" s="12" t="s">
        <v>28</v>
      </c>
      <c r="C1" s="33" t="s">
        <v>29</v>
      </c>
      <c r="D1" s="34" t="s">
        <v>48</v>
      </c>
      <c r="E1" s="34" t="s">
        <v>30</v>
      </c>
      <c r="F1" s="34" t="s">
        <v>159</v>
      </c>
      <c r="G1" s="34" t="s">
        <v>160</v>
      </c>
      <c r="H1" s="34" t="s">
        <v>161</v>
      </c>
      <c r="I1" s="34" t="s">
        <v>162</v>
      </c>
      <c r="J1" s="34" t="s">
        <v>137</v>
      </c>
      <c r="K1" s="34" t="s">
        <v>138</v>
      </c>
      <c r="L1" s="34" t="s">
        <v>139</v>
      </c>
      <c r="M1" s="33" t="s">
        <v>34</v>
      </c>
      <c r="N1" s="35" t="s">
        <v>35</v>
      </c>
    </row>
    <row r="2" spans="1:14" x14ac:dyDescent="0.3">
      <c r="A2" s="3" t="s">
        <v>47</v>
      </c>
      <c r="B2" s="2" t="s">
        <v>32</v>
      </c>
      <c r="C2" s="2" t="s">
        <v>83</v>
      </c>
      <c r="D2" s="11">
        <v>2000</v>
      </c>
      <c r="E2" s="11"/>
      <c r="F2" s="11">
        <f>SUMIF('代理商-产品进销存'!$B:$B,'ALL总表-各代理商总达成'!$C2,'代理商-产品进销存'!L:L)</f>
        <v>100</v>
      </c>
      <c r="G2" s="11">
        <f>SUMIF('代理商-产品进销存'!$B:$B,'ALL总表-各代理商总达成'!$C2,'代理商-产品进销存'!M:M)</f>
        <v>100</v>
      </c>
      <c r="H2" s="11">
        <f>SUMIF('代理商-产品进销存'!$B:$B,'ALL总表-各代理商总达成'!$C2,'代理商-产品进销存'!N:N)</f>
        <v>100</v>
      </c>
      <c r="I2" s="11">
        <f>SUMIF('代理商-产品进销存'!$B:$B,'ALL总表-各代理商总达成'!$C2,'代理商-产品进销存'!O:O)</f>
        <v>100</v>
      </c>
      <c r="J2" s="11">
        <f>SUM(F2:I2)</f>
        <v>400</v>
      </c>
      <c r="K2" s="32">
        <f>J2/D2</f>
        <v>0.2</v>
      </c>
    </row>
    <row r="3" spans="1:14" x14ac:dyDescent="0.3">
      <c r="A3" s="3" t="s">
        <v>47</v>
      </c>
      <c r="B3" s="2" t="s">
        <v>163</v>
      </c>
      <c r="C3" s="2" t="s">
        <v>84</v>
      </c>
      <c r="D3" s="11">
        <v>2000</v>
      </c>
      <c r="F3" s="11">
        <f>SUMIF('代理商-产品进销存'!$B:$B,'ALL总表-各代理商总达成'!$C3,'代理商-产品进销存'!L:L)</f>
        <v>100</v>
      </c>
      <c r="G3" s="11">
        <f>SUMIF('代理商-产品进销存'!$B:$B,'ALL总表-各代理商总达成'!$C3,'代理商-产品进销存'!M:M)</f>
        <v>100</v>
      </c>
      <c r="H3" s="11">
        <f>SUMIF('代理商-产品进销存'!$B:$B,'ALL总表-各代理商总达成'!$C3,'代理商-产品进销存'!N:N)</f>
        <v>100</v>
      </c>
      <c r="I3" s="11">
        <f>SUMIF('代理商-产品进销存'!$B:$B,'ALL总表-各代理商总达成'!$C3,'代理商-产品进销存'!O:O)</f>
        <v>100</v>
      </c>
      <c r="J3" s="11">
        <f t="shared" ref="J3:J40" si="0">SUM(F3:I3)</f>
        <v>400</v>
      </c>
      <c r="K3" s="32">
        <f t="shared" ref="K3:K40" si="1">J3/D3</f>
        <v>0.2</v>
      </c>
    </row>
    <row r="4" spans="1:14" x14ac:dyDescent="0.3">
      <c r="A4" s="3" t="s">
        <v>47</v>
      </c>
      <c r="B4" s="2" t="s">
        <v>33</v>
      </c>
      <c r="C4" s="2" t="s">
        <v>85</v>
      </c>
      <c r="D4" s="11">
        <v>2000</v>
      </c>
      <c r="F4" s="11">
        <f>SUMIF('代理商-产品进销存'!$B:$B,'ALL总表-各代理商总达成'!$C4,'代理商-产品进销存'!L:L)</f>
        <v>100</v>
      </c>
      <c r="G4" s="11">
        <f>SUMIF('代理商-产品进销存'!$B:$B,'ALL总表-各代理商总达成'!$C4,'代理商-产品进销存'!M:M)</f>
        <v>100</v>
      </c>
      <c r="H4" s="11">
        <f>SUMIF('代理商-产品进销存'!$B:$B,'ALL总表-各代理商总达成'!$C4,'代理商-产品进销存'!N:N)</f>
        <v>100</v>
      </c>
      <c r="I4" s="11">
        <f>SUMIF('代理商-产品进销存'!$B:$B,'ALL总表-各代理商总达成'!$C4,'代理商-产品进销存'!O:O)</f>
        <v>100</v>
      </c>
      <c r="J4" s="11">
        <f t="shared" si="0"/>
        <v>400</v>
      </c>
      <c r="K4" s="32">
        <f t="shared" si="1"/>
        <v>0.2</v>
      </c>
    </row>
    <row r="5" spans="1:14" x14ac:dyDescent="0.3">
      <c r="A5" s="3" t="s">
        <v>47</v>
      </c>
      <c r="B5" s="2" t="s">
        <v>164</v>
      </c>
      <c r="C5" s="2" t="s">
        <v>86</v>
      </c>
      <c r="D5" s="11">
        <v>2000</v>
      </c>
      <c r="F5" s="11">
        <f>SUMIF('代理商-产品进销存'!$B:$B,'ALL总表-各代理商总达成'!$C5,'代理商-产品进销存'!L:L)</f>
        <v>100</v>
      </c>
      <c r="G5" s="11">
        <f>SUMIF('代理商-产品进销存'!$B:$B,'ALL总表-各代理商总达成'!$C5,'代理商-产品进销存'!M:M)</f>
        <v>100</v>
      </c>
      <c r="H5" s="11">
        <f>SUMIF('代理商-产品进销存'!$B:$B,'ALL总表-各代理商总达成'!$C5,'代理商-产品进销存'!N:N)</f>
        <v>100</v>
      </c>
      <c r="I5" s="11">
        <f>SUMIF('代理商-产品进销存'!$B:$B,'ALL总表-各代理商总达成'!$C5,'代理商-产品进销存'!O:O)</f>
        <v>100</v>
      </c>
      <c r="J5" s="11">
        <f t="shared" si="0"/>
        <v>400</v>
      </c>
      <c r="K5" s="32">
        <f t="shared" si="1"/>
        <v>0.2</v>
      </c>
    </row>
    <row r="6" spans="1:14" x14ac:dyDescent="0.3">
      <c r="A6" s="3" t="s">
        <v>47</v>
      </c>
      <c r="B6" s="2" t="s">
        <v>165</v>
      </c>
      <c r="C6" s="2" t="s">
        <v>87</v>
      </c>
      <c r="D6" s="11">
        <v>2000</v>
      </c>
      <c r="F6" s="11">
        <f>SUMIF('代理商-产品进销存'!$B:$B,'ALL总表-各代理商总达成'!$C6,'代理商-产品进销存'!L:L)</f>
        <v>100</v>
      </c>
      <c r="G6" s="11">
        <f>SUMIF('代理商-产品进销存'!$B:$B,'ALL总表-各代理商总达成'!$C6,'代理商-产品进销存'!M:M)</f>
        <v>100</v>
      </c>
      <c r="H6" s="11">
        <f>SUMIF('代理商-产品进销存'!$B:$B,'ALL总表-各代理商总达成'!$C6,'代理商-产品进销存'!N:N)</f>
        <v>0</v>
      </c>
      <c r="I6" s="11">
        <f>SUMIF('代理商-产品进销存'!$B:$B,'ALL总表-各代理商总达成'!$C6,'代理商-产品进销存'!O:O)</f>
        <v>0</v>
      </c>
      <c r="J6" s="11">
        <f t="shared" si="0"/>
        <v>200</v>
      </c>
      <c r="K6" s="32">
        <f t="shared" si="1"/>
        <v>0.1</v>
      </c>
    </row>
    <row r="7" spans="1:14" x14ac:dyDescent="0.3">
      <c r="A7" s="3" t="s">
        <v>47</v>
      </c>
      <c r="B7" s="2" t="s">
        <v>166</v>
      </c>
      <c r="C7" s="2" t="s">
        <v>88</v>
      </c>
      <c r="D7" s="11">
        <v>2000</v>
      </c>
      <c r="F7" s="11">
        <f>SUMIF('代理商-产品进销存'!$B:$B,'ALL总表-各代理商总达成'!$C7,'代理商-产品进销存'!L:L)</f>
        <v>0</v>
      </c>
      <c r="G7" s="11">
        <f>SUMIF('代理商-产品进销存'!$B:$B,'ALL总表-各代理商总达成'!$C7,'代理商-产品进销存'!M:M)</f>
        <v>0</v>
      </c>
      <c r="H7" s="11">
        <f>SUMIF('代理商-产品进销存'!$B:$B,'ALL总表-各代理商总达成'!$C7,'代理商-产品进销存'!N:N)</f>
        <v>100</v>
      </c>
      <c r="I7" s="11">
        <f>SUMIF('代理商-产品进销存'!$B:$B,'ALL总表-各代理商总达成'!$C7,'代理商-产品进销存'!O:O)</f>
        <v>100</v>
      </c>
      <c r="J7" s="11">
        <f t="shared" si="0"/>
        <v>200</v>
      </c>
      <c r="K7" s="32">
        <f t="shared" si="1"/>
        <v>0.1</v>
      </c>
    </row>
    <row r="8" spans="1:14" x14ac:dyDescent="0.3">
      <c r="A8" s="3" t="s">
        <v>47</v>
      </c>
      <c r="B8" s="2" t="s">
        <v>167</v>
      </c>
      <c r="C8" s="2" t="s">
        <v>89</v>
      </c>
      <c r="D8" s="11">
        <v>2000</v>
      </c>
      <c r="F8" s="11">
        <f>SUMIF('代理商-产品进销存'!$B:$B,'ALL总表-各代理商总达成'!$C8,'代理商-产品进销存'!L:L)</f>
        <v>0</v>
      </c>
      <c r="G8" s="11">
        <f>SUMIF('代理商-产品进销存'!$B:$B,'ALL总表-各代理商总达成'!$C8,'代理商-产品进销存'!M:M)</f>
        <v>0</v>
      </c>
      <c r="H8" s="11">
        <f>SUMIF('代理商-产品进销存'!$B:$B,'ALL总表-各代理商总达成'!$C8,'代理商-产品进销存'!N:N)</f>
        <v>0</v>
      </c>
      <c r="I8" s="11">
        <f>SUMIF('代理商-产品进销存'!$B:$B,'ALL总表-各代理商总达成'!$C8,'代理商-产品进销存'!O:O)</f>
        <v>0</v>
      </c>
      <c r="J8" s="11">
        <f t="shared" si="0"/>
        <v>0</v>
      </c>
      <c r="K8" s="32">
        <f t="shared" si="1"/>
        <v>0</v>
      </c>
    </row>
    <row r="9" spans="1:14" x14ac:dyDescent="0.3">
      <c r="A9" s="3" t="s">
        <v>47</v>
      </c>
      <c r="B9" s="2" t="s">
        <v>168</v>
      </c>
      <c r="C9" s="2" t="s">
        <v>90</v>
      </c>
      <c r="D9" s="11">
        <v>2000</v>
      </c>
      <c r="F9" s="11">
        <f>SUMIF('代理商-产品进销存'!$B:$B,'ALL总表-各代理商总达成'!$C9,'代理商-产品进销存'!L:L)</f>
        <v>0</v>
      </c>
      <c r="G9" s="11">
        <f>SUMIF('代理商-产品进销存'!$B:$B,'ALL总表-各代理商总达成'!$C9,'代理商-产品进销存'!M:M)</f>
        <v>0</v>
      </c>
      <c r="H9" s="11">
        <f>SUMIF('代理商-产品进销存'!$B:$B,'ALL总表-各代理商总达成'!$C9,'代理商-产品进销存'!N:N)</f>
        <v>0</v>
      </c>
      <c r="I9" s="11">
        <f>SUMIF('代理商-产品进销存'!$B:$B,'ALL总表-各代理商总达成'!$C9,'代理商-产品进销存'!O:O)</f>
        <v>0</v>
      </c>
      <c r="J9" s="11">
        <f t="shared" si="0"/>
        <v>0</v>
      </c>
      <c r="K9" s="32">
        <f t="shared" si="1"/>
        <v>0</v>
      </c>
    </row>
    <row r="10" spans="1:14" x14ac:dyDescent="0.3">
      <c r="A10" s="3" t="s">
        <v>47</v>
      </c>
      <c r="B10" s="2" t="s">
        <v>169</v>
      </c>
      <c r="C10" s="2" t="s">
        <v>91</v>
      </c>
      <c r="D10" s="11">
        <v>2000</v>
      </c>
      <c r="F10" s="11">
        <f>SUMIF('代理商-产品进销存'!$B:$B,'ALL总表-各代理商总达成'!$C10,'代理商-产品进销存'!L:L)</f>
        <v>0</v>
      </c>
      <c r="G10" s="11">
        <f>SUMIF('代理商-产品进销存'!$B:$B,'ALL总表-各代理商总达成'!$C10,'代理商-产品进销存'!M:M)</f>
        <v>0</v>
      </c>
      <c r="H10" s="11">
        <f>SUMIF('代理商-产品进销存'!$B:$B,'ALL总表-各代理商总达成'!$C10,'代理商-产品进销存'!N:N)</f>
        <v>0</v>
      </c>
      <c r="I10" s="11">
        <f>SUMIF('代理商-产品进销存'!$B:$B,'ALL总表-各代理商总达成'!$C10,'代理商-产品进销存'!O:O)</f>
        <v>0</v>
      </c>
      <c r="J10" s="11">
        <f t="shared" si="0"/>
        <v>0</v>
      </c>
      <c r="K10" s="32">
        <f t="shared" si="1"/>
        <v>0</v>
      </c>
    </row>
    <row r="11" spans="1:14" x14ac:dyDescent="0.3">
      <c r="A11" s="3" t="s">
        <v>47</v>
      </c>
      <c r="B11" s="2" t="s">
        <v>170</v>
      </c>
      <c r="C11" s="2" t="s">
        <v>92</v>
      </c>
      <c r="D11" s="11">
        <v>2000</v>
      </c>
      <c r="F11" s="11">
        <f>SUMIF('代理商-产品进销存'!$B:$B,'ALL总表-各代理商总达成'!$C11,'代理商-产品进销存'!L:L)</f>
        <v>0</v>
      </c>
      <c r="G11" s="11">
        <f>SUMIF('代理商-产品进销存'!$B:$B,'ALL总表-各代理商总达成'!$C11,'代理商-产品进销存'!M:M)</f>
        <v>0</v>
      </c>
      <c r="H11" s="11">
        <f>SUMIF('代理商-产品进销存'!$B:$B,'ALL总表-各代理商总达成'!$C11,'代理商-产品进销存'!N:N)</f>
        <v>0</v>
      </c>
      <c r="I11" s="11">
        <f>SUMIF('代理商-产品进销存'!$B:$B,'ALL总表-各代理商总达成'!$C11,'代理商-产品进销存'!O:O)</f>
        <v>0</v>
      </c>
      <c r="J11" s="11">
        <f t="shared" si="0"/>
        <v>0</v>
      </c>
      <c r="K11" s="32">
        <f t="shared" si="1"/>
        <v>0</v>
      </c>
    </row>
    <row r="12" spans="1:14" x14ac:dyDescent="0.3">
      <c r="A12" s="3" t="s">
        <v>47</v>
      </c>
      <c r="B12" s="2" t="s">
        <v>171</v>
      </c>
      <c r="C12" s="2" t="s">
        <v>93</v>
      </c>
      <c r="D12" s="11">
        <v>2000</v>
      </c>
      <c r="F12" s="11">
        <f>SUMIF('代理商-产品进销存'!$B:$B,'ALL总表-各代理商总达成'!$C12,'代理商-产品进销存'!L:L)</f>
        <v>0</v>
      </c>
      <c r="G12" s="11">
        <f>SUMIF('代理商-产品进销存'!$B:$B,'ALL总表-各代理商总达成'!$C12,'代理商-产品进销存'!M:M)</f>
        <v>0</v>
      </c>
      <c r="H12" s="11">
        <f>SUMIF('代理商-产品进销存'!$B:$B,'ALL总表-各代理商总达成'!$C12,'代理商-产品进销存'!N:N)</f>
        <v>0</v>
      </c>
      <c r="I12" s="11">
        <f>SUMIF('代理商-产品进销存'!$B:$B,'ALL总表-各代理商总达成'!$C12,'代理商-产品进销存'!O:O)</f>
        <v>0</v>
      </c>
      <c r="J12" s="11">
        <f t="shared" si="0"/>
        <v>0</v>
      </c>
      <c r="K12" s="32">
        <f t="shared" si="1"/>
        <v>0</v>
      </c>
    </row>
    <row r="13" spans="1:14" x14ac:dyDescent="0.3">
      <c r="A13" s="3" t="s">
        <v>47</v>
      </c>
      <c r="B13" s="2" t="s">
        <v>172</v>
      </c>
      <c r="C13" s="2" t="s">
        <v>94</v>
      </c>
      <c r="D13" s="11">
        <v>2000</v>
      </c>
      <c r="F13" s="11">
        <f>SUMIF('代理商-产品进销存'!$B:$B,'ALL总表-各代理商总达成'!$C13,'代理商-产品进销存'!L:L)</f>
        <v>0</v>
      </c>
      <c r="G13" s="11">
        <f>SUMIF('代理商-产品进销存'!$B:$B,'ALL总表-各代理商总达成'!$C13,'代理商-产品进销存'!M:M)</f>
        <v>0</v>
      </c>
      <c r="H13" s="11">
        <f>SUMIF('代理商-产品进销存'!$B:$B,'ALL总表-各代理商总达成'!$C13,'代理商-产品进销存'!N:N)</f>
        <v>0</v>
      </c>
      <c r="I13" s="11">
        <f>SUMIF('代理商-产品进销存'!$B:$B,'ALL总表-各代理商总达成'!$C13,'代理商-产品进销存'!O:O)</f>
        <v>0</v>
      </c>
      <c r="J13" s="11">
        <f t="shared" si="0"/>
        <v>0</v>
      </c>
      <c r="K13" s="32">
        <f t="shared" si="1"/>
        <v>0</v>
      </c>
    </row>
    <row r="14" spans="1:14" x14ac:dyDescent="0.3">
      <c r="A14" s="3" t="s">
        <v>47</v>
      </c>
      <c r="B14" s="2" t="s">
        <v>173</v>
      </c>
      <c r="C14" s="2" t="s">
        <v>95</v>
      </c>
      <c r="D14" s="11">
        <v>2000</v>
      </c>
      <c r="F14" s="11">
        <f>SUMIF('代理商-产品进销存'!$B:$B,'ALL总表-各代理商总达成'!$C14,'代理商-产品进销存'!L:L)</f>
        <v>0</v>
      </c>
      <c r="G14" s="11">
        <f>SUMIF('代理商-产品进销存'!$B:$B,'ALL总表-各代理商总达成'!$C14,'代理商-产品进销存'!M:M)</f>
        <v>0</v>
      </c>
      <c r="H14" s="11">
        <f>SUMIF('代理商-产品进销存'!$B:$B,'ALL总表-各代理商总达成'!$C14,'代理商-产品进销存'!N:N)</f>
        <v>0</v>
      </c>
      <c r="I14" s="11">
        <f>SUMIF('代理商-产品进销存'!$B:$B,'ALL总表-各代理商总达成'!$C14,'代理商-产品进销存'!O:O)</f>
        <v>0</v>
      </c>
      <c r="J14" s="11">
        <f t="shared" si="0"/>
        <v>0</v>
      </c>
      <c r="K14" s="32">
        <f t="shared" si="1"/>
        <v>0</v>
      </c>
    </row>
    <row r="15" spans="1:14" x14ac:dyDescent="0.3">
      <c r="A15" s="3" t="s">
        <v>47</v>
      </c>
      <c r="B15" s="2" t="s">
        <v>174</v>
      </c>
      <c r="C15" s="2" t="s">
        <v>96</v>
      </c>
      <c r="D15" s="11">
        <v>2000</v>
      </c>
      <c r="F15" s="11">
        <f>SUMIF('代理商-产品进销存'!$B:$B,'ALL总表-各代理商总达成'!$C15,'代理商-产品进销存'!L:L)</f>
        <v>0</v>
      </c>
      <c r="G15" s="11">
        <f>SUMIF('代理商-产品进销存'!$B:$B,'ALL总表-各代理商总达成'!$C15,'代理商-产品进销存'!M:M)</f>
        <v>0</v>
      </c>
      <c r="H15" s="11">
        <f>SUMIF('代理商-产品进销存'!$B:$B,'ALL总表-各代理商总达成'!$C15,'代理商-产品进销存'!N:N)</f>
        <v>0</v>
      </c>
      <c r="I15" s="11">
        <f>SUMIF('代理商-产品进销存'!$B:$B,'ALL总表-各代理商总达成'!$C15,'代理商-产品进销存'!O:O)</f>
        <v>0</v>
      </c>
      <c r="J15" s="11">
        <f t="shared" si="0"/>
        <v>0</v>
      </c>
      <c r="K15" s="32">
        <f t="shared" si="1"/>
        <v>0</v>
      </c>
    </row>
    <row r="16" spans="1:14" x14ac:dyDescent="0.3">
      <c r="A16" s="3" t="s">
        <v>47</v>
      </c>
      <c r="B16" s="2" t="s">
        <v>175</v>
      </c>
      <c r="C16" s="2" t="s">
        <v>97</v>
      </c>
      <c r="D16" s="11">
        <v>2000</v>
      </c>
      <c r="F16" s="11">
        <f>SUMIF('代理商-产品进销存'!$B:$B,'ALL总表-各代理商总达成'!$C16,'代理商-产品进销存'!L:L)</f>
        <v>0</v>
      </c>
      <c r="G16" s="11">
        <f>SUMIF('代理商-产品进销存'!$B:$B,'ALL总表-各代理商总达成'!$C16,'代理商-产品进销存'!M:M)</f>
        <v>0</v>
      </c>
      <c r="H16" s="11">
        <f>SUMIF('代理商-产品进销存'!$B:$B,'ALL总表-各代理商总达成'!$C16,'代理商-产品进销存'!N:N)</f>
        <v>0</v>
      </c>
      <c r="I16" s="11">
        <f>SUMIF('代理商-产品进销存'!$B:$B,'ALL总表-各代理商总达成'!$C16,'代理商-产品进销存'!O:O)</f>
        <v>0</v>
      </c>
      <c r="J16" s="11">
        <f t="shared" si="0"/>
        <v>0</v>
      </c>
      <c r="K16" s="32">
        <f t="shared" si="1"/>
        <v>0</v>
      </c>
    </row>
    <row r="17" spans="1:11" x14ac:dyDescent="0.3">
      <c r="A17" s="3" t="s">
        <v>47</v>
      </c>
      <c r="B17" s="2" t="s">
        <v>176</v>
      </c>
      <c r="C17" s="2" t="s">
        <v>98</v>
      </c>
      <c r="D17" s="11">
        <v>2000</v>
      </c>
      <c r="F17" s="11">
        <f>SUMIF('代理商-产品进销存'!$B:$B,'ALL总表-各代理商总达成'!$C17,'代理商-产品进销存'!L:L)</f>
        <v>0</v>
      </c>
      <c r="G17" s="11">
        <f>SUMIF('代理商-产品进销存'!$B:$B,'ALL总表-各代理商总达成'!$C17,'代理商-产品进销存'!M:M)</f>
        <v>0</v>
      </c>
      <c r="H17" s="11">
        <f>SUMIF('代理商-产品进销存'!$B:$B,'ALL总表-各代理商总达成'!$C17,'代理商-产品进销存'!N:N)</f>
        <v>0</v>
      </c>
      <c r="I17" s="11">
        <f>SUMIF('代理商-产品进销存'!$B:$B,'ALL总表-各代理商总达成'!$C17,'代理商-产品进销存'!O:O)</f>
        <v>0</v>
      </c>
      <c r="J17" s="11">
        <f t="shared" si="0"/>
        <v>0</v>
      </c>
      <c r="K17" s="32">
        <f t="shared" si="1"/>
        <v>0</v>
      </c>
    </row>
    <row r="18" spans="1:11" x14ac:dyDescent="0.3">
      <c r="A18" s="3" t="s">
        <v>47</v>
      </c>
      <c r="B18" s="2" t="s">
        <v>177</v>
      </c>
      <c r="C18" s="2" t="s">
        <v>99</v>
      </c>
      <c r="D18" s="11">
        <v>2000</v>
      </c>
      <c r="F18" s="11">
        <f>SUMIF('代理商-产品进销存'!$B:$B,'ALL总表-各代理商总达成'!$C18,'代理商-产品进销存'!L:L)</f>
        <v>0</v>
      </c>
      <c r="G18" s="11">
        <f>SUMIF('代理商-产品进销存'!$B:$B,'ALL总表-各代理商总达成'!$C18,'代理商-产品进销存'!M:M)</f>
        <v>0</v>
      </c>
      <c r="H18" s="11">
        <f>SUMIF('代理商-产品进销存'!$B:$B,'ALL总表-各代理商总达成'!$C18,'代理商-产品进销存'!N:N)</f>
        <v>0</v>
      </c>
      <c r="I18" s="11">
        <f>SUMIF('代理商-产品进销存'!$B:$B,'ALL总表-各代理商总达成'!$C18,'代理商-产品进销存'!O:O)</f>
        <v>0</v>
      </c>
      <c r="J18" s="11">
        <f t="shared" si="0"/>
        <v>0</v>
      </c>
      <c r="K18" s="32">
        <f t="shared" si="1"/>
        <v>0</v>
      </c>
    </row>
    <row r="19" spans="1:11" x14ac:dyDescent="0.3">
      <c r="A19" s="3" t="s">
        <v>47</v>
      </c>
      <c r="B19" s="2" t="s">
        <v>178</v>
      </c>
      <c r="C19" s="2" t="s">
        <v>100</v>
      </c>
      <c r="D19" s="11">
        <v>2000</v>
      </c>
      <c r="F19" s="11">
        <f>SUMIF('代理商-产品进销存'!$B:$B,'ALL总表-各代理商总达成'!$C19,'代理商-产品进销存'!L:L)</f>
        <v>0</v>
      </c>
      <c r="G19" s="11">
        <f>SUMIF('代理商-产品进销存'!$B:$B,'ALL总表-各代理商总达成'!$C19,'代理商-产品进销存'!M:M)</f>
        <v>0</v>
      </c>
      <c r="H19" s="11">
        <f>SUMIF('代理商-产品进销存'!$B:$B,'ALL总表-各代理商总达成'!$C19,'代理商-产品进销存'!N:N)</f>
        <v>0</v>
      </c>
      <c r="I19" s="11">
        <f>SUMIF('代理商-产品进销存'!$B:$B,'ALL总表-各代理商总达成'!$C19,'代理商-产品进销存'!O:O)</f>
        <v>0</v>
      </c>
      <c r="J19" s="11">
        <f t="shared" si="0"/>
        <v>0</v>
      </c>
      <c r="K19" s="32">
        <f t="shared" si="1"/>
        <v>0</v>
      </c>
    </row>
    <row r="20" spans="1:11" x14ac:dyDescent="0.3">
      <c r="A20" s="3" t="s">
        <v>47</v>
      </c>
      <c r="B20" s="2" t="s">
        <v>179</v>
      </c>
      <c r="C20" s="2" t="s">
        <v>101</v>
      </c>
      <c r="D20" s="11">
        <v>2000</v>
      </c>
      <c r="F20" s="11">
        <f>SUMIF('代理商-产品进销存'!$B:$B,'ALL总表-各代理商总达成'!$C20,'代理商-产品进销存'!L:L)</f>
        <v>0</v>
      </c>
      <c r="G20" s="11">
        <f>SUMIF('代理商-产品进销存'!$B:$B,'ALL总表-各代理商总达成'!$C20,'代理商-产品进销存'!M:M)</f>
        <v>0</v>
      </c>
      <c r="H20" s="11">
        <f>SUMIF('代理商-产品进销存'!$B:$B,'ALL总表-各代理商总达成'!$C20,'代理商-产品进销存'!N:N)</f>
        <v>0</v>
      </c>
      <c r="I20" s="11">
        <f>SUMIF('代理商-产品进销存'!$B:$B,'ALL总表-各代理商总达成'!$C20,'代理商-产品进销存'!O:O)</f>
        <v>0</v>
      </c>
      <c r="J20" s="11">
        <f t="shared" si="0"/>
        <v>0</v>
      </c>
      <c r="K20" s="32">
        <f t="shared" si="1"/>
        <v>0</v>
      </c>
    </row>
    <row r="21" spans="1:11" x14ac:dyDescent="0.3">
      <c r="A21" s="3" t="s">
        <v>47</v>
      </c>
      <c r="B21" s="2" t="s">
        <v>180</v>
      </c>
      <c r="C21" s="2" t="s">
        <v>102</v>
      </c>
      <c r="D21" s="11">
        <v>2000</v>
      </c>
      <c r="F21" s="11">
        <f>SUMIF('代理商-产品进销存'!$B:$B,'ALL总表-各代理商总达成'!$C21,'代理商-产品进销存'!L:L)</f>
        <v>0</v>
      </c>
      <c r="G21" s="11">
        <f>SUMIF('代理商-产品进销存'!$B:$B,'ALL总表-各代理商总达成'!$C21,'代理商-产品进销存'!M:M)</f>
        <v>0</v>
      </c>
      <c r="H21" s="11">
        <f>SUMIF('代理商-产品进销存'!$B:$B,'ALL总表-各代理商总达成'!$C21,'代理商-产品进销存'!N:N)</f>
        <v>0</v>
      </c>
      <c r="I21" s="11">
        <f>SUMIF('代理商-产品进销存'!$B:$B,'ALL总表-各代理商总达成'!$C21,'代理商-产品进销存'!O:O)</f>
        <v>0</v>
      </c>
      <c r="J21" s="11">
        <f t="shared" si="0"/>
        <v>0</v>
      </c>
      <c r="K21" s="32">
        <f t="shared" si="1"/>
        <v>0</v>
      </c>
    </row>
    <row r="22" spans="1:11" x14ac:dyDescent="0.3">
      <c r="A22" s="3" t="s">
        <v>47</v>
      </c>
      <c r="B22" s="2" t="s">
        <v>181</v>
      </c>
      <c r="C22" s="2" t="s">
        <v>103</v>
      </c>
      <c r="D22" s="11">
        <v>2000</v>
      </c>
      <c r="F22" s="11">
        <f>SUMIF('代理商-产品进销存'!$B:$B,'ALL总表-各代理商总达成'!$C22,'代理商-产品进销存'!L:L)</f>
        <v>0</v>
      </c>
      <c r="G22" s="11">
        <f>SUMIF('代理商-产品进销存'!$B:$B,'ALL总表-各代理商总达成'!$C22,'代理商-产品进销存'!M:M)</f>
        <v>0</v>
      </c>
      <c r="H22" s="11">
        <f>SUMIF('代理商-产品进销存'!$B:$B,'ALL总表-各代理商总达成'!$C22,'代理商-产品进销存'!N:N)</f>
        <v>0</v>
      </c>
      <c r="I22" s="11">
        <f>SUMIF('代理商-产品进销存'!$B:$B,'ALL总表-各代理商总达成'!$C22,'代理商-产品进销存'!O:O)</f>
        <v>0</v>
      </c>
      <c r="J22" s="11">
        <f t="shared" si="0"/>
        <v>0</v>
      </c>
      <c r="K22" s="32">
        <f t="shared" si="1"/>
        <v>0</v>
      </c>
    </row>
    <row r="23" spans="1:11" x14ac:dyDescent="0.3">
      <c r="A23" s="3" t="s">
        <v>47</v>
      </c>
      <c r="B23" s="2" t="s">
        <v>182</v>
      </c>
      <c r="C23" s="2" t="s">
        <v>104</v>
      </c>
      <c r="D23" s="11">
        <v>2000</v>
      </c>
      <c r="F23" s="11">
        <f>SUMIF('代理商-产品进销存'!$B:$B,'ALL总表-各代理商总达成'!$C23,'代理商-产品进销存'!L:L)</f>
        <v>0</v>
      </c>
      <c r="G23" s="11">
        <f>SUMIF('代理商-产品进销存'!$B:$B,'ALL总表-各代理商总达成'!$C23,'代理商-产品进销存'!M:M)</f>
        <v>0</v>
      </c>
      <c r="H23" s="11">
        <f>SUMIF('代理商-产品进销存'!$B:$B,'ALL总表-各代理商总达成'!$C23,'代理商-产品进销存'!N:N)</f>
        <v>0</v>
      </c>
      <c r="I23" s="11">
        <f>SUMIF('代理商-产品进销存'!$B:$B,'ALL总表-各代理商总达成'!$C23,'代理商-产品进销存'!O:O)</f>
        <v>0</v>
      </c>
      <c r="J23" s="11">
        <f t="shared" si="0"/>
        <v>0</v>
      </c>
      <c r="K23" s="32">
        <f t="shared" si="1"/>
        <v>0</v>
      </c>
    </row>
    <row r="24" spans="1:11" x14ac:dyDescent="0.3">
      <c r="A24" s="3" t="s">
        <v>47</v>
      </c>
      <c r="B24" s="2" t="s">
        <v>183</v>
      </c>
      <c r="C24" s="2" t="s">
        <v>105</v>
      </c>
      <c r="D24" s="11">
        <v>2000</v>
      </c>
      <c r="F24" s="11">
        <f>SUMIF('代理商-产品进销存'!$B:$B,'ALL总表-各代理商总达成'!$C24,'代理商-产品进销存'!L:L)</f>
        <v>0</v>
      </c>
      <c r="G24" s="11">
        <f>SUMIF('代理商-产品进销存'!$B:$B,'ALL总表-各代理商总达成'!$C24,'代理商-产品进销存'!M:M)</f>
        <v>0</v>
      </c>
      <c r="H24" s="11">
        <f>SUMIF('代理商-产品进销存'!$B:$B,'ALL总表-各代理商总达成'!$C24,'代理商-产品进销存'!N:N)</f>
        <v>0</v>
      </c>
      <c r="I24" s="11">
        <f>SUMIF('代理商-产品进销存'!$B:$B,'ALL总表-各代理商总达成'!$C24,'代理商-产品进销存'!O:O)</f>
        <v>0</v>
      </c>
      <c r="J24" s="11">
        <f t="shared" si="0"/>
        <v>0</v>
      </c>
      <c r="K24" s="32">
        <f t="shared" si="1"/>
        <v>0</v>
      </c>
    </row>
    <row r="25" spans="1:11" x14ac:dyDescent="0.3">
      <c r="A25" s="3" t="s">
        <v>47</v>
      </c>
      <c r="B25" s="2" t="s">
        <v>184</v>
      </c>
      <c r="C25" s="2" t="s">
        <v>106</v>
      </c>
      <c r="D25" s="11">
        <v>2000</v>
      </c>
      <c r="F25" s="11">
        <f>SUMIF('代理商-产品进销存'!$B:$B,'ALL总表-各代理商总达成'!$C25,'代理商-产品进销存'!L:L)</f>
        <v>0</v>
      </c>
      <c r="G25" s="11">
        <f>SUMIF('代理商-产品进销存'!$B:$B,'ALL总表-各代理商总达成'!$C25,'代理商-产品进销存'!M:M)</f>
        <v>0</v>
      </c>
      <c r="H25" s="11">
        <f>SUMIF('代理商-产品进销存'!$B:$B,'ALL总表-各代理商总达成'!$C25,'代理商-产品进销存'!N:N)</f>
        <v>0</v>
      </c>
      <c r="I25" s="11">
        <f>SUMIF('代理商-产品进销存'!$B:$B,'ALL总表-各代理商总达成'!$C25,'代理商-产品进销存'!O:O)</f>
        <v>0</v>
      </c>
      <c r="J25" s="11">
        <f t="shared" si="0"/>
        <v>0</v>
      </c>
      <c r="K25" s="32">
        <f t="shared" si="1"/>
        <v>0</v>
      </c>
    </row>
    <row r="26" spans="1:11" x14ac:dyDescent="0.3">
      <c r="A26" s="3" t="s">
        <v>47</v>
      </c>
      <c r="B26" s="2" t="s">
        <v>185</v>
      </c>
      <c r="C26" s="2" t="s">
        <v>107</v>
      </c>
      <c r="D26" s="11">
        <v>2000</v>
      </c>
      <c r="F26" s="11">
        <f>SUMIF('代理商-产品进销存'!$B:$B,'ALL总表-各代理商总达成'!$C26,'代理商-产品进销存'!L:L)</f>
        <v>0</v>
      </c>
      <c r="G26" s="11">
        <f>SUMIF('代理商-产品进销存'!$B:$B,'ALL总表-各代理商总达成'!$C26,'代理商-产品进销存'!M:M)</f>
        <v>0</v>
      </c>
      <c r="H26" s="11">
        <f>SUMIF('代理商-产品进销存'!$B:$B,'ALL总表-各代理商总达成'!$C26,'代理商-产品进销存'!N:N)</f>
        <v>0</v>
      </c>
      <c r="I26" s="11">
        <f>SUMIF('代理商-产品进销存'!$B:$B,'ALL总表-各代理商总达成'!$C26,'代理商-产品进销存'!O:O)</f>
        <v>0</v>
      </c>
      <c r="J26" s="11">
        <f t="shared" si="0"/>
        <v>0</v>
      </c>
      <c r="K26" s="32">
        <f t="shared" si="1"/>
        <v>0</v>
      </c>
    </row>
    <row r="27" spans="1:11" x14ac:dyDescent="0.3">
      <c r="A27" s="3" t="s">
        <v>47</v>
      </c>
      <c r="B27" s="2" t="s">
        <v>186</v>
      </c>
      <c r="C27" s="2" t="s">
        <v>108</v>
      </c>
      <c r="D27" s="11">
        <v>2000</v>
      </c>
      <c r="F27" s="11">
        <f>SUMIF('代理商-产品进销存'!$B:$B,'ALL总表-各代理商总达成'!$C27,'代理商-产品进销存'!L:L)</f>
        <v>0</v>
      </c>
      <c r="G27" s="11">
        <f>SUMIF('代理商-产品进销存'!$B:$B,'ALL总表-各代理商总达成'!$C27,'代理商-产品进销存'!M:M)</f>
        <v>0</v>
      </c>
      <c r="H27" s="11">
        <f>SUMIF('代理商-产品进销存'!$B:$B,'ALL总表-各代理商总达成'!$C27,'代理商-产品进销存'!N:N)</f>
        <v>0</v>
      </c>
      <c r="I27" s="11">
        <f>SUMIF('代理商-产品进销存'!$B:$B,'ALL总表-各代理商总达成'!$C27,'代理商-产品进销存'!O:O)</f>
        <v>0</v>
      </c>
      <c r="J27" s="11">
        <f t="shared" si="0"/>
        <v>0</v>
      </c>
      <c r="K27" s="32">
        <f t="shared" si="1"/>
        <v>0</v>
      </c>
    </row>
    <row r="28" spans="1:11" x14ac:dyDescent="0.3">
      <c r="A28" s="3" t="s">
        <v>47</v>
      </c>
      <c r="B28" s="2" t="s">
        <v>187</v>
      </c>
      <c r="C28" s="2" t="s">
        <v>109</v>
      </c>
      <c r="D28" s="11">
        <v>2000</v>
      </c>
      <c r="F28" s="11">
        <f>SUMIF('代理商-产品进销存'!$B:$B,'ALL总表-各代理商总达成'!$C28,'代理商-产品进销存'!L:L)</f>
        <v>0</v>
      </c>
      <c r="G28" s="11">
        <f>SUMIF('代理商-产品进销存'!$B:$B,'ALL总表-各代理商总达成'!$C28,'代理商-产品进销存'!M:M)</f>
        <v>0</v>
      </c>
      <c r="H28" s="11">
        <f>SUMIF('代理商-产品进销存'!$B:$B,'ALL总表-各代理商总达成'!$C28,'代理商-产品进销存'!N:N)</f>
        <v>0</v>
      </c>
      <c r="I28" s="11">
        <f>SUMIF('代理商-产品进销存'!$B:$B,'ALL总表-各代理商总达成'!$C28,'代理商-产品进销存'!O:O)</f>
        <v>0</v>
      </c>
      <c r="J28" s="11">
        <f t="shared" si="0"/>
        <v>0</v>
      </c>
      <c r="K28" s="32">
        <f t="shared" si="1"/>
        <v>0</v>
      </c>
    </row>
    <row r="29" spans="1:11" x14ac:dyDescent="0.3">
      <c r="A29" s="3" t="s">
        <v>47</v>
      </c>
      <c r="B29" s="2" t="s">
        <v>188</v>
      </c>
      <c r="C29" s="2" t="s">
        <v>110</v>
      </c>
      <c r="D29" s="11">
        <v>2000</v>
      </c>
      <c r="F29" s="11">
        <f>SUMIF('代理商-产品进销存'!$B:$B,'ALL总表-各代理商总达成'!$C29,'代理商-产品进销存'!L:L)</f>
        <v>0</v>
      </c>
      <c r="G29" s="11">
        <f>SUMIF('代理商-产品进销存'!$B:$B,'ALL总表-各代理商总达成'!$C29,'代理商-产品进销存'!M:M)</f>
        <v>0</v>
      </c>
      <c r="H29" s="11">
        <f>SUMIF('代理商-产品进销存'!$B:$B,'ALL总表-各代理商总达成'!$C29,'代理商-产品进销存'!N:N)</f>
        <v>0</v>
      </c>
      <c r="I29" s="11">
        <f>SUMIF('代理商-产品进销存'!$B:$B,'ALL总表-各代理商总达成'!$C29,'代理商-产品进销存'!O:O)</f>
        <v>0</v>
      </c>
      <c r="J29" s="11">
        <f t="shared" si="0"/>
        <v>0</v>
      </c>
      <c r="K29" s="32">
        <f t="shared" si="1"/>
        <v>0</v>
      </c>
    </row>
    <row r="30" spans="1:11" x14ac:dyDescent="0.3">
      <c r="A30" s="3" t="s">
        <v>47</v>
      </c>
      <c r="B30" s="2" t="s">
        <v>189</v>
      </c>
      <c r="C30" s="2" t="s">
        <v>111</v>
      </c>
      <c r="D30" s="11">
        <v>2000</v>
      </c>
      <c r="F30" s="11">
        <f>SUMIF('代理商-产品进销存'!$B:$B,'ALL总表-各代理商总达成'!$C30,'代理商-产品进销存'!L:L)</f>
        <v>0</v>
      </c>
      <c r="G30" s="11">
        <f>SUMIF('代理商-产品进销存'!$B:$B,'ALL总表-各代理商总达成'!$C30,'代理商-产品进销存'!M:M)</f>
        <v>0</v>
      </c>
      <c r="H30" s="11">
        <f>SUMIF('代理商-产品进销存'!$B:$B,'ALL总表-各代理商总达成'!$C30,'代理商-产品进销存'!N:N)</f>
        <v>0</v>
      </c>
      <c r="I30" s="11">
        <f>SUMIF('代理商-产品进销存'!$B:$B,'ALL总表-各代理商总达成'!$C30,'代理商-产品进销存'!O:O)</f>
        <v>0</v>
      </c>
      <c r="J30" s="11">
        <f t="shared" si="0"/>
        <v>0</v>
      </c>
      <c r="K30" s="32">
        <f t="shared" si="1"/>
        <v>0</v>
      </c>
    </row>
    <row r="31" spans="1:11" x14ac:dyDescent="0.3">
      <c r="A31" s="3" t="s">
        <v>47</v>
      </c>
      <c r="B31" s="2" t="s">
        <v>190</v>
      </c>
      <c r="C31" s="2" t="s">
        <v>112</v>
      </c>
      <c r="D31" s="11">
        <v>2000</v>
      </c>
      <c r="F31" s="11">
        <f>SUMIF('代理商-产品进销存'!$B:$B,'ALL总表-各代理商总达成'!$C31,'代理商-产品进销存'!L:L)</f>
        <v>0</v>
      </c>
      <c r="G31" s="11">
        <f>SUMIF('代理商-产品进销存'!$B:$B,'ALL总表-各代理商总达成'!$C31,'代理商-产品进销存'!M:M)</f>
        <v>0</v>
      </c>
      <c r="H31" s="11">
        <f>SUMIF('代理商-产品进销存'!$B:$B,'ALL总表-各代理商总达成'!$C31,'代理商-产品进销存'!N:N)</f>
        <v>0</v>
      </c>
      <c r="I31" s="11">
        <f>SUMIF('代理商-产品进销存'!$B:$B,'ALL总表-各代理商总达成'!$C31,'代理商-产品进销存'!O:O)</f>
        <v>0</v>
      </c>
      <c r="J31" s="11">
        <f t="shared" si="0"/>
        <v>0</v>
      </c>
      <c r="K31" s="32">
        <f t="shared" si="1"/>
        <v>0</v>
      </c>
    </row>
    <row r="32" spans="1:11" x14ac:dyDescent="0.3">
      <c r="A32" s="3" t="s">
        <v>47</v>
      </c>
      <c r="B32" s="2" t="s">
        <v>191</v>
      </c>
      <c r="C32" s="2" t="s">
        <v>113</v>
      </c>
      <c r="D32" s="11">
        <v>2000</v>
      </c>
      <c r="F32" s="11">
        <f>SUMIF('代理商-产品进销存'!$B:$B,'ALL总表-各代理商总达成'!$C32,'代理商-产品进销存'!L:L)</f>
        <v>0</v>
      </c>
      <c r="G32" s="11">
        <f>SUMIF('代理商-产品进销存'!$B:$B,'ALL总表-各代理商总达成'!$C32,'代理商-产品进销存'!M:M)</f>
        <v>0</v>
      </c>
      <c r="H32" s="11">
        <f>SUMIF('代理商-产品进销存'!$B:$B,'ALL总表-各代理商总达成'!$C32,'代理商-产品进销存'!N:N)</f>
        <v>0</v>
      </c>
      <c r="I32" s="11">
        <f>SUMIF('代理商-产品进销存'!$B:$B,'ALL总表-各代理商总达成'!$C32,'代理商-产品进销存'!O:O)</f>
        <v>0</v>
      </c>
      <c r="J32" s="11">
        <f t="shared" si="0"/>
        <v>0</v>
      </c>
      <c r="K32" s="32">
        <f t="shared" si="1"/>
        <v>0</v>
      </c>
    </row>
    <row r="33" spans="1:11" x14ac:dyDescent="0.3">
      <c r="A33" s="3" t="s">
        <v>47</v>
      </c>
      <c r="B33" s="2" t="s">
        <v>192</v>
      </c>
      <c r="C33" s="2" t="s">
        <v>114</v>
      </c>
      <c r="D33" s="11">
        <v>2000</v>
      </c>
      <c r="F33" s="11">
        <f>SUMIF('代理商-产品进销存'!$B:$B,'ALL总表-各代理商总达成'!$C33,'代理商-产品进销存'!L:L)</f>
        <v>0</v>
      </c>
      <c r="G33" s="11">
        <f>SUMIF('代理商-产品进销存'!$B:$B,'ALL总表-各代理商总达成'!$C33,'代理商-产品进销存'!M:M)</f>
        <v>0</v>
      </c>
      <c r="H33" s="11">
        <f>SUMIF('代理商-产品进销存'!$B:$B,'ALL总表-各代理商总达成'!$C33,'代理商-产品进销存'!N:N)</f>
        <v>0</v>
      </c>
      <c r="I33" s="11">
        <f>SUMIF('代理商-产品进销存'!$B:$B,'ALL总表-各代理商总达成'!$C33,'代理商-产品进销存'!O:O)</f>
        <v>0</v>
      </c>
      <c r="J33" s="11">
        <f t="shared" si="0"/>
        <v>0</v>
      </c>
      <c r="K33" s="32">
        <f t="shared" si="1"/>
        <v>0</v>
      </c>
    </row>
    <row r="34" spans="1:11" x14ac:dyDescent="0.3">
      <c r="A34" s="3" t="s">
        <v>47</v>
      </c>
      <c r="B34" s="2" t="s">
        <v>193</v>
      </c>
      <c r="C34" s="2" t="s">
        <v>115</v>
      </c>
      <c r="D34" s="11">
        <v>2000</v>
      </c>
      <c r="F34" s="11">
        <f>SUMIF('代理商-产品进销存'!$B:$B,'ALL总表-各代理商总达成'!$C34,'代理商-产品进销存'!L:L)</f>
        <v>0</v>
      </c>
      <c r="G34" s="11">
        <f>SUMIF('代理商-产品进销存'!$B:$B,'ALL总表-各代理商总达成'!$C34,'代理商-产品进销存'!M:M)</f>
        <v>0</v>
      </c>
      <c r="H34" s="11">
        <f>SUMIF('代理商-产品进销存'!$B:$B,'ALL总表-各代理商总达成'!$C34,'代理商-产品进销存'!N:N)</f>
        <v>0</v>
      </c>
      <c r="I34" s="11">
        <f>SUMIF('代理商-产品进销存'!$B:$B,'ALL总表-各代理商总达成'!$C34,'代理商-产品进销存'!O:O)</f>
        <v>0</v>
      </c>
      <c r="J34" s="11">
        <f t="shared" si="0"/>
        <v>0</v>
      </c>
      <c r="K34" s="32">
        <f t="shared" si="1"/>
        <v>0</v>
      </c>
    </row>
    <row r="35" spans="1:11" x14ac:dyDescent="0.3">
      <c r="A35" s="3" t="s">
        <v>47</v>
      </c>
      <c r="B35" s="2" t="s">
        <v>194</v>
      </c>
      <c r="C35" s="2" t="s">
        <v>116</v>
      </c>
      <c r="D35" s="11">
        <v>2000</v>
      </c>
      <c r="F35" s="11">
        <f>SUMIF('代理商-产品进销存'!$B:$B,'ALL总表-各代理商总达成'!$C35,'代理商-产品进销存'!L:L)</f>
        <v>0</v>
      </c>
      <c r="G35" s="11">
        <f>SUMIF('代理商-产品进销存'!$B:$B,'ALL总表-各代理商总达成'!$C35,'代理商-产品进销存'!M:M)</f>
        <v>0</v>
      </c>
      <c r="H35" s="11">
        <f>SUMIF('代理商-产品进销存'!$B:$B,'ALL总表-各代理商总达成'!$C35,'代理商-产品进销存'!N:N)</f>
        <v>0</v>
      </c>
      <c r="I35" s="11">
        <f>SUMIF('代理商-产品进销存'!$B:$B,'ALL总表-各代理商总达成'!$C35,'代理商-产品进销存'!O:O)</f>
        <v>0</v>
      </c>
      <c r="J35" s="11">
        <f t="shared" si="0"/>
        <v>0</v>
      </c>
      <c r="K35" s="32">
        <f t="shared" si="1"/>
        <v>0</v>
      </c>
    </row>
    <row r="36" spans="1:11" x14ac:dyDescent="0.3">
      <c r="A36" s="3" t="s">
        <v>47</v>
      </c>
      <c r="B36" s="2" t="s">
        <v>195</v>
      </c>
      <c r="C36" s="2" t="s">
        <v>117</v>
      </c>
      <c r="D36" s="11">
        <v>2000</v>
      </c>
      <c r="F36" s="11">
        <f>SUMIF('代理商-产品进销存'!$B:$B,'ALL总表-各代理商总达成'!$C36,'代理商-产品进销存'!L:L)</f>
        <v>0</v>
      </c>
      <c r="G36" s="11">
        <f>SUMIF('代理商-产品进销存'!$B:$B,'ALL总表-各代理商总达成'!$C36,'代理商-产品进销存'!M:M)</f>
        <v>0</v>
      </c>
      <c r="H36" s="11">
        <f>SUMIF('代理商-产品进销存'!$B:$B,'ALL总表-各代理商总达成'!$C36,'代理商-产品进销存'!N:N)</f>
        <v>0</v>
      </c>
      <c r="I36" s="11">
        <f>SUMIF('代理商-产品进销存'!$B:$B,'ALL总表-各代理商总达成'!$C36,'代理商-产品进销存'!O:O)</f>
        <v>0</v>
      </c>
      <c r="J36" s="11">
        <f t="shared" si="0"/>
        <v>0</v>
      </c>
      <c r="K36" s="32">
        <f t="shared" si="1"/>
        <v>0</v>
      </c>
    </row>
    <row r="37" spans="1:11" x14ac:dyDescent="0.3">
      <c r="A37" s="3" t="s">
        <v>47</v>
      </c>
      <c r="B37" s="2" t="s">
        <v>196</v>
      </c>
      <c r="C37" s="2" t="s">
        <v>118</v>
      </c>
      <c r="D37" s="11">
        <v>2000</v>
      </c>
      <c r="F37" s="11">
        <f>SUMIF('代理商-产品进销存'!$B:$B,'ALL总表-各代理商总达成'!$C37,'代理商-产品进销存'!L:L)</f>
        <v>0</v>
      </c>
      <c r="G37" s="11">
        <f>SUMIF('代理商-产品进销存'!$B:$B,'ALL总表-各代理商总达成'!$C37,'代理商-产品进销存'!M:M)</f>
        <v>0</v>
      </c>
      <c r="H37" s="11">
        <f>SUMIF('代理商-产品进销存'!$B:$B,'ALL总表-各代理商总达成'!$C37,'代理商-产品进销存'!N:N)</f>
        <v>0</v>
      </c>
      <c r="I37" s="11">
        <f>SUMIF('代理商-产品进销存'!$B:$B,'ALL总表-各代理商总达成'!$C37,'代理商-产品进销存'!O:O)</f>
        <v>0</v>
      </c>
      <c r="J37" s="11">
        <f t="shared" si="0"/>
        <v>0</v>
      </c>
      <c r="K37" s="32">
        <f t="shared" si="1"/>
        <v>0</v>
      </c>
    </row>
    <row r="38" spans="1:11" x14ac:dyDescent="0.3">
      <c r="A38" s="3" t="s">
        <v>47</v>
      </c>
      <c r="B38" s="2" t="s">
        <v>197</v>
      </c>
      <c r="C38" s="2" t="s">
        <v>119</v>
      </c>
      <c r="D38" s="11">
        <v>2000</v>
      </c>
      <c r="F38" s="11">
        <f>SUMIF('代理商-产品进销存'!$B:$B,'ALL总表-各代理商总达成'!$C38,'代理商-产品进销存'!L:L)</f>
        <v>0</v>
      </c>
      <c r="G38" s="11">
        <f>SUMIF('代理商-产品进销存'!$B:$B,'ALL总表-各代理商总达成'!$C38,'代理商-产品进销存'!M:M)</f>
        <v>0</v>
      </c>
      <c r="H38" s="11">
        <f>SUMIF('代理商-产品进销存'!$B:$B,'ALL总表-各代理商总达成'!$C38,'代理商-产品进销存'!N:N)</f>
        <v>0</v>
      </c>
      <c r="I38" s="11">
        <f>SUMIF('代理商-产品进销存'!$B:$B,'ALL总表-各代理商总达成'!$C38,'代理商-产品进销存'!O:O)</f>
        <v>0</v>
      </c>
      <c r="J38" s="11">
        <f t="shared" si="0"/>
        <v>0</v>
      </c>
      <c r="K38" s="32">
        <f t="shared" si="1"/>
        <v>0</v>
      </c>
    </row>
    <row r="39" spans="1:11" x14ac:dyDescent="0.3">
      <c r="A39" s="3" t="s">
        <v>47</v>
      </c>
      <c r="B39" s="2" t="s">
        <v>198</v>
      </c>
      <c r="C39" s="2" t="s">
        <v>120</v>
      </c>
      <c r="D39" s="11">
        <v>2000</v>
      </c>
      <c r="F39" s="11">
        <f>SUMIF('代理商-产品进销存'!$B:$B,'ALL总表-各代理商总达成'!$C39,'代理商-产品进销存'!L:L)</f>
        <v>0</v>
      </c>
      <c r="G39" s="11">
        <f>SUMIF('代理商-产品进销存'!$B:$B,'ALL总表-各代理商总达成'!$C39,'代理商-产品进销存'!M:M)</f>
        <v>0</v>
      </c>
      <c r="H39" s="11">
        <f>SUMIF('代理商-产品进销存'!$B:$B,'ALL总表-各代理商总达成'!$C39,'代理商-产品进销存'!N:N)</f>
        <v>0</v>
      </c>
      <c r="I39" s="11">
        <f>SUMIF('代理商-产品进销存'!$B:$B,'ALL总表-各代理商总达成'!$C39,'代理商-产品进销存'!O:O)</f>
        <v>0</v>
      </c>
      <c r="J39" s="11">
        <f t="shared" si="0"/>
        <v>0</v>
      </c>
      <c r="K39" s="32">
        <f t="shared" si="1"/>
        <v>0</v>
      </c>
    </row>
    <row r="40" spans="1:11" x14ac:dyDescent="0.3">
      <c r="A40" s="3" t="s">
        <v>47</v>
      </c>
      <c r="B40" s="2" t="s">
        <v>199</v>
      </c>
      <c r="C40" s="2" t="s">
        <v>121</v>
      </c>
      <c r="D40" s="11">
        <v>2000</v>
      </c>
      <c r="F40" s="11">
        <f>SUMIF('代理商-产品进销存'!$B:$B,'ALL总表-各代理商总达成'!$C40,'代理商-产品进销存'!L:L)</f>
        <v>0</v>
      </c>
      <c r="G40" s="11">
        <f>SUMIF('代理商-产品进销存'!$B:$B,'ALL总表-各代理商总达成'!$C40,'代理商-产品进销存'!M:M)</f>
        <v>0</v>
      </c>
      <c r="H40" s="11">
        <f>SUMIF('代理商-产品进销存'!$B:$B,'ALL总表-各代理商总达成'!$C40,'代理商-产品进销存'!N:N)</f>
        <v>0</v>
      </c>
      <c r="I40" s="11">
        <f>SUMIF('代理商-产品进销存'!$B:$B,'ALL总表-各代理商总达成'!$C40,'代理商-产品进销存'!O:O)</f>
        <v>0</v>
      </c>
      <c r="J40" s="11">
        <f t="shared" si="0"/>
        <v>0</v>
      </c>
      <c r="K40" s="32">
        <f t="shared" si="1"/>
        <v>0</v>
      </c>
    </row>
  </sheetData>
  <phoneticPr fontId="1" type="noConversion"/>
  <dataValidations count="1">
    <dataValidation type="list" allowBlank="1" showInputMessage="1" showErrorMessage="1" sqref="N2:N40" xr:uid="{4E166682-D4CE-4B6E-AC9C-D0459ED6452C}">
      <formula1>"专家讲课,市场物料,区域会议,参会或游学,新媒体,其他(一事一议)"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9C34B-B2DA-4643-8AC7-816A7D727D78}">
  <sheetPr codeName="Sheet5"/>
  <dimension ref="A1:AC158"/>
  <sheetViews>
    <sheetView showGridLines="0" workbookViewId="0">
      <selection activeCell="G23" sqref="G23"/>
    </sheetView>
  </sheetViews>
  <sheetFormatPr defaultRowHeight="13.9" x14ac:dyDescent="0.3"/>
  <cols>
    <col min="1" max="1" width="15.19921875" style="2" customWidth="1"/>
    <col min="2" max="2" width="23.59765625" style="2" customWidth="1"/>
    <col min="3" max="3" width="7.59765625" style="3" customWidth="1"/>
    <col min="4" max="4" width="9.06640625" style="3"/>
    <col min="5" max="5" width="13.9296875" style="3" customWidth="1"/>
    <col min="6" max="6" width="10.86328125" style="3" customWidth="1"/>
    <col min="7" max="7" width="13.9296875" style="3" customWidth="1"/>
    <col min="8" max="16" width="9.06640625" style="3"/>
    <col min="17" max="27" width="11.06640625" style="3" customWidth="1"/>
    <col min="28" max="28" width="9.06640625" style="3"/>
    <col min="29" max="29" width="16.59765625" style="3" customWidth="1"/>
    <col min="30" max="16384" width="9.06640625" style="1"/>
  </cols>
  <sheetData>
    <row r="1" spans="1:29" ht="14.65" x14ac:dyDescent="0.3">
      <c r="E1" s="22" t="s">
        <v>136</v>
      </c>
      <c r="F1" s="22"/>
      <c r="G1" s="22"/>
      <c r="H1" s="22"/>
      <c r="I1" s="22"/>
      <c r="J1" s="22"/>
      <c r="K1" s="22"/>
      <c r="L1" s="30" t="s">
        <v>209</v>
      </c>
      <c r="M1" s="31"/>
      <c r="N1" s="31"/>
      <c r="O1" s="31"/>
      <c r="P1" s="31"/>
      <c r="Q1" s="31"/>
      <c r="R1" s="37" t="s">
        <v>210</v>
      </c>
      <c r="S1" s="38"/>
      <c r="T1" s="38"/>
      <c r="U1" s="38"/>
      <c r="V1" s="38"/>
      <c r="W1" s="42" t="s">
        <v>212</v>
      </c>
      <c r="X1" s="43"/>
      <c r="Y1" s="43"/>
      <c r="Z1" s="43"/>
      <c r="AA1" s="43"/>
    </row>
    <row r="2" spans="1:29" ht="14.65" x14ac:dyDescent="0.3">
      <c r="A2" s="33" t="s">
        <v>28</v>
      </c>
      <c r="B2" s="33" t="s">
        <v>29</v>
      </c>
      <c r="C2" s="35" t="s">
        <v>27</v>
      </c>
      <c r="D2" s="35" t="s">
        <v>128</v>
      </c>
      <c r="E2" s="35" t="s">
        <v>30</v>
      </c>
      <c r="F2" s="35" t="s">
        <v>31</v>
      </c>
      <c r="G2" s="35" t="s">
        <v>48</v>
      </c>
      <c r="H2" s="33" t="s">
        <v>5</v>
      </c>
      <c r="I2" s="33" t="s">
        <v>6</v>
      </c>
      <c r="J2" s="33" t="s">
        <v>7</v>
      </c>
      <c r="K2" s="33" t="s">
        <v>8</v>
      </c>
      <c r="L2" s="33" t="s">
        <v>5</v>
      </c>
      <c r="M2" s="33" t="s">
        <v>6</v>
      </c>
      <c r="N2" s="33" t="s">
        <v>7</v>
      </c>
      <c r="O2" s="33" t="s">
        <v>8</v>
      </c>
      <c r="P2" s="33" t="s">
        <v>137</v>
      </c>
      <c r="Q2" s="33" t="s">
        <v>138</v>
      </c>
      <c r="R2" s="33" t="s">
        <v>5</v>
      </c>
      <c r="S2" s="33" t="s">
        <v>6</v>
      </c>
      <c r="T2" s="33" t="s">
        <v>7</v>
      </c>
      <c r="U2" s="33" t="s">
        <v>8</v>
      </c>
      <c r="V2" s="33" t="s">
        <v>211</v>
      </c>
      <c r="W2" s="33" t="s">
        <v>5</v>
      </c>
      <c r="X2" s="33" t="s">
        <v>6</v>
      </c>
      <c r="Y2" s="33" t="s">
        <v>7</v>
      </c>
      <c r="Z2" s="33" t="s">
        <v>8</v>
      </c>
      <c r="AA2" s="33" t="s">
        <v>211</v>
      </c>
      <c r="AB2" s="35" t="s">
        <v>34</v>
      </c>
      <c r="AC2" s="35" t="s">
        <v>35</v>
      </c>
    </row>
    <row r="3" spans="1:29" x14ac:dyDescent="0.3">
      <c r="A3" s="2" t="s">
        <v>32</v>
      </c>
      <c r="B3" s="2" t="s">
        <v>83</v>
      </c>
      <c r="D3" s="3" t="s">
        <v>14</v>
      </c>
      <c r="E3" s="3">
        <v>500</v>
      </c>
      <c r="F3" s="3">
        <v>10000</v>
      </c>
      <c r="G3" s="3">
        <f>E3*F3/10000</f>
        <v>500</v>
      </c>
      <c r="H3" s="3">
        <f>$G3*15%</f>
        <v>75</v>
      </c>
      <c r="I3" s="3">
        <f>$G3*25%</f>
        <v>125</v>
      </c>
      <c r="J3" s="3">
        <f>$G3*35%</f>
        <v>175</v>
      </c>
      <c r="K3" s="3">
        <f>$G3*25%</f>
        <v>125</v>
      </c>
      <c r="L3" s="29">
        <f>(SUMIFS(终端客户销售统计表!$K:$K,终端客户销售统计表!$L:$L,$B3,终端客户销售统计表!$H:$H,$D3,终端客户销售统计表!$G:$G,"1月")+SUMIFS(终端客户销售统计表!$K:$K,终端客户销售统计表!$L:$L,$B3,终端客户销售统计表!$H:$H,$D3,终端客户销售统计表!$G:$G,"2月")+SUMIFS(终端客户销售统计表!$K:$K,终端客户销售统计表!$L:$L,$B3,终端客户销售统计表!$H:$H,$D3,终端客户销售统计表!$G:$G,"3月"))/10000</f>
        <v>100</v>
      </c>
      <c r="M3" s="29">
        <f>(SUMIFS(终端客户销售统计表!$K:$K,终端客户销售统计表!$L:$L,$B3,终端客户销售统计表!$H:$H,$D3,终端客户销售统计表!$G:$G,"4月")+SUMIFS(终端客户销售统计表!$K:$K,终端客户销售统计表!$L:$L,$B3,终端客户销售统计表!$H:$H,$D3,终端客户销售统计表!$G:$G,"5月")+SUMIFS(终端客户销售统计表!$K:$K,终端客户销售统计表!$L:$L,$B3,终端客户销售统计表!$H:$H,$D3,终端客户销售统计表!$G:$G,"6月"))/10000</f>
        <v>0</v>
      </c>
      <c r="N3" s="29">
        <f>(SUMIFS(终端客户销售统计表!$K:$K,终端客户销售统计表!$L:$L,$B3,终端客户销售统计表!$H:$H,$D3,终端客户销售统计表!$G:$G,"7月")+SUMIFS(终端客户销售统计表!$K:$K,终端客户销售统计表!$L:$L,$B3,终端客户销售统计表!$H:$H,$D3,终端客户销售统计表!$G:$G,"8月")+SUMIFS(终端客户销售统计表!$K:$K,终端客户销售统计表!$L:$L,$B3,终端客户销售统计表!$H:$H,$D3,终端客户销售统计表!$G:$G,"9月"))/10000</f>
        <v>0</v>
      </c>
      <c r="O3" s="29">
        <f>(SUMIFS(终端客户销售统计表!$K:$K,终端客户销售统计表!$L:$L,$B3,终端客户销售统计表!$H:$H,$D3,终端客户销售统计表!$G:$G,"10月")+SUMIFS(终端客户销售统计表!$K:$K,终端客户销售统计表!$L:$L,$B3,终端客户销售统计表!$H:$H,$D3,终端客户销售统计表!$G:$G,"11月")+SUMIFS(终端客户销售统计表!$K:$K,终端客户销售统计表!$L:$L,$B3,终端客户销售统计表!$H:$H,$D3,终端客户销售统计表!$G:$G,"12月"))/10000</f>
        <v>0</v>
      </c>
      <c r="P3" s="29">
        <f>SUM(L3:O3)</f>
        <v>100</v>
      </c>
      <c r="Q3" s="44">
        <f>IFERROR(P3/G3,"")</f>
        <v>0.2</v>
      </c>
      <c r="R3" s="29">
        <f>(SUMIFS('代理商-进货明细表'!$I:$I,'代理商-进货明细表'!$B:$B,'代理商-产品进销存'!$B3,'代理商-进货明细表'!$F:$F,'代理商-产品进销存'!$D3,'代理商-进货明细表'!$E:$E,"1月")+SUMIFS('代理商-进货明细表'!$I:$I,'代理商-进货明细表'!$B:$B,'代理商-产品进销存'!$B3,'代理商-进货明细表'!$F:$F,'代理商-产品进销存'!$D3,'代理商-进货明细表'!$E:$E,"2月")+SUMIFS('代理商-进货明细表'!$I:$I,'代理商-进货明细表'!$B:$B,'代理商-产品进销存'!$B3,'代理商-进货明细表'!$F:$F,'代理商-产品进销存'!$D3,'代理商-进货明细表'!$E:$E,"3月"))/10000</f>
        <v>0</v>
      </c>
      <c r="S3" s="29">
        <f>(SUMIFS('代理商-进货明细表'!$I:$I,'代理商-进货明细表'!$B:$B,'代理商-产品进销存'!$B3,'代理商-进货明细表'!$F:$F,'代理商-产品进销存'!$D3,'代理商-进货明细表'!$E:$E,"4月")+SUMIFS('代理商-进货明细表'!$I:$I,'代理商-进货明细表'!$B:$B,'代理商-产品进销存'!$B3,'代理商-进货明细表'!$F:$F,'代理商-产品进销存'!$D3,'代理商-进货明细表'!$E:$E,"5月")+SUMIFS('代理商-进货明细表'!$I:$I,'代理商-进货明细表'!$B:$B,'代理商-产品进销存'!$B3,'代理商-进货明细表'!$F:$F,'代理商-产品进销存'!$D3,'代理商-进货明细表'!$E:$E,"6月"))/10000</f>
        <v>400</v>
      </c>
      <c r="T3" s="29">
        <f>(SUMIFS('代理商-进货明细表'!$I:$I,'代理商-进货明细表'!$B:$B,'代理商-产品进销存'!$B3,'代理商-进货明细表'!$F:$F,'代理商-产品进销存'!$D3,'代理商-进货明细表'!$E:$E,"7月")+SUMIFS('代理商-进货明细表'!$I:$I,'代理商-进货明细表'!$B:$B,'代理商-产品进销存'!$B3,'代理商-进货明细表'!$F:$F,'代理商-产品进销存'!$D3,'代理商-进货明细表'!$E:$E,"8月")+SUMIFS('代理商-进货明细表'!$I:$I,'代理商-进货明细表'!$B:$B,'代理商-产品进销存'!$B3,'代理商-进货明细表'!$F:$F,'代理商-产品进销存'!$D3,'代理商-进货明细表'!$E:$E,"9月"))/10000</f>
        <v>0</v>
      </c>
      <c r="U3" s="29">
        <f>(SUMIFS('代理商-进货明细表'!$I:$I,'代理商-进货明细表'!$B:$B,'代理商-产品进销存'!$B3,'代理商-进货明细表'!$F:$F,'代理商-产品进销存'!$D3,'代理商-进货明细表'!$E:$E,"10月")+SUMIFS('代理商-进货明细表'!$I:$I,'代理商-进货明细表'!$B:$B,'代理商-产品进销存'!$B3,'代理商-进货明细表'!$F:$F,'代理商-产品进销存'!$D3,'代理商-进货明细表'!$E:$E,"11月")+SUMIFS('代理商-进货明细表'!$I:$I,'代理商-进货明细表'!$B:$B,'代理商-产品进销存'!$B3,'代理商-进货明细表'!$F:$F,'代理商-产品进销存'!$D3,'代理商-进货明细表'!$E:$E,"12月"))/10000</f>
        <v>0</v>
      </c>
      <c r="V3" s="29">
        <f>SUM(R3:U3)</f>
        <v>400</v>
      </c>
      <c r="W3" s="29">
        <f>R3-L3</f>
        <v>-100</v>
      </c>
      <c r="X3" s="29">
        <f t="shared" ref="X3:Z3" si="0">S3-M3</f>
        <v>400</v>
      </c>
      <c r="Y3" s="29">
        <f t="shared" si="0"/>
        <v>0</v>
      </c>
      <c r="Z3" s="29">
        <f t="shared" si="0"/>
        <v>0</v>
      </c>
      <c r="AA3" s="29">
        <f>SUM(W3:Z3)</f>
        <v>300</v>
      </c>
    </row>
    <row r="4" spans="1:29" x14ac:dyDescent="0.3">
      <c r="A4" s="2" t="s">
        <v>32</v>
      </c>
      <c r="B4" s="2" t="s">
        <v>83</v>
      </c>
      <c r="D4" s="3" t="s">
        <v>15</v>
      </c>
      <c r="E4" s="3">
        <v>500</v>
      </c>
      <c r="F4" s="3">
        <v>10000</v>
      </c>
      <c r="G4" s="3">
        <f t="shared" ref="G4:G14" si="1">E4*F4/10000</f>
        <v>500</v>
      </c>
      <c r="H4" s="3">
        <f t="shared" ref="H4:H14" si="2">$G4*15%</f>
        <v>75</v>
      </c>
      <c r="I4" s="3">
        <f t="shared" ref="I4:I14" si="3">$G4*25%</f>
        <v>125</v>
      </c>
      <c r="J4" s="3">
        <f t="shared" ref="J4:J14" si="4">$G4*35%</f>
        <v>175</v>
      </c>
      <c r="K4" s="3">
        <f t="shared" ref="K4:K14" si="5">$G4*25%</f>
        <v>125</v>
      </c>
      <c r="L4" s="29">
        <f>(SUMIFS(终端客户销售统计表!$K:$K,终端客户销售统计表!$L:$L,$B4,终端客户销售统计表!$H:$H,$D4,终端客户销售统计表!$G:$G,"1月")+SUMIFS(终端客户销售统计表!$K:$K,终端客户销售统计表!$L:$L,$B4,终端客户销售统计表!$H:$H,$D4,终端客户销售统计表!$G:$G,"2月")+SUMIFS(终端客户销售统计表!$K:$K,终端客户销售统计表!$L:$L,$B4,终端客户销售统计表!$H:$H,$D4,终端客户销售统计表!$G:$G,"3月"))/10000</f>
        <v>0</v>
      </c>
      <c r="M4" s="29">
        <f>(SUMIFS(终端客户销售统计表!$K:$K,终端客户销售统计表!$L:$L,$B4,终端客户销售统计表!$H:$H,$D4,终端客户销售统计表!$G:$G,"4月")+SUMIFS(终端客户销售统计表!$K:$K,终端客户销售统计表!$L:$L,$B4,终端客户销售统计表!$H:$H,$D4,终端客户销售统计表!$G:$G,"5月")+SUMIFS(终端客户销售统计表!$K:$K,终端客户销售统计表!$L:$L,$B4,终端客户销售统计表!$H:$H,$D4,终端客户销售统计表!$G:$G,"6月"))/10000</f>
        <v>100</v>
      </c>
      <c r="N4" s="29">
        <f>(SUMIFS(终端客户销售统计表!$K:$K,终端客户销售统计表!$L:$L,$B4,终端客户销售统计表!$H:$H,$D4,终端客户销售统计表!$G:$G,"7月")+SUMIFS(终端客户销售统计表!$K:$K,终端客户销售统计表!$L:$L,$B4,终端客户销售统计表!$H:$H,$D4,终端客户销售统计表!$G:$G,"8月")+SUMIFS(终端客户销售统计表!$K:$K,终端客户销售统计表!$L:$L,$B4,终端客户销售统计表!$H:$H,$D4,终端客户销售统计表!$G:$G,"9月"))/10000</f>
        <v>0</v>
      </c>
      <c r="O4" s="29">
        <f>(SUMIFS(终端客户销售统计表!$K:$K,终端客户销售统计表!$L:$L,$B4,终端客户销售统计表!$H:$H,$D4,终端客户销售统计表!$G:$G,"10月")+SUMIFS(终端客户销售统计表!$K:$K,终端客户销售统计表!$L:$L,$B4,终端客户销售统计表!$H:$H,$D4,终端客户销售统计表!$G:$G,"11月")+SUMIFS(终端客户销售统计表!$K:$K,终端客户销售统计表!$L:$L,$B4,终端客户销售统计表!$H:$H,$D4,终端客户销售统计表!$G:$G,"12月"))/10000</f>
        <v>0</v>
      </c>
      <c r="P4" s="29">
        <f>SUM(L4:O4)</f>
        <v>100</v>
      </c>
      <c r="Q4" s="44">
        <f t="shared" ref="Q4:Q67" si="6">IFERROR(P4/G4,"")</f>
        <v>0.2</v>
      </c>
      <c r="R4" s="29">
        <f>(SUMIFS('代理商-进货明细表'!$I:$I,'代理商-进货明细表'!$B:$B,'代理商-产品进销存'!$B4,'代理商-进货明细表'!$F:$F,'代理商-产品进销存'!$D4,'代理商-进货明细表'!$E:$E,"1月")+SUMIFS('代理商-进货明细表'!$I:$I,'代理商-进货明细表'!$B:$B,'代理商-产品进销存'!$B4,'代理商-进货明细表'!$F:$F,'代理商-产品进销存'!$D4,'代理商-进货明细表'!$E:$E,"2月")+SUMIFS('代理商-进货明细表'!$I:$I,'代理商-进货明细表'!$B:$B,'代理商-产品进销存'!$B4,'代理商-进货明细表'!$F:$F,'代理商-产品进销存'!$D4,'代理商-进货明细表'!$E:$E,"3月"))/10000</f>
        <v>400</v>
      </c>
      <c r="S4" s="29">
        <f>(SUMIFS('代理商-进货明细表'!$I:$I,'代理商-进货明细表'!$B:$B,'代理商-产品进销存'!$B4,'代理商-进货明细表'!$F:$F,'代理商-产品进销存'!$D4,'代理商-进货明细表'!$E:$E,"4月")+SUMIFS('代理商-进货明细表'!$I:$I,'代理商-进货明细表'!$B:$B,'代理商-产品进销存'!$B4,'代理商-进货明细表'!$F:$F,'代理商-产品进销存'!$D4,'代理商-进货明细表'!$E:$E,"5月")+SUMIFS('代理商-进货明细表'!$I:$I,'代理商-进货明细表'!$B:$B,'代理商-产品进销存'!$B4,'代理商-进货明细表'!$F:$F,'代理商-产品进销存'!$D4,'代理商-进货明细表'!$E:$E,"6月"))/10000</f>
        <v>0</v>
      </c>
      <c r="T4" s="29">
        <f>(SUMIFS('代理商-进货明细表'!$I:$I,'代理商-进货明细表'!$B:$B,'代理商-产品进销存'!$B4,'代理商-进货明细表'!$F:$F,'代理商-产品进销存'!$D4,'代理商-进货明细表'!$E:$E,"7月")+SUMIFS('代理商-进货明细表'!$I:$I,'代理商-进货明细表'!$B:$B,'代理商-产品进销存'!$B4,'代理商-进货明细表'!$F:$F,'代理商-产品进销存'!$D4,'代理商-进货明细表'!$E:$E,"8月")+SUMIFS('代理商-进货明细表'!$I:$I,'代理商-进货明细表'!$B:$B,'代理商-产品进销存'!$B4,'代理商-进货明细表'!$F:$F,'代理商-产品进销存'!$D4,'代理商-进货明细表'!$E:$E,"9月"))/10000</f>
        <v>0</v>
      </c>
      <c r="U4" s="29">
        <f>(SUMIFS('代理商-进货明细表'!$I:$I,'代理商-进货明细表'!$B:$B,'代理商-产品进销存'!$B4,'代理商-进货明细表'!$F:$F,'代理商-产品进销存'!$D4,'代理商-进货明细表'!$E:$E,"10月")+SUMIFS('代理商-进货明细表'!$I:$I,'代理商-进货明细表'!$B:$B,'代理商-产品进销存'!$B4,'代理商-进货明细表'!$F:$F,'代理商-产品进销存'!$D4,'代理商-进货明细表'!$E:$E,"11月")+SUMIFS('代理商-进货明细表'!$I:$I,'代理商-进货明细表'!$B:$B,'代理商-产品进销存'!$B4,'代理商-进货明细表'!$F:$F,'代理商-产品进销存'!$D4,'代理商-进货明细表'!$E:$E,"12月"))/10000</f>
        <v>0</v>
      </c>
      <c r="V4" s="29">
        <f t="shared" ref="V4:V67" si="7">SUM(R4:U4)</f>
        <v>400</v>
      </c>
      <c r="W4" s="29">
        <f t="shared" ref="W4:W67" si="8">R4-L4</f>
        <v>400</v>
      </c>
      <c r="X4" s="29">
        <f t="shared" ref="X4:X67" si="9">S4-M4</f>
        <v>-100</v>
      </c>
      <c r="Y4" s="29">
        <f t="shared" ref="Y4:Y67" si="10">T4-N4</f>
        <v>0</v>
      </c>
      <c r="Z4" s="29">
        <f t="shared" ref="Z4:Z67" si="11">U4-O4</f>
        <v>0</v>
      </c>
      <c r="AA4" s="29">
        <f t="shared" ref="AA4:AA67" si="12">SUM(W4:Z4)</f>
        <v>300</v>
      </c>
    </row>
    <row r="5" spans="1:29" x14ac:dyDescent="0.3">
      <c r="A5" s="2" t="s">
        <v>32</v>
      </c>
      <c r="B5" s="2" t="s">
        <v>83</v>
      </c>
      <c r="D5" s="3" t="s">
        <v>16</v>
      </c>
      <c r="E5" s="3">
        <v>500</v>
      </c>
      <c r="F5" s="3">
        <v>10000</v>
      </c>
      <c r="G5" s="3">
        <f t="shared" si="1"/>
        <v>500</v>
      </c>
      <c r="H5" s="3">
        <f t="shared" si="2"/>
        <v>75</v>
      </c>
      <c r="I5" s="3">
        <f t="shared" si="3"/>
        <v>125</v>
      </c>
      <c r="J5" s="3">
        <f t="shared" si="4"/>
        <v>175</v>
      </c>
      <c r="K5" s="3">
        <f t="shared" si="5"/>
        <v>125</v>
      </c>
      <c r="L5" s="29">
        <f>(SUMIFS(终端客户销售统计表!$K:$K,终端客户销售统计表!$L:$L,$B5,终端客户销售统计表!$H:$H,$D5,终端客户销售统计表!$G:$G,"1月")+SUMIFS(终端客户销售统计表!$K:$K,终端客户销售统计表!$L:$L,$B5,终端客户销售统计表!$H:$H,$D5,终端客户销售统计表!$G:$G,"2月")+SUMIFS(终端客户销售统计表!$K:$K,终端客户销售统计表!$L:$L,$B5,终端客户销售统计表!$H:$H,$D5,终端客户销售统计表!$G:$G,"3月"))/10000</f>
        <v>0</v>
      </c>
      <c r="M5" s="29">
        <f>(SUMIFS(终端客户销售统计表!$K:$K,终端客户销售统计表!$L:$L,$B5,终端客户销售统计表!$H:$H,$D5,终端客户销售统计表!$G:$G,"4月")+SUMIFS(终端客户销售统计表!$K:$K,终端客户销售统计表!$L:$L,$B5,终端客户销售统计表!$H:$H,$D5,终端客户销售统计表!$G:$G,"5月")+SUMIFS(终端客户销售统计表!$K:$K,终端客户销售统计表!$L:$L,$B5,终端客户销售统计表!$H:$H,$D5,终端客户销售统计表!$G:$G,"6月"))/10000</f>
        <v>0</v>
      </c>
      <c r="N5" s="29">
        <f>(SUMIFS(终端客户销售统计表!$K:$K,终端客户销售统计表!$L:$L,$B5,终端客户销售统计表!$H:$H,$D5,终端客户销售统计表!$G:$G,"7月")+SUMIFS(终端客户销售统计表!$K:$K,终端客户销售统计表!$L:$L,$B5,终端客户销售统计表!$H:$H,$D5,终端客户销售统计表!$G:$G,"8月")+SUMIFS(终端客户销售统计表!$K:$K,终端客户销售统计表!$L:$L,$B5,终端客户销售统计表!$H:$H,$D5,终端客户销售统计表!$G:$G,"9月"))/10000</f>
        <v>100</v>
      </c>
      <c r="O5" s="29">
        <f>(SUMIFS(终端客户销售统计表!$K:$K,终端客户销售统计表!$L:$L,$B5,终端客户销售统计表!$H:$H,$D5,终端客户销售统计表!$G:$G,"10月")+SUMIFS(终端客户销售统计表!$K:$K,终端客户销售统计表!$L:$L,$B5,终端客户销售统计表!$H:$H,$D5,终端客户销售统计表!$G:$G,"11月")+SUMIFS(终端客户销售统计表!$K:$K,终端客户销售统计表!$L:$L,$B5,终端客户销售统计表!$H:$H,$D5,终端客户销售统计表!$G:$G,"12月"))/10000</f>
        <v>0</v>
      </c>
      <c r="P5" s="29">
        <f>SUM(L5:O5)</f>
        <v>100</v>
      </c>
      <c r="Q5" s="44">
        <f t="shared" si="6"/>
        <v>0.2</v>
      </c>
      <c r="R5" s="29">
        <f>(SUMIFS('代理商-进货明细表'!$I:$I,'代理商-进货明细表'!$B:$B,'代理商-产品进销存'!$B5,'代理商-进货明细表'!$F:$F,'代理商-产品进销存'!$D5,'代理商-进货明细表'!$E:$E,"1月")+SUMIFS('代理商-进货明细表'!$I:$I,'代理商-进货明细表'!$B:$B,'代理商-产品进销存'!$B5,'代理商-进货明细表'!$F:$F,'代理商-产品进销存'!$D5,'代理商-进货明细表'!$E:$E,"2月")+SUMIFS('代理商-进货明细表'!$I:$I,'代理商-进货明细表'!$B:$B,'代理商-产品进销存'!$B5,'代理商-进货明细表'!$F:$F,'代理商-产品进销存'!$D5,'代理商-进货明细表'!$E:$E,"3月"))/10000</f>
        <v>0</v>
      </c>
      <c r="S5" s="29">
        <f>(SUMIFS('代理商-进货明细表'!$I:$I,'代理商-进货明细表'!$B:$B,'代理商-产品进销存'!$B5,'代理商-进货明细表'!$F:$F,'代理商-产品进销存'!$D5,'代理商-进货明细表'!$E:$E,"4月")+SUMIFS('代理商-进货明细表'!$I:$I,'代理商-进货明细表'!$B:$B,'代理商-产品进销存'!$B5,'代理商-进货明细表'!$F:$F,'代理商-产品进销存'!$D5,'代理商-进货明细表'!$E:$E,"5月")+SUMIFS('代理商-进货明细表'!$I:$I,'代理商-进货明细表'!$B:$B,'代理商-产品进销存'!$B5,'代理商-进货明细表'!$F:$F,'代理商-产品进销存'!$D5,'代理商-进货明细表'!$E:$E,"6月"))/10000</f>
        <v>0</v>
      </c>
      <c r="T5" s="29">
        <f>(SUMIFS('代理商-进货明细表'!$I:$I,'代理商-进货明细表'!$B:$B,'代理商-产品进销存'!$B5,'代理商-进货明细表'!$F:$F,'代理商-产品进销存'!$D5,'代理商-进货明细表'!$E:$E,"7月")+SUMIFS('代理商-进货明细表'!$I:$I,'代理商-进货明细表'!$B:$B,'代理商-产品进销存'!$B5,'代理商-进货明细表'!$F:$F,'代理商-产品进销存'!$D5,'代理商-进货明细表'!$E:$E,"8月")+SUMIFS('代理商-进货明细表'!$I:$I,'代理商-进货明细表'!$B:$B,'代理商-产品进销存'!$B5,'代理商-进货明细表'!$F:$F,'代理商-产品进销存'!$D5,'代理商-进货明细表'!$E:$E,"9月"))/10000</f>
        <v>400</v>
      </c>
      <c r="U5" s="29">
        <f>(SUMIFS('代理商-进货明细表'!$I:$I,'代理商-进货明细表'!$B:$B,'代理商-产品进销存'!$B5,'代理商-进货明细表'!$F:$F,'代理商-产品进销存'!$D5,'代理商-进货明细表'!$E:$E,"10月")+SUMIFS('代理商-进货明细表'!$I:$I,'代理商-进货明细表'!$B:$B,'代理商-产品进销存'!$B5,'代理商-进货明细表'!$F:$F,'代理商-产品进销存'!$D5,'代理商-进货明细表'!$E:$E,"11月")+SUMIFS('代理商-进货明细表'!$I:$I,'代理商-进货明细表'!$B:$B,'代理商-产品进销存'!$B5,'代理商-进货明细表'!$F:$F,'代理商-产品进销存'!$D5,'代理商-进货明细表'!$E:$E,"12月"))/10000</f>
        <v>0</v>
      </c>
      <c r="V5" s="29">
        <f t="shared" si="7"/>
        <v>400</v>
      </c>
      <c r="W5" s="29">
        <f t="shared" si="8"/>
        <v>0</v>
      </c>
      <c r="X5" s="29">
        <f t="shared" si="9"/>
        <v>0</v>
      </c>
      <c r="Y5" s="29">
        <f t="shared" si="10"/>
        <v>300</v>
      </c>
      <c r="Z5" s="29">
        <f t="shared" si="11"/>
        <v>0</v>
      </c>
      <c r="AA5" s="29">
        <f t="shared" si="12"/>
        <v>300</v>
      </c>
    </row>
    <row r="6" spans="1:29" x14ac:dyDescent="0.3">
      <c r="A6" s="2" t="s">
        <v>32</v>
      </c>
      <c r="B6" s="2" t="s">
        <v>83</v>
      </c>
      <c r="D6" s="3" t="s">
        <v>17</v>
      </c>
      <c r="E6" s="3">
        <v>500</v>
      </c>
      <c r="F6" s="3">
        <v>10000</v>
      </c>
      <c r="G6" s="3">
        <f t="shared" si="1"/>
        <v>500</v>
      </c>
      <c r="H6" s="3">
        <f t="shared" si="2"/>
        <v>75</v>
      </c>
      <c r="I6" s="3">
        <f t="shared" si="3"/>
        <v>125</v>
      </c>
      <c r="J6" s="3">
        <f t="shared" si="4"/>
        <v>175</v>
      </c>
      <c r="K6" s="3">
        <f t="shared" si="5"/>
        <v>125</v>
      </c>
      <c r="L6" s="29">
        <f>(SUMIFS(终端客户销售统计表!$K:$K,终端客户销售统计表!$L:$L,$B6,终端客户销售统计表!$H:$H,$D6,终端客户销售统计表!$G:$G,"1月")+SUMIFS(终端客户销售统计表!$K:$K,终端客户销售统计表!$L:$L,$B6,终端客户销售统计表!$H:$H,$D6,终端客户销售统计表!$G:$G,"2月")+SUMIFS(终端客户销售统计表!$K:$K,终端客户销售统计表!$L:$L,$B6,终端客户销售统计表!$H:$H,$D6,终端客户销售统计表!$G:$G,"3月"))/10000</f>
        <v>0</v>
      </c>
      <c r="M6" s="29">
        <f>(SUMIFS(终端客户销售统计表!$K:$K,终端客户销售统计表!$L:$L,$B6,终端客户销售统计表!$H:$H,$D6,终端客户销售统计表!$G:$G,"4月")+SUMIFS(终端客户销售统计表!$K:$K,终端客户销售统计表!$L:$L,$B6,终端客户销售统计表!$H:$H,$D6,终端客户销售统计表!$G:$G,"5月")+SUMIFS(终端客户销售统计表!$K:$K,终端客户销售统计表!$L:$L,$B6,终端客户销售统计表!$H:$H,$D6,终端客户销售统计表!$G:$G,"6月"))/10000</f>
        <v>0</v>
      </c>
      <c r="N6" s="29">
        <f>(SUMIFS(终端客户销售统计表!$K:$K,终端客户销售统计表!$L:$L,$B6,终端客户销售统计表!$H:$H,$D6,终端客户销售统计表!$G:$G,"7月")+SUMIFS(终端客户销售统计表!$K:$K,终端客户销售统计表!$L:$L,$B6,终端客户销售统计表!$H:$H,$D6,终端客户销售统计表!$G:$G,"8月")+SUMIFS(终端客户销售统计表!$K:$K,终端客户销售统计表!$L:$L,$B6,终端客户销售统计表!$H:$H,$D6,终端客户销售统计表!$G:$G,"9月"))/10000</f>
        <v>0</v>
      </c>
      <c r="O6" s="29">
        <f>(SUMIFS(终端客户销售统计表!$K:$K,终端客户销售统计表!$L:$L,$B6,终端客户销售统计表!$H:$H,$D6,终端客户销售统计表!$G:$G,"10月")+SUMIFS(终端客户销售统计表!$K:$K,终端客户销售统计表!$L:$L,$B6,终端客户销售统计表!$H:$H,$D6,终端客户销售统计表!$G:$G,"11月")+SUMIFS(终端客户销售统计表!$K:$K,终端客户销售统计表!$L:$L,$B6,终端客户销售统计表!$H:$H,$D6,终端客户销售统计表!$G:$G,"12月"))/10000</f>
        <v>100</v>
      </c>
      <c r="P6" s="29">
        <f>SUM(L6:O6)</f>
        <v>100</v>
      </c>
      <c r="Q6" s="44">
        <f t="shared" si="6"/>
        <v>0.2</v>
      </c>
      <c r="R6" s="29">
        <f>(SUMIFS('代理商-进货明细表'!$I:$I,'代理商-进货明细表'!$B:$B,'代理商-产品进销存'!$B6,'代理商-进货明细表'!$F:$F,'代理商-产品进销存'!$D6,'代理商-进货明细表'!$E:$E,"1月")+SUMIFS('代理商-进货明细表'!$I:$I,'代理商-进货明细表'!$B:$B,'代理商-产品进销存'!$B6,'代理商-进货明细表'!$F:$F,'代理商-产品进销存'!$D6,'代理商-进货明细表'!$E:$E,"2月")+SUMIFS('代理商-进货明细表'!$I:$I,'代理商-进货明细表'!$B:$B,'代理商-产品进销存'!$B6,'代理商-进货明细表'!$F:$F,'代理商-产品进销存'!$D6,'代理商-进货明细表'!$E:$E,"3月"))/10000</f>
        <v>0</v>
      </c>
      <c r="S6" s="29">
        <f>(SUMIFS('代理商-进货明细表'!$I:$I,'代理商-进货明细表'!$B:$B,'代理商-产品进销存'!$B6,'代理商-进货明细表'!$F:$F,'代理商-产品进销存'!$D6,'代理商-进货明细表'!$E:$E,"4月")+SUMIFS('代理商-进货明细表'!$I:$I,'代理商-进货明细表'!$B:$B,'代理商-产品进销存'!$B6,'代理商-进货明细表'!$F:$F,'代理商-产品进销存'!$D6,'代理商-进货明细表'!$E:$E,"5月")+SUMIFS('代理商-进货明细表'!$I:$I,'代理商-进货明细表'!$B:$B,'代理商-产品进销存'!$B6,'代理商-进货明细表'!$F:$F,'代理商-产品进销存'!$D6,'代理商-进货明细表'!$E:$E,"6月"))/10000</f>
        <v>0</v>
      </c>
      <c r="T6" s="29">
        <f>(SUMIFS('代理商-进货明细表'!$I:$I,'代理商-进货明细表'!$B:$B,'代理商-产品进销存'!$B6,'代理商-进货明细表'!$F:$F,'代理商-产品进销存'!$D6,'代理商-进货明细表'!$E:$E,"7月")+SUMIFS('代理商-进货明细表'!$I:$I,'代理商-进货明细表'!$B:$B,'代理商-产品进销存'!$B6,'代理商-进货明细表'!$F:$F,'代理商-产品进销存'!$D6,'代理商-进货明细表'!$E:$E,"8月")+SUMIFS('代理商-进货明细表'!$I:$I,'代理商-进货明细表'!$B:$B,'代理商-产品进销存'!$B6,'代理商-进货明细表'!$F:$F,'代理商-产品进销存'!$D6,'代理商-进货明细表'!$E:$E,"9月"))/10000</f>
        <v>0</v>
      </c>
      <c r="U6" s="29">
        <f>(SUMIFS('代理商-进货明细表'!$I:$I,'代理商-进货明细表'!$B:$B,'代理商-产品进销存'!$B6,'代理商-进货明细表'!$F:$F,'代理商-产品进销存'!$D6,'代理商-进货明细表'!$E:$E,"10月")+SUMIFS('代理商-进货明细表'!$I:$I,'代理商-进货明细表'!$B:$B,'代理商-产品进销存'!$B6,'代理商-进货明细表'!$F:$F,'代理商-产品进销存'!$D6,'代理商-进货明细表'!$E:$E,"11月")+SUMIFS('代理商-进货明细表'!$I:$I,'代理商-进货明细表'!$B:$B,'代理商-产品进销存'!$B6,'代理商-进货明细表'!$F:$F,'代理商-产品进销存'!$D6,'代理商-进货明细表'!$E:$E,"12月"))/10000</f>
        <v>400</v>
      </c>
      <c r="V6" s="29">
        <f t="shared" si="7"/>
        <v>400</v>
      </c>
      <c r="W6" s="29">
        <f t="shared" si="8"/>
        <v>0</v>
      </c>
      <c r="X6" s="29">
        <f t="shared" si="9"/>
        <v>0</v>
      </c>
      <c r="Y6" s="29">
        <f t="shared" si="10"/>
        <v>0</v>
      </c>
      <c r="Z6" s="29">
        <f t="shared" si="11"/>
        <v>300</v>
      </c>
      <c r="AA6" s="29">
        <f t="shared" si="12"/>
        <v>300</v>
      </c>
    </row>
    <row r="7" spans="1:29" x14ac:dyDescent="0.3">
      <c r="A7" s="2" t="s">
        <v>163</v>
      </c>
      <c r="B7" s="2" t="s">
        <v>84</v>
      </c>
      <c r="D7" s="3" t="s">
        <v>14</v>
      </c>
      <c r="E7" s="3">
        <v>500</v>
      </c>
      <c r="F7" s="3">
        <v>10000</v>
      </c>
      <c r="G7" s="3">
        <f t="shared" si="1"/>
        <v>500</v>
      </c>
      <c r="H7" s="3">
        <f t="shared" si="2"/>
        <v>75</v>
      </c>
      <c r="I7" s="3">
        <f t="shared" si="3"/>
        <v>125</v>
      </c>
      <c r="J7" s="3">
        <f t="shared" si="4"/>
        <v>175</v>
      </c>
      <c r="K7" s="3">
        <f t="shared" si="5"/>
        <v>125</v>
      </c>
      <c r="L7" s="29">
        <f>(SUMIFS(终端客户销售统计表!$K:$K,终端客户销售统计表!$L:$L,$B7,终端客户销售统计表!$H:$H,$D7,终端客户销售统计表!$G:$G,"1月")+SUMIFS(终端客户销售统计表!$K:$K,终端客户销售统计表!$L:$L,$B7,终端客户销售统计表!$H:$H,$D7,终端客户销售统计表!$G:$G,"2月")+SUMIFS(终端客户销售统计表!$K:$K,终端客户销售统计表!$L:$L,$B7,终端客户销售统计表!$H:$H,$D7,终端客户销售统计表!$G:$G,"3月"))/10000</f>
        <v>100</v>
      </c>
      <c r="M7" s="29">
        <f>(SUMIFS(终端客户销售统计表!$K:$K,终端客户销售统计表!$L:$L,$B7,终端客户销售统计表!$H:$H,$D7,终端客户销售统计表!$G:$G,"4月")+SUMIFS(终端客户销售统计表!$K:$K,终端客户销售统计表!$L:$L,$B7,终端客户销售统计表!$H:$H,$D7,终端客户销售统计表!$G:$G,"5月")+SUMIFS(终端客户销售统计表!$K:$K,终端客户销售统计表!$L:$L,$B7,终端客户销售统计表!$H:$H,$D7,终端客户销售统计表!$G:$G,"6月"))/10000</f>
        <v>0</v>
      </c>
      <c r="N7" s="29">
        <f>(SUMIFS(终端客户销售统计表!$K:$K,终端客户销售统计表!$L:$L,$B7,终端客户销售统计表!$H:$H,$D7,终端客户销售统计表!$G:$G,"7月")+SUMIFS(终端客户销售统计表!$K:$K,终端客户销售统计表!$L:$L,$B7,终端客户销售统计表!$H:$H,$D7,终端客户销售统计表!$G:$G,"8月")+SUMIFS(终端客户销售统计表!$K:$K,终端客户销售统计表!$L:$L,$B7,终端客户销售统计表!$H:$H,$D7,终端客户销售统计表!$G:$G,"9月"))/10000</f>
        <v>0</v>
      </c>
      <c r="O7" s="29">
        <f>(SUMIFS(终端客户销售统计表!$K:$K,终端客户销售统计表!$L:$L,$B7,终端客户销售统计表!$H:$H,$D7,终端客户销售统计表!$G:$G,"10月")+SUMIFS(终端客户销售统计表!$K:$K,终端客户销售统计表!$L:$L,$B7,终端客户销售统计表!$H:$H,$D7,终端客户销售统计表!$G:$G,"11月")+SUMIFS(终端客户销售统计表!$K:$K,终端客户销售统计表!$L:$L,$B7,终端客户销售统计表!$H:$H,$D7,终端客户销售统计表!$G:$G,"12月"))/10000</f>
        <v>0</v>
      </c>
      <c r="P7" s="29">
        <f>SUM(L7:O7)</f>
        <v>100</v>
      </c>
      <c r="Q7" s="44">
        <f t="shared" si="6"/>
        <v>0.2</v>
      </c>
      <c r="R7" s="29">
        <f>(SUMIFS('代理商-进货明细表'!$I:$I,'代理商-进货明细表'!$B:$B,'代理商-产品进销存'!$B7,'代理商-进货明细表'!$F:$F,'代理商-产品进销存'!$D7,'代理商-进货明细表'!$E:$E,"1月")+SUMIFS('代理商-进货明细表'!$I:$I,'代理商-进货明细表'!$B:$B,'代理商-产品进销存'!$B7,'代理商-进货明细表'!$F:$F,'代理商-产品进销存'!$D7,'代理商-进货明细表'!$E:$E,"2月")+SUMIFS('代理商-进货明细表'!$I:$I,'代理商-进货明细表'!$B:$B,'代理商-产品进销存'!$B7,'代理商-进货明细表'!$F:$F,'代理商-产品进销存'!$D7,'代理商-进货明细表'!$E:$E,"3月"))/10000</f>
        <v>0</v>
      </c>
      <c r="S7" s="29">
        <f>(SUMIFS('代理商-进货明细表'!$I:$I,'代理商-进货明细表'!$B:$B,'代理商-产品进销存'!$B7,'代理商-进货明细表'!$F:$F,'代理商-产品进销存'!$D7,'代理商-进货明细表'!$E:$E,"4月")+SUMIFS('代理商-进货明细表'!$I:$I,'代理商-进货明细表'!$B:$B,'代理商-产品进销存'!$B7,'代理商-进货明细表'!$F:$F,'代理商-产品进销存'!$D7,'代理商-进货明细表'!$E:$E,"5月")+SUMIFS('代理商-进货明细表'!$I:$I,'代理商-进货明细表'!$B:$B,'代理商-产品进销存'!$B7,'代理商-进货明细表'!$F:$F,'代理商-产品进销存'!$D7,'代理商-进货明细表'!$E:$E,"6月"))/10000</f>
        <v>0</v>
      </c>
      <c r="T7" s="29">
        <f>(SUMIFS('代理商-进货明细表'!$I:$I,'代理商-进货明细表'!$B:$B,'代理商-产品进销存'!$B7,'代理商-进货明细表'!$F:$F,'代理商-产品进销存'!$D7,'代理商-进货明细表'!$E:$E,"7月")+SUMIFS('代理商-进货明细表'!$I:$I,'代理商-进货明细表'!$B:$B,'代理商-产品进销存'!$B7,'代理商-进货明细表'!$F:$F,'代理商-产品进销存'!$D7,'代理商-进货明细表'!$E:$E,"8月")+SUMIFS('代理商-进货明细表'!$I:$I,'代理商-进货明细表'!$B:$B,'代理商-产品进销存'!$B7,'代理商-进货明细表'!$F:$F,'代理商-产品进销存'!$D7,'代理商-进货明细表'!$E:$E,"9月"))/10000</f>
        <v>0</v>
      </c>
      <c r="U7" s="29">
        <f>(SUMIFS('代理商-进货明细表'!$I:$I,'代理商-进货明细表'!$B:$B,'代理商-产品进销存'!$B7,'代理商-进货明细表'!$F:$F,'代理商-产品进销存'!$D7,'代理商-进货明细表'!$E:$E,"10月")+SUMIFS('代理商-进货明细表'!$I:$I,'代理商-进货明细表'!$B:$B,'代理商-产品进销存'!$B7,'代理商-进货明细表'!$F:$F,'代理商-产品进销存'!$D7,'代理商-进货明细表'!$E:$E,"11月")+SUMIFS('代理商-进货明细表'!$I:$I,'代理商-进货明细表'!$B:$B,'代理商-产品进销存'!$B7,'代理商-进货明细表'!$F:$F,'代理商-产品进销存'!$D7,'代理商-进货明细表'!$E:$E,"12月"))/10000</f>
        <v>0</v>
      </c>
      <c r="V7" s="29">
        <f t="shared" si="7"/>
        <v>0</v>
      </c>
      <c r="W7" s="29">
        <f t="shared" si="8"/>
        <v>-100</v>
      </c>
      <c r="X7" s="29">
        <f t="shared" si="9"/>
        <v>0</v>
      </c>
      <c r="Y7" s="29">
        <f t="shared" si="10"/>
        <v>0</v>
      </c>
      <c r="Z7" s="29">
        <f t="shared" si="11"/>
        <v>0</v>
      </c>
      <c r="AA7" s="29">
        <f t="shared" si="12"/>
        <v>-100</v>
      </c>
    </row>
    <row r="8" spans="1:29" x14ac:dyDescent="0.3">
      <c r="A8" s="2" t="s">
        <v>163</v>
      </c>
      <c r="B8" s="2" t="s">
        <v>84</v>
      </c>
      <c r="D8" s="3" t="s">
        <v>15</v>
      </c>
      <c r="E8" s="3">
        <v>500</v>
      </c>
      <c r="F8" s="3">
        <v>10000</v>
      </c>
      <c r="G8" s="3">
        <f t="shared" si="1"/>
        <v>500</v>
      </c>
      <c r="H8" s="3">
        <f t="shared" si="2"/>
        <v>75</v>
      </c>
      <c r="I8" s="3">
        <f t="shared" si="3"/>
        <v>125</v>
      </c>
      <c r="J8" s="3">
        <f t="shared" si="4"/>
        <v>175</v>
      </c>
      <c r="K8" s="3">
        <f t="shared" si="5"/>
        <v>125</v>
      </c>
      <c r="L8" s="29">
        <f>(SUMIFS(终端客户销售统计表!$K:$K,终端客户销售统计表!$L:$L,$B8,终端客户销售统计表!$H:$H,$D8,终端客户销售统计表!$G:$G,"1月")+SUMIFS(终端客户销售统计表!$K:$K,终端客户销售统计表!$L:$L,$B8,终端客户销售统计表!$H:$H,$D8,终端客户销售统计表!$G:$G,"2月")+SUMIFS(终端客户销售统计表!$K:$K,终端客户销售统计表!$L:$L,$B8,终端客户销售统计表!$H:$H,$D8,终端客户销售统计表!$G:$G,"3月"))/10000</f>
        <v>0</v>
      </c>
      <c r="M8" s="29">
        <f>(SUMIFS(终端客户销售统计表!$K:$K,终端客户销售统计表!$L:$L,$B8,终端客户销售统计表!$H:$H,$D8,终端客户销售统计表!$G:$G,"4月")+SUMIFS(终端客户销售统计表!$K:$K,终端客户销售统计表!$L:$L,$B8,终端客户销售统计表!$H:$H,$D8,终端客户销售统计表!$G:$G,"5月")+SUMIFS(终端客户销售统计表!$K:$K,终端客户销售统计表!$L:$L,$B8,终端客户销售统计表!$H:$H,$D8,终端客户销售统计表!$G:$G,"6月"))/10000</f>
        <v>100</v>
      </c>
      <c r="N8" s="29">
        <f>(SUMIFS(终端客户销售统计表!$K:$K,终端客户销售统计表!$L:$L,$B8,终端客户销售统计表!$H:$H,$D8,终端客户销售统计表!$G:$G,"7月")+SUMIFS(终端客户销售统计表!$K:$K,终端客户销售统计表!$L:$L,$B8,终端客户销售统计表!$H:$H,$D8,终端客户销售统计表!$G:$G,"8月")+SUMIFS(终端客户销售统计表!$K:$K,终端客户销售统计表!$L:$L,$B8,终端客户销售统计表!$H:$H,$D8,终端客户销售统计表!$G:$G,"9月"))/10000</f>
        <v>0</v>
      </c>
      <c r="O8" s="29">
        <f>(SUMIFS(终端客户销售统计表!$K:$K,终端客户销售统计表!$L:$L,$B8,终端客户销售统计表!$H:$H,$D8,终端客户销售统计表!$G:$G,"10月")+SUMIFS(终端客户销售统计表!$K:$K,终端客户销售统计表!$L:$L,$B8,终端客户销售统计表!$H:$H,$D8,终端客户销售统计表!$G:$G,"11月")+SUMIFS(终端客户销售统计表!$K:$K,终端客户销售统计表!$L:$L,$B8,终端客户销售统计表!$H:$H,$D8,终端客户销售统计表!$G:$G,"12月"))/10000</f>
        <v>0</v>
      </c>
      <c r="P8" s="29">
        <f>SUM(L8:O8)</f>
        <v>100</v>
      </c>
      <c r="Q8" s="44">
        <f t="shared" si="6"/>
        <v>0.2</v>
      </c>
      <c r="R8" s="29">
        <f>(SUMIFS('代理商-进货明细表'!$I:$I,'代理商-进货明细表'!$B:$B,'代理商-产品进销存'!$B8,'代理商-进货明细表'!$F:$F,'代理商-产品进销存'!$D8,'代理商-进货明细表'!$E:$E,"1月")+SUMIFS('代理商-进货明细表'!$I:$I,'代理商-进货明细表'!$B:$B,'代理商-产品进销存'!$B8,'代理商-进货明细表'!$F:$F,'代理商-产品进销存'!$D8,'代理商-进货明细表'!$E:$E,"2月")+SUMIFS('代理商-进货明细表'!$I:$I,'代理商-进货明细表'!$B:$B,'代理商-产品进销存'!$B8,'代理商-进货明细表'!$F:$F,'代理商-产品进销存'!$D8,'代理商-进货明细表'!$E:$E,"3月"))/10000</f>
        <v>0</v>
      </c>
      <c r="S8" s="29">
        <f>(SUMIFS('代理商-进货明细表'!$I:$I,'代理商-进货明细表'!$B:$B,'代理商-产品进销存'!$B8,'代理商-进货明细表'!$F:$F,'代理商-产品进销存'!$D8,'代理商-进货明细表'!$E:$E,"4月")+SUMIFS('代理商-进货明细表'!$I:$I,'代理商-进货明细表'!$B:$B,'代理商-产品进销存'!$B8,'代理商-进货明细表'!$F:$F,'代理商-产品进销存'!$D8,'代理商-进货明细表'!$E:$E,"5月")+SUMIFS('代理商-进货明细表'!$I:$I,'代理商-进货明细表'!$B:$B,'代理商-产品进销存'!$B8,'代理商-进货明细表'!$F:$F,'代理商-产品进销存'!$D8,'代理商-进货明细表'!$E:$E,"6月"))/10000</f>
        <v>0</v>
      </c>
      <c r="T8" s="29">
        <f>(SUMIFS('代理商-进货明细表'!$I:$I,'代理商-进货明细表'!$B:$B,'代理商-产品进销存'!$B8,'代理商-进货明细表'!$F:$F,'代理商-产品进销存'!$D8,'代理商-进货明细表'!$E:$E,"7月")+SUMIFS('代理商-进货明细表'!$I:$I,'代理商-进货明细表'!$B:$B,'代理商-产品进销存'!$B8,'代理商-进货明细表'!$F:$F,'代理商-产品进销存'!$D8,'代理商-进货明细表'!$E:$E,"8月")+SUMIFS('代理商-进货明细表'!$I:$I,'代理商-进货明细表'!$B:$B,'代理商-产品进销存'!$B8,'代理商-进货明细表'!$F:$F,'代理商-产品进销存'!$D8,'代理商-进货明细表'!$E:$E,"9月"))/10000</f>
        <v>0</v>
      </c>
      <c r="U8" s="29">
        <f>(SUMIFS('代理商-进货明细表'!$I:$I,'代理商-进货明细表'!$B:$B,'代理商-产品进销存'!$B8,'代理商-进货明细表'!$F:$F,'代理商-产品进销存'!$D8,'代理商-进货明细表'!$E:$E,"10月")+SUMIFS('代理商-进货明细表'!$I:$I,'代理商-进货明细表'!$B:$B,'代理商-产品进销存'!$B8,'代理商-进货明细表'!$F:$F,'代理商-产品进销存'!$D8,'代理商-进货明细表'!$E:$E,"11月")+SUMIFS('代理商-进货明细表'!$I:$I,'代理商-进货明细表'!$B:$B,'代理商-产品进销存'!$B8,'代理商-进货明细表'!$F:$F,'代理商-产品进销存'!$D8,'代理商-进货明细表'!$E:$E,"12月"))/10000</f>
        <v>0</v>
      </c>
      <c r="V8" s="29">
        <f t="shared" si="7"/>
        <v>0</v>
      </c>
      <c r="W8" s="29">
        <f t="shared" si="8"/>
        <v>0</v>
      </c>
      <c r="X8" s="29">
        <f t="shared" si="9"/>
        <v>-100</v>
      </c>
      <c r="Y8" s="29">
        <f t="shared" si="10"/>
        <v>0</v>
      </c>
      <c r="Z8" s="29">
        <f t="shared" si="11"/>
        <v>0</v>
      </c>
      <c r="AA8" s="29">
        <f t="shared" si="12"/>
        <v>-100</v>
      </c>
    </row>
    <row r="9" spans="1:29" x14ac:dyDescent="0.3">
      <c r="A9" s="2" t="s">
        <v>163</v>
      </c>
      <c r="B9" s="2" t="s">
        <v>84</v>
      </c>
      <c r="D9" s="3" t="s">
        <v>16</v>
      </c>
      <c r="E9" s="3">
        <v>500</v>
      </c>
      <c r="F9" s="3">
        <v>10000</v>
      </c>
      <c r="G9" s="3">
        <f t="shared" si="1"/>
        <v>500</v>
      </c>
      <c r="H9" s="3">
        <f t="shared" si="2"/>
        <v>75</v>
      </c>
      <c r="I9" s="3">
        <f t="shared" si="3"/>
        <v>125</v>
      </c>
      <c r="J9" s="3">
        <f t="shared" si="4"/>
        <v>175</v>
      </c>
      <c r="K9" s="3">
        <f t="shared" si="5"/>
        <v>125</v>
      </c>
      <c r="L9" s="29">
        <f>(SUMIFS(终端客户销售统计表!$K:$K,终端客户销售统计表!$L:$L,$B9,终端客户销售统计表!$H:$H,$D9,终端客户销售统计表!$G:$G,"1月")+SUMIFS(终端客户销售统计表!$K:$K,终端客户销售统计表!$L:$L,$B9,终端客户销售统计表!$H:$H,$D9,终端客户销售统计表!$G:$G,"2月")+SUMIFS(终端客户销售统计表!$K:$K,终端客户销售统计表!$L:$L,$B9,终端客户销售统计表!$H:$H,$D9,终端客户销售统计表!$G:$G,"3月"))/10000</f>
        <v>0</v>
      </c>
      <c r="M9" s="29">
        <f>(SUMIFS(终端客户销售统计表!$K:$K,终端客户销售统计表!$L:$L,$B9,终端客户销售统计表!$H:$H,$D9,终端客户销售统计表!$G:$G,"4月")+SUMIFS(终端客户销售统计表!$K:$K,终端客户销售统计表!$L:$L,$B9,终端客户销售统计表!$H:$H,$D9,终端客户销售统计表!$G:$G,"5月")+SUMIFS(终端客户销售统计表!$K:$K,终端客户销售统计表!$L:$L,$B9,终端客户销售统计表!$H:$H,$D9,终端客户销售统计表!$G:$G,"6月"))/10000</f>
        <v>0</v>
      </c>
      <c r="N9" s="29">
        <f>(SUMIFS(终端客户销售统计表!$K:$K,终端客户销售统计表!$L:$L,$B9,终端客户销售统计表!$H:$H,$D9,终端客户销售统计表!$G:$G,"7月")+SUMIFS(终端客户销售统计表!$K:$K,终端客户销售统计表!$L:$L,$B9,终端客户销售统计表!$H:$H,$D9,终端客户销售统计表!$G:$G,"8月")+SUMIFS(终端客户销售统计表!$K:$K,终端客户销售统计表!$L:$L,$B9,终端客户销售统计表!$H:$H,$D9,终端客户销售统计表!$G:$G,"9月"))/10000</f>
        <v>100</v>
      </c>
      <c r="O9" s="29">
        <f>(SUMIFS(终端客户销售统计表!$K:$K,终端客户销售统计表!$L:$L,$B9,终端客户销售统计表!$H:$H,$D9,终端客户销售统计表!$G:$G,"10月")+SUMIFS(终端客户销售统计表!$K:$K,终端客户销售统计表!$L:$L,$B9,终端客户销售统计表!$H:$H,$D9,终端客户销售统计表!$G:$G,"11月")+SUMIFS(终端客户销售统计表!$K:$K,终端客户销售统计表!$L:$L,$B9,终端客户销售统计表!$H:$H,$D9,终端客户销售统计表!$G:$G,"12月"))/10000</f>
        <v>0</v>
      </c>
      <c r="P9" s="29">
        <f>SUM(L9:O9)</f>
        <v>100</v>
      </c>
      <c r="Q9" s="44">
        <f t="shared" si="6"/>
        <v>0.2</v>
      </c>
      <c r="R9" s="29">
        <f>(SUMIFS('代理商-进货明细表'!$I:$I,'代理商-进货明细表'!$B:$B,'代理商-产品进销存'!$B9,'代理商-进货明细表'!$F:$F,'代理商-产品进销存'!$D9,'代理商-进货明细表'!$E:$E,"1月")+SUMIFS('代理商-进货明细表'!$I:$I,'代理商-进货明细表'!$B:$B,'代理商-产品进销存'!$B9,'代理商-进货明细表'!$F:$F,'代理商-产品进销存'!$D9,'代理商-进货明细表'!$E:$E,"2月")+SUMIFS('代理商-进货明细表'!$I:$I,'代理商-进货明细表'!$B:$B,'代理商-产品进销存'!$B9,'代理商-进货明细表'!$F:$F,'代理商-产品进销存'!$D9,'代理商-进货明细表'!$E:$E,"3月"))/10000</f>
        <v>0</v>
      </c>
      <c r="S9" s="29">
        <f>(SUMIFS('代理商-进货明细表'!$I:$I,'代理商-进货明细表'!$B:$B,'代理商-产品进销存'!$B9,'代理商-进货明细表'!$F:$F,'代理商-产品进销存'!$D9,'代理商-进货明细表'!$E:$E,"4月")+SUMIFS('代理商-进货明细表'!$I:$I,'代理商-进货明细表'!$B:$B,'代理商-产品进销存'!$B9,'代理商-进货明细表'!$F:$F,'代理商-产品进销存'!$D9,'代理商-进货明细表'!$E:$E,"5月")+SUMIFS('代理商-进货明细表'!$I:$I,'代理商-进货明细表'!$B:$B,'代理商-产品进销存'!$B9,'代理商-进货明细表'!$F:$F,'代理商-产品进销存'!$D9,'代理商-进货明细表'!$E:$E,"6月"))/10000</f>
        <v>0</v>
      </c>
      <c r="T9" s="29">
        <f>(SUMIFS('代理商-进货明细表'!$I:$I,'代理商-进货明细表'!$B:$B,'代理商-产品进销存'!$B9,'代理商-进货明细表'!$F:$F,'代理商-产品进销存'!$D9,'代理商-进货明细表'!$E:$E,"7月")+SUMIFS('代理商-进货明细表'!$I:$I,'代理商-进货明细表'!$B:$B,'代理商-产品进销存'!$B9,'代理商-进货明细表'!$F:$F,'代理商-产品进销存'!$D9,'代理商-进货明细表'!$E:$E,"8月")+SUMIFS('代理商-进货明细表'!$I:$I,'代理商-进货明细表'!$B:$B,'代理商-产品进销存'!$B9,'代理商-进货明细表'!$F:$F,'代理商-产品进销存'!$D9,'代理商-进货明细表'!$E:$E,"9月"))/10000</f>
        <v>0</v>
      </c>
      <c r="U9" s="29">
        <f>(SUMIFS('代理商-进货明细表'!$I:$I,'代理商-进货明细表'!$B:$B,'代理商-产品进销存'!$B9,'代理商-进货明细表'!$F:$F,'代理商-产品进销存'!$D9,'代理商-进货明细表'!$E:$E,"10月")+SUMIFS('代理商-进货明细表'!$I:$I,'代理商-进货明细表'!$B:$B,'代理商-产品进销存'!$B9,'代理商-进货明细表'!$F:$F,'代理商-产品进销存'!$D9,'代理商-进货明细表'!$E:$E,"11月")+SUMIFS('代理商-进货明细表'!$I:$I,'代理商-进货明细表'!$B:$B,'代理商-产品进销存'!$B9,'代理商-进货明细表'!$F:$F,'代理商-产品进销存'!$D9,'代理商-进货明细表'!$E:$E,"12月"))/10000</f>
        <v>0</v>
      </c>
      <c r="V9" s="29">
        <f t="shared" si="7"/>
        <v>0</v>
      </c>
      <c r="W9" s="29">
        <f t="shared" si="8"/>
        <v>0</v>
      </c>
      <c r="X9" s="29">
        <f t="shared" si="9"/>
        <v>0</v>
      </c>
      <c r="Y9" s="29">
        <f t="shared" si="10"/>
        <v>-100</v>
      </c>
      <c r="Z9" s="29">
        <f t="shared" si="11"/>
        <v>0</v>
      </c>
      <c r="AA9" s="29">
        <f t="shared" si="12"/>
        <v>-100</v>
      </c>
    </row>
    <row r="10" spans="1:29" x14ac:dyDescent="0.3">
      <c r="A10" s="2" t="s">
        <v>163</v>
      </c>
      <c r="B10" s="2" t="s">
        <v>84</v>
      </c>
      <c r="D10" s="3" t="s">
        <v>17</v>
      </c>
      <c r="E10" s="3">
        <v>500</v>
      </c>
      <c r="F10" s="3">
        <v>10000</v>
      </c>
      <c r="G10" s="3">
        <f t="shared" si="1"/>
        <v>500</v>
      </c>
      <c r="H10" s="3">
        <f t="shared" si="2"/>
        <v>75</v>
      </c>
      <c r="I10" s="3">
        <f t="shared" si="3"/>
        <v>125</v>
      </c>
      <c r="J10" s="3">
        <f t="shared" si="4"/>
        <v>175</v>
      </c>
      <c r="K10" s="3">
        <f t="shared" si="5"/>
        <v>125</v>
      </c>
      <c r="L10" s="29">
        <f>(SUMIFS(终端客户销售统计表!$K:$K,终端客户销售统计表!$L:$L,$B10,终端客户销售统计表!$H:$H,$D10,终端客户销售统计表!$G:$G,"1月")+SUMIFS(终端客户销售统计表!$K:$K,终端客户销售统计表!$L:$L,$B10,终端客户销售统计表!$H:$H,$D10,终端客户销售统计表!$G:$G,"2月")+SUMIFS(终端客户销售统计表!$K:$K,终端客户销售统计表!$L:$L,$B10,终端客户销售统计表!$H:$H,$D10,终端客户销售统计表!$G:$G,"3月"))/10000</f>
        <v>0</v>
      </c>
      <c r="M10" s="29">
        <f>(SUMIFS(终端客户销售统计表!$K:$K,终端客户销售统计表!$L:$L,$B10,终端客户销售统计表!$H:$H,$D10,终端客户销售统计表!$G:$G,"4月")+SUMIFS(终端客户销售统计表!$K:$K,终端客户销售统计表!$L:$L,$B10,终端客户销售统计表!$H:$H,$D10,终端客户销售统计表!$G:$G,"5月")+SUMIFS(终端客户销售统计表!$K:$K,终端客户销售统计表!$L:$L,$B10,终端客户销售统计表!$H:$H,$D10,终端客户销售统计表!$G:$G,"6月"))/10000</f>
        <v>0</v>
      </c>
      <c r="N10" s="29">
        <f>(SUMIFS(终端客户销售统计表!$K:$K,终端客户销售统计表!$L:$L,$B10,终端客户销售统计表!$H:$H,$D10,终端客户销售统计表!$G:$G,"7月")+SUMIFS(终端客户销售统计表!$K:$K,终端客户销售统计表!$L:$L,$B10,终端客户销售统计表!$H:$H,$D10,终端客户销售统计表!$G:$G,"8月")+SUMIFS(终端客户销售统计表!$K:$K,终端客户销售统计表!$L:$L,$B10,终端客户销售统计表!$H:$H,$D10,终端客户销售统计表!$G:$G,"9月"))/10000</f>
        <v>0</v>
      </c>
      <c r="O10" s="29">
        <f>(SUMIFS(终端客户销售统计表!$K:$K,终端客户销售统计表!$L:$L,$B10,终端客户销售统计表!$H:$H,$D10,终端客户销售统计表!$G:$G,"10月")+SUMIFS(终端客户销售统计表!$K:$K,终端客户销售统计表!$L:$L,$B10,终端客户销售统计表!$H:$H,$D10,终端客户销售统计表!$G:$G,"11月")+SUMIFS(终端客户销售统计表!$K:$K,终端客户销售统计表!$L:$L,$B10,终端客户销售统计表!$H:$H,$D10,终端客户销售统计表!$G:$G,"12月"))/10000</f>
        <v>100</v>
      </c>
      <c r="P10" s="29">
        <f>SUM(L10:O10)</f>
        <v>100</v>
      </c>
      <c r="Q10" s="44">
        <f t="shared" si="6"/>
        <v>0.2</v>
      </c>
      <c r="R10" s="29">
        <f>(SUMIFS('代理商-进货明细表'!$I:$I,'代理商-进货明细表'!$B:$B,'代理商-产品进销存'!$B10,'代理商-进货明细表'!$F:$F,'代理商-产品进销存'!$D10,'代理商-进货明细表'!$E:$E,"1月")+SUMIFS('代理商-进货明细表'!$I:$I,'代理商-进货明细表'!$B:$B,'代理商-产品进销存'!$B10,'代理商-进货明细表'!$F:$F,'代理商-产品进销存'!$D10,'代理商-进货明细表'!$E:$E,"2月")+SUMIFS('代理商-进货明细表'!$I:$I,'代理商-进货明细表'!$B:$B,'代理商-产品进销存'!$B10,'代理商-进货明细表'!$F:$F,'代理商-产品进销存'!$D10,'代理商-进货明细表'!$E:$E,"3月"))/10000</f>
        <v>0</v>
      </c>
      <c r="S10" s="29">
        <f>(SUMIFS('代理商-进货明细表'!$I:$I,'代理商-进货明细表'!$B:$B,'代理商-产品进销存'!$B10,'代理商-进货明细表'!$F:$F,'代理商-产品进销存'!$D10,'代理商-进货明细表'!$E:$E,"4月")+SUMIFS('代理商-进货明细表'!$I:$I,'代理商-进货明细表'!$B:$B,'代理商-产品进销存'!$B10,'代理商-进货明细表'!$F:$F,'代理商-产品进销存'!$D10,'代理商-进货明细表'!$E:$E,"5月")+SUMIFS('代理商-进货明细表'!$I:$I,'代理商-进货明细表'!$B:$B,'代理商-产品进销存'!$B10,'代理商-进货明细表'!$F:$F,'代理商-产品进销存'!$D10,'代理商-进货明细表'!$E:$E,"6月"))/10000</f>
        <v>0</v>
      </c>
      <c r="T10" s="29">
        <f>(SUMIFS('代理商-进货明细表'!$I:$I,'代理商-进货明细表'!$B:$B,'代理商-产品进销存'!$B10,'代理商-进货明细表'!$F:$F,'代理商-产品进销存'!$D10,'代理商-进货明细表'!$E:$E,"7月")+SUMIFS('代理商-进货明细表'!$I:$I,'代理商-进货明细表'!$B:$B,'代理商-产品进销存'!$B10,'代理商-进货明细表'!$F:$F,'代理商-产品进销存'!$D10,'代理商-进货明细表'!$E:$E,"8月")+SUMIFS('代理商-进货明细表'!$I:$I,'代理商-进货明细表'!$B:$B,'代理商-产品进销存'!$B10,'代理商-进货明细表'!$F:$F,'代理商-产品进销存'!$D10,'代理商-进货明细表'!$E:$E,"9月"))/10000</f>
        <v>0</v>
      </c>
      <c r="U10" s="29">
        <f>(SUMIFS('代理商-进货明细表'!$I:$I,'代理商-进货明细表'!$B:$B,'代理商-产品进销存'!$B10,'代理商-进货明细表'!$F:$F,'代理商-产品进销存'!$D10,'代理商-进货明细表'!$E:$E,"10月")+SUMIFS('代理商-进货明细表'!$I:$I,'代理商-进货明细表'!$B:$B,'代理商-产品进销存'!$B10,'代理商-进货明细表'!$F:$F,'代理商-产品进销存'!$D10,'代理商-进货明细表'!$E:$E,"11月")+SUMIFS('代理商-进货明细表'!$I:$I,'代理商-进货明细表'!$B:$B,'代理商-产品进销存'!$B10,'代理商-进货明细表'!$F:$F,'代理商-产品进销存'!$D10,'代理商-进货明细表'!$E:$E,"12月"))/10000</f>
        <v>0</v>
      </c>
      <c r="V10" s="29">
        <f t="shared" si="7"/>
        <v>0</v>
      </c>
      <c r="W10" s="29">
        <f t="shared" si="8"/>
        <v>0</v>
      </c>
      <c r="X10" s="29">
        <f t="shared" si="9"/>
        <v>0</v>
      </c>
      <c r="Y10" s="29">
        <f t="shared" si="10"/>
        <v>0</v>
      </c>
      <c r="Z10" s="29">
        <f t="shared" si="11"/>
        <v>-100</v>
      </c>
      <c r="AA10" s="29">
        <f t="shared" si="12"/>
        <v>-100</v>
      </c>
    </row>
    <row r="11" spans="1:29" x14ac:dyDescent="0.3">
      <c r="A11" s="2" t="s">
        <v>33</v>
      </c>
      <c r="B11" s="2" t="s">
        <v>85</v>
      </c>
      <c r="D11" s="3" t="s">
        <v>14</v>
      </c>
      <c r="E11" s="3">
        <v>500</v>
      </c>
      <c r="F11" s="3">
        <v>10000</v>
      </c>
      <c r="G11" s="3">
        <f t="shared" si="1"/>
        <v>500</v>
      </c>
      <c r="H11" s="3">
        <f t="shared" si="2"/>
        <v>75</v>
      </c>
      <c r="I11" s="3">
        <f t="shared" si="3"/>
        <v>125</v>
      </c>
      <c r="J11" s="3">
        <f t="shared" si="4"/>
        <v>175</v>
      </c>
      <c r="K11" s="3">
        <f t="shared" si="5"/>
        <v>125</v>
      </c>
      <c r="L11" s="29">
        <f>(SUMIFS(终端客户销售统计表!$K:$K,终端客户销售统计表!$L:$L,$B11,终端客户销售统计表!$H:$H,$D11,终端客户销售统计表!$G:$G,"1月")+SUMIFS(终端客户销售统计表!$K:$K,终端客户销售统计表!$L:$L,$B11,终端客户销售统计表!$H:$H,$D11,终端客户销售统计表!$G:$G,"2月")+SUMIFS(终端客户销售统计表!$K:$K,终端客户销售统计表!$L:$L,$B11,终端客户销售统计表!$H:$H,$D11,终端客户销售统计表!$G:$G,"3月"))/10000</f>
        <v>100</v>
      </c>
      <c r="M11" s="29">
        <f>(SUMIFS(终端客户销售统计表!$K:$K,终端客户销售统计表!$L:$L,$B11,终端客户销售统计表!$H:$H,$D11,终端客户销售统计表!$G:$G,"4月")+SUMIFS(终端客户销售统计表!$K:$K,终端客户销售统计表!$L:$L,$B11,终端客户销售统计表!$H:$H,$D11,终端客户销售统计表!$G:$G,"5月")+SUMIFS(终端客户销售统计表!$K:$K,终端客户销售统计表!$L:$L,$B11,终端客户销售统计表!$H:$H,$D11,终端客户销售统计表!$G:$G,"6月"))/10000</f>
        <v>0</v>
      </c>
      <c r="N11" s="29">
        <f>(SUMIFS(终端客户销售统计表!$K:$K,终端客户销售统计表!$L:$L,$B11,终端客户销售统计表!$H:$H,$D11,终端客户销售统计表!$G:$G,"7月")+SUMIFS(终端客户销售统计表!$K:$K,终端客户销售统计表!$L:$L,$B11,终端客户销售统计表!$H:$H,$D11,终端客户销售统计表!$G:$G,"8月")+SUMIFS(终端客户销售统计表!$K:$K,终端客户销售统计表!$L:$L,$B11,终端客户销售统计表!$H:$H,$D11,终端客户销售统计表!$G:$G,"9月"))/10000</f>
        <v>0</v>
      </c>
      <c r="O11" s="29">
        <f>(SUMIFS(终端客户销售统计表!$K:$K,终端客户销售统计表!$L:$L,$B11,终端客户销售统计表!$H:$H,$D11,终端客户销售统计表!$G:$G,"10月")+SUMIFS(终端客户销售统计表!$K:$K,终端客户销售统计表!$L:$L,$B11,终端客户销售统计表!$H:$H,$D11,终端客户销售统计表!$G:$G,"11月")+SUMIFS(终端客户销售统计表!$K:$K,终端客户销售统计表!$L:$L,$B11,终端客户销售统计表!$H:$H,$D11,终端客户销售统计表!$G:$G,"12月"))/10000</f>
        <v>0</v>
      </c>
      <c r="P11" s="29">
        <f>SUM(L11:O11)</f>
        <v>100</v>
      </c>
      <c r="Q11" s="44">
        <f t="shared" si="6"/>
        <v>0.2</v>
      </c>
      <c r="R11" s="29">
        <f>(SUMIFS('代理商-进货明细表'!$I:$I,'代理商-进货明细表'!$B:$B,'代理商-产品进销存'!$B11,'代理商-进货明细表'!$F:$F,'代理商-产品进销存'!$D11,'代理商-进货明细表'!$E:$E,"1月")+SUMIFS('代理商-进货明细表'!$I:$I,'代理商-进货明细表'!$B:$B,'代理商-产品进销存'!$B11,'代理商-进货明细表'!$F:$F,'代理商-产品进销存'!$D11,'代理商-进货明细表'!$E:$E,"2月")+SUMIFS('代理商-进货明细表'!$I:$I,'代理商-进货明细表'!$B:$B,'代理商-产品进销存'!$B11,'代理商-进货明细表'!$F:$F,'代理商-产品进销存'!$D11,'代理商-进货明细表'!$E:$E,"3月"))/10000</f>
        <v>0</v>
      </c>
      <c r="S11" s="29">
        <f>(SUMIFS('代理商-进货明细表'!$I:$I,'代理商-进货明细表'!$B:$B,'代理商-产品进销存'!$B11,'代理商-进货明细表'!$F:$F,'代理商-产品进销存'!$D11,'代理商-进货明细表'!$E:$E,"4月")+SUMIFS('代理商-进货明细表'!$I:$I,'代理商-进货明细表'!$B:$B,'代理商-产品进销存'!$B11,'代理商-进货明细表'!$F:$F,'代理商-产品进销存'!$D11,'代理商-进货明细表'!$E:$E,"5月")+SUMIFS('代理商-进货明细表'!$I:$I,'代理商-进货明细表'!$B:$B,'代理商-产品进销存'!$B11,'代理商-进货明细表'!$F:$F,'代理商-产品进销存'!$D11,'代理商-进货明细表'!$E:$E,"6月"))/10000</f>
        <v>0</v>
      </c>
      <c r="T11" s="29">
        <f>(SUMIFS('代理商-进货明细表'!$I:$I,'代理商-进货明细表'!$B:$B,'代理商-产品进销存'!$B11,'代理商-进货明细表'!$F:$F,'代理商-产品进销存'!$D11,'代理商-进货明细表'!$E:$E,"7月")+SUMIFS('代理商-进货明细表'!$I:$I,'代理商-进货明细表'!$B:$B,'代理商-产品进销存'!$B11,'代理商-进货明细表'!$F:$F,'代理商-产品进销存'!$D11,'代理商-进货明细表'!$E:$E,"8月")+SUMIFS('代理商-进货明细表'!$I:$I,'代理商-进货明细表'!$B:$B,'代理商-产品进销存'!$B11,'代理商-进货明细表'!$F:$F,'代理商-产品进销存'!$D11,'代理商-进货明细表'!$E:$E,"9月"))/10000</f>
        <v>0</v>
      </c>
      <c r="U11" s="29">
        <f>(SUMIFS('代理商-进货明细表'!$I:$I,'代理商-进货明细表'!$B:$B,'代理商-产品进销存'!$B11,'代理商-进货明细表'!$F:$F,'代理商-产品进销存'!$D11,'代理商-进货明细表'!$E:$E,"10月")+SUMIFS('代理商-进货明细表'!$I:$I,'代理商-进货明细表'!$B:$B,'代理商-产品进销存'!$B11,'代理商-进货明细表'!$F:$F,'代理商-产品进销存'!$D11,'代理商-进货明细表'!$E:$E,"11月")+SUMIFS('代理商-进货明细表'!$I:$I,'代理商-进货明细表'!$B:$B,'代理商-产品进销存'!$B11,'代理商-进货明细表'!$F:$F,'代理商-产品进销存'!$D11,'代理商-进货明细表'!$E:$E,"12月"))/10000</f>
        <v>0</v>
      </c>
      <c r="V11" s="29">
        <f t="shared" si="7"/>
        <v>0</v>
      </c>
      <c r="W11" s="29">
        <f t="shared" si="8"/>
        <v>-100</v>
      </c>
      <c r="X11" s="29">
        <f t="shared" si="9"/>
        <v>0</v>
      </c>
      <c r="Y11" s="29">
        <f t="shared" si="10"/>
        <v>0</v>
      </c>
      <c r="Z11" s="29">
        <f t="shared" si="11"/>
        <v>0</v>
      </c>
      <c r="AA11" s="29">
        <f t="shared" si="12"/>
        <v>-100</v>
      </c>
    </row>
    <row r="12" spans="1:29" x14ac:dyDescent="0.3">
      <c r="A12" s="2" t="s">
        <v>33</v>
      </c>
      <c r="B12" s="2" t="s">
        <v>85</v>
      </c>
      <c r="D12" s="3" t="s">
        <v>15</v>
      </c>
      <c r="E12" s="3">
        <v>500</v>
      </c>
      <c r="F12" s="3">
        <v>10000</v>
      </c>
      <c r="G12" s="3">
        <f t="shared" si="1"/>
        <v>500</v>
      </c>
      <c r="H12" s="3">
        <f t="shared" si="2"/>
        <v>75</v>
      </c>
      <c r="I12" s="3">
        <f t="shared" si="3"/>
        <v>125</v>
      </c>
      <c r="J12" s="3">
        <f t="shared" si="4"/>
        <v>175</v>
      </c>
      <c r="K12" s="3">
        <f t="shared" si="5"/>
        <v>125</v>
      </c>
      <c r="L12" s="29">
        <f>(SUMIFS(终端客户销售统计表!$K:$K,终端客户销售统计表!$L:$L,$B12,终端客户销售统计表!$H:$H,$D12,终端客户销售统计表!$G:$G,"1月")+SUMIFS(终端客户销售统计表!$K:$K,终端客户销售统计表!$L:$L,$B12,终端客户销售统计表!$H:$H,$D12,终端客户销售统计表!$G:$G,"2月")+SUMIFS(终端客户销售统计表!$K:$K,终端客户销售统计表!$L:$L,$B12,终端客户销售统计表!$H:$H,$D12,终端客户销售统计表!$G:$G,"3月"))/10000</f>
        <v>0</v>
      </c>
      <c r="M12" s="29">
        <f>(SUMIFS(终端客户销售统计表!$K:$K,终端客户销售统计表!$L:$L,$B12,终端客户销售统计表!$H:$H,$D12,终端客户销售统计表!$G:$G,"4月")+SUMIFS(终端客户销售统计表!$K:$K,终端客户销售统计表!$L:$L,$B12,终端客户销售统计表!$H:$H,$D12,终端客户销售统计表!$G:$G,"5月")+SUMIFS(终端客户销售统计表!$K:$K,终端客户销售统计表!$L:$L,$B12,终端客户销售统计表!$H:$H,$D12,终端客户销售统计表!$G:$G,"6月"))/10000</f>
        <v>100</v>
      </c>
      <c r="N12" s="29">
        <f>(SUMIFS(终端客户销售统计表!$K:$K,终端客户销售统计表!$L:$L,$B12,终端客户销售统计表!$H:$H,$D12,终端客户销售统计表!$G:$G,"7月")+SUMIFS(终端客户销售统计表!$K:$K,终端客户销售统计表!$L:$L,$B12,终端客户销售统计表!$H:$H,$D12,终端客户销售统计表!$G:$G,"8月")+SUMIFS(终端客户销售统计表!$K:$K,终端客户销售统计表!$L:$L,$B12,终端客户销售统计表!$H:$H,$D12,终端客户销售统计表!$G:$G,"9月"))/10000</f>
        <v>0</v>
      </c>
      <c r="O12" s="29">
        <f>(SUMIFS(终端客户销售统计表!$K:$K,终端客户销售统计表!$L:$L,$B12,终端客户销售统计表!$H:$H,$D12,终端客户销售统计表!$G:$G,"10月")+SUMIFS(终端客户销售统计表!$K:$K,终端客户销售统计表!$L:$L,$B12,终端客户销售统计表!$H:$H,$D12,终端客户销售统计表!$G:$G,"11月")+SUMIFS(终端客户销售统计表!$K:$K,终端客户销售统计表!$L:$L,$B12,终端客户销售统计表!$H:$H,$D12,终端客户销售统计表!$G:$G,"12月"))/10000</f>
        <v>0</v>
      </c>
      <c r="P12" s="29">
        <f>SUM(L12:O12)</f>
        <v>100</v>
      </c>
      <c r="Q12" s="44">
        <f t="shared" si="6"/>
        <v>0.2</v>
      </c>
      <c r="R12" s="29">
        <f>(SUMIFS('代理商-进货明细表'!$I:$I,'代理商-进货明细表'!$B:$B,'代理商-产品进销存'!$B12,'代理商-进货明细表'!$F:$F,'代理商-产品进销存'!$D12,'代理商-进货明细表'!$E:$E,"1月")+SUMIFS('代理商-进货明细表'!$I:$I,'代理商-进货明细表'!$B:$B,'代理商-产品进销存'!$B12,'代理商-进货明细表'!$F:$F,'代理商-产品进销存'!$D12,'代理商-进货明细表'!$E:$E,"2月")+SUMIFS('代理商-进货明细表'!$I:$I,'代理商-进货明细表'!$B:$B,'代理商-产品进销存'!$B12,'代理商-进货明细表'!$F:$F,'代理商-产品进销存'!$D12,'代理商-进货明细表'!$E:$E,"3月"))/10000</f>
        <v>0</v>
      </c>
      <c r="S12" s="29">
        <f>(SUMIFS('代理商-进货明细表'!$I:$I,'代理商-进货明细表'!$B:$B,'代理商-产品进销存'!$B12,'代理商-进货明细表'!$F:$F,'代理商-产品进销存'!$D12,'代理商-进货明细表'!$E:$E,"4月")+SUMIFS('代理商-进货明细表'!$I:$I,'代理商-进货明细表'!$B:$B,'代理商-产品进销存'!$B12,'代理商-进货明细表'!$F:$F,'代理商-产品进销存'!$D12,'代理商-进货明细表'!$E:$E,"5月")+SUMIFS('代理商-进货明细表'!$I:$I,'代理商-进货明细表'!$B:$B,'代理商-产品进销存'!$B12,'代理商-进货明细表'!$F:$F,'代理商-产品进销存'!$D12,'代理商-进货明细表'!$E:$E,"6月"))/10000</f>
        <v>0</v>
      </c>
      <c r="T12" s="29">
        <f>(SUMIFS('代理商-进货明细表'!$I:$I,'代理商-进货明细表'!$B:$B,'代理商-产品进销存'!$B12,'代理商-进货明细表'!$F:$F,'代理商-产品进销存'!$D12,'代理商-进货明细表'!$E:$E,"7月")+SUMIFS('代理商-进货明细表'!$I:$I,'代理商-进货明细表'!$B:$B,'代理商-产品进销存'!$B12,'代理商-进货明细表'!$F:$F,'代理商-产品进销存'!$D12,'代理商-进货明细表'!$E:$E,"8月")+SUMIFS('代理商-进货明细表'!$I:$I,'代理商-进货明细表'!$B:$B,'代理商-产品进销存'!$B12,'代理商-进货明细表'!$F:$F,'代理商-产品进销存'!$D12,'代理商-进货明细表'!$E:$E,"9月"))/10000</f>
        <v>0</v>
      </c>
      <c r="U12" s="29">
        <f>(SUMIFS('代理商-进货明细表'!$I:$I,'代理商-进货明细表'!$B:$B,'代理商-产品进销存'!$B12,'代理商-进货明细表'!$F:$F,'代理商-产品进销存'!$D12,'代理商-进货明细表'!$E:$E,"10月")+SUMIFS('代理商-进货明细表'!$I:$I,'代理商-进货明细表'!$B:$B,'代理商-产品进销存'!$B12,'代理商-进货明细表'!$F:$F,'代理商-产品进销存'!$D12,'代理商-进货明细表'!$E:$E,"11月")+SUMIFS('代理商-进货明细表'!$I:$I,'代理商-进货明细表'!$B:$B,'代理商-产品进销存'!$B12,'代理商-进货明细表'!$F:$F,'代理商-产品进销存'!$D12,'代理商-进货明细表'!$E:$E,"12月"))/10000</f>
        <v>0</v>
      </c>
      <c r="V12" s="29">
        <f t="shared" si="7"/>
        <v>0</v>
      </c>
      <c r="W12" s="29">
        <f t="shared" si="8"/>
        <v>0</v>
      </c>
      <c r="X12" s="29">
        <f t="shared" si="9"/>
        <v>-100</v>
      </c>
      <c r="Y12" s="29">
        <f t="shared" si="10"/>
        <v>0</v>
      </c>
      <c r="Z12" s="29">
        <f t="shared" si="11"/>
        <v>0</v>
      </c>
      <c r="AA12" s="29">
        <f t="shared" si="12"/>
        <v>-100</v>
      </c>
    </row>
    <row r="13" spans="1:29" x14ac:dyDescent="0.3">
      <c r="A13" s="2" t="s">
        <v>33</v>
      </c>
      <c r="B13" s="2" t="s">
        <v>85</v>
      </c>
      <c r="D13" s="3" t="s">
        <v>16</v>
      </c>
      <c r="E13" s="3">
        <v>500</v>
      </c>
      <c r="F13" s="3">
        <v>10000</v>
      </c>
      <c r="G13" s="3">
        <f t="shared" si="1"/>
        <v>500</v>
      </c>
      <c r="H13" s="3">
        <f t="shared" si="2"/>
        <v>75</v>
      </c>
      <c r="I13" s="3">
        <f t="shared" si="3"/>
        <v>125</v>
      </c>
      <c r="J13" s="3">
        <f t="shared" si="4"/>
        <v>175</v>
      </c>
      <c r="K13" s="3">
        <f t="shared" si="5"/>
        <v>125</v>
      </c>
      <c r="L13" s="29">
        <f>(SUMIFS(终端客户销售统计表!$K:$K,终端客户销售统计表!$L:$L,$B13,终端客户销售统计表!$H:$H,$D13,终端客户销售统计表!$G:$G,"1月")+SUMIFS(终端客户销售统计表!$K:$K,终端客户销售统计表!$L:$L,$B13,终端客户销售统计表!$H:$H,$D13,终端客户销售统计表!$G:$G,"2月")+SUMIFS(终端客户销售统计表!$K:$K,终端客户销售统计表!$L:$L,$B13,终端客户销售统计表!$H:$H,$D13,终端客户销售统计表!$G:$G,"3月"))/10000</f>
        <v>0</v>
      </c>
      <c r="M13" s="29">
        <f>(SUMIFS(终端客户销售统计表!$K:$K,终端客户销售统计表!$L:$L,$B13,终端客户销售统计表!$H:$H,$D13,终端客户销售统计表!$G:$G,"4月")+SUMIFS(终端客户销售统计表!$K:$K,终端客户销售统计表!$L:$L,$B13,终端客户销售统计表!$H:$H,$D13,终端客户销售统计表!$G:$G,"5月")+SUMIFS(终端客户销售统计表!$K:$K,终端客户销售统计表!$L:$L,$B13,终端客户销售统计表!$H:$H,$D13,终端客户销售统计表!$G:$G,"6月"))/10000</f>
        <v>0</v>
      </c>
      <c r="N13" s="29">
        <f>(SUMIFS(终端客户销售统计表!$K:$K,终端客户销售统计表!$L:$L,$B13,终端客户销售统计表!$H:$H,$D13,终端客户销售统计表!$G:$G,"7月")+SUMIFS(终端客户销售统计表!$K:$K,终端客户销售统计表!$L:$L,$B13,终端客户销售统计表!$H:$H,$D13,终端客户销售统计表!$G:$G,"8月")+SUMIFS(终端客户销售统计表!$K:$K,终端客户销售统计表!$L:$L,$B13,终端客户销售统计表!$H:$H,$D13,终端客户销售统计表!$G:$G,"9月"))/10000</f>
        <v>100</v>
      </c>
      <c r="O13" s="29">
        <f>(SUMIFS(终端客户销售统计表!$K:$K,终端客户销售统计表!$L:$L,$B13,终端客户销售统计表!$H:$H,$D13,终端客户销售统计表!$G:$G,"10月")+SUMIFS(终端客户销售统计表!$K:$K,终端客户销售统计表!$L:$L,$B13,终端客户销售统计表!$H:$H,$D13,终端客户销售统计表!$G:$G,"11月")+SUMIFS(终端客户销售统计表!$K:$K,终端客户销售统计表!$L:$L,$B13,终端客户销售统计表!$H:$H,$D13,终端客户销售统计表!$G:$G,"12月"))/10000</f>
        <v>0</v>
      </c>
      <c r="P13" s="29">
        <f>SUM(L13:O13)</f>
        <v>100</v>
      </c>
      <c r="Q13" s="44">
        <f t="shared" si="6"/>
        <v>0.2</v>
      </c>
      <c r="R13" s="29">
        <f>(SUMIFS('代理商-进货明细表'!$I:$I,'代理商-进货明细表'!$B:$B,'代理商-产品进销存'!$B13,'代理商-进货明细表'!$F:$F,'代理商-产品进销存'!$D13,'代理商-进货明细表'!$E:$E,"1月")+SUMIFS('代理商-进货明细表'!$I:$I,'代理商-进货明细表'!$B:$B,'代理商-产品进销存'!$B13,'代理商-进货明细表'!$F:$F,'代理商-产品进销存'!$D13,'代理商-进货明细表'!$E:$E,"2月")+SUMIFS('代理商-进货明细表'!$I:$I,'代理商-进货明细表'!$B:$B,'代理商-产品进销存'!$B13,'代理商-进货明细表'!$F:$F,'代理商-产品进销存'!$D13,'代理商-进货明细表'!$E:$E,"3月"))/10000</f>
        <v>0</v>
      </c>
      <c r="S13" s="29">
        <f>(SUMIFS('代理商-进货明细表'!$I:$I,'代理商-进货明细表'!$B:$B,'代理商-产品进销存'!$B13,'代理商-进货明细表'!$F:$F,'代理商-产品进销存'!$D13,'代理商-进货明细表'!$E:$E,"4月")+SUMIFS('代理商-进货明细表'!$I:$I,'代理商-进货明细表'!$B:$B,'代理商-产品进销存'!$B13,'代理商-进货明细表'!$F:$F,'代理商-产品进销存'!$D13,'代理商-进货明细表'!$E:$E,"5月")+SUMIFS('代理商-进货明细表'!$I:$I,'代理商-进货明细表'!$B:$B,'代理商-产品进销存'!$B13,'代理商-进货明细表'!$F:$F,'代理商-产品进销存'!$D13,'代理商-进货明细表'!$E:$E,"6月"))/10000</f>
        <v>0</v>
      </c>
      <c r="T13" s="29">
        <f>(SUMIFS('代理商-进货明细表'!$I:$I,'代理商-进货明细表'!$B:$B,'代理商-产品进销存'!$B13,'代理商-进货明细表'!$F:$F,'代理商-产品进销存'!$D13,'代理商-进货明细表'!$E:$E,"7月")+SUMIFS('代理商-进货明细表'!$I:$I,'代理商-进货明细表'!$B:$B,'代理商-产品进销存'!$B13,'代理商-进货明细表'!$F:$F,'代理商-产品进销存'!$D13,'代理商-进货明细表'!$E:$E,"8月")+SUMIFS('代理商-进货明细表'!$I:$I,'代理商-进货明细表'!$B:$B,'代理商-产品进销存'!$B13,'代理商-进货明细表'!$F:$F,'代理商-产品进销存'!$D13,'代理商-进货明细表'!$E:$E,"9月"))/10000</f>
        <v>0</v>
      </c>
      <c r="U13" s="29">
        <f>(SUMIFS('代理商-进货明细表'!$I:$I,'代理商-进货明细表'!$B:$B,'代理商-产品进销存'!$B13,'代理商-进货明细表'!$F:$F,'代理商-产品进销存'!$D13,'代理商-进货明细表'!$E:$E,"10月")+SUMIFS('代理商-进货明细表'!$I:$I,'代理商-进货明细表'!$B:$B,'代理商-产品进销存'!$B13,'代理商-进货明细表'!$F:$F,'代理商-产品进销存'!$D13,'代理商-进货明细表'!$E:$E,"11月")+SUMIFS('代理商-进货明细表'!$I:$I,'代理商-进货明细表'!$B:$B,'代理商-产品进销存'!$B13,'代理商-进货明细表'!$F:$F,'代理商-产品进销存'!$D13,'代理商-进货明细表'!$E:$E,"12月"))/10000</f>
        <v>0</v>
      </c>
      <c r="V13" s="29">
        <f t="shared" si="7"/>
        <v>0</v>
      </c>
      <c r="W13" s="29">
        <f t="shared" si="8"/>
        <v>0</v>
      </c>
      <c r="X13" s="29">
        <f t="shared" si="9"/>
        <v>0</v>
      </c>
      <c r="Y13" s="29">
        <f t="shared" si="10"/>
        <v>-100</v>
      </c>
      <c r="Z13" s="29">
        <f t="shared" si="11"/>
        <v>0</v>
      </c>
      <c r="AA13" s="29">
        <f t="shared" si="12"/>
        <v>-100</v>
      </c>
    </row>
    <row r="14" spans="1:29" x14ac:dyDescent="0.3">
      <c r="A14" s="2" t="s">
        <v>33</v>
      </c>
      <c r="B14" s="2" t="s">
        <v>85</v>
      </c>
      <c r="D14" s="3" t="s">
        <v>17</v>
      </c>
      <c r="E14" s="3">
        <v>500</v>
      </c>
      <c r="F14" s="3">
        <v>10000</v>
      </c>
      <c r="G14" s="3">
        <f t="shared" si="1"/>
        <v>500</v>
      </c>
      <c r="H14" s="3">
        <f t="shared" si="2"/>
        <v>75</v>
      </c>
      <c r="I14" s="3">
        <f t="shared" si="3"/>
        <v>125</v>
      </c>
      <c r="J14" s="3">
        <f t="shared" si="4"/>
        <v>175</v>
      </c>
      <c r="K14" s="3">
        <f t="shared" si="5"/>
        <v>125</v>
      </c>
      <c r="L14" s="29">
        <f>(SUMIFS(终端客户销售统计表!$K:$K,终端客户销售统计表!$L:$L,$B14,终端客户销售统计表!$H:$H,$D14,终端客户销售统计表!$G:$G,"1月")+SUMIFS(终端客户销售统计表!$K:$K,终端客户销售统计表!$L:$L,$B14,终端客户销售统计表!$H:$H,$D14,终端客户销售统计表!$G:$G,"2月")+SUMIFS(终端客户销售统计表!$K:$K,终端客户销售统计表!$L:$L,$B14,终端客户销售统计表!$H:$H,$D14,终端客户销售统计表!$G:$G,"3月"))/10000</f>
        <v>0</v>
      </c>
      <c r="M14" s="29">
        <f>(SUMIFS(终端客户销售统计表!$K:$K,终端客户销售统计表!$L:$L,$B14,终端客户销售统计表!$H:$H,$D14,终端客户销售统计表!$G:$G,"4月")+SUMIFS(终端客户销售统计表!$K:$K,终端客户销售统计表!$L:$L,$B14,终端客户销售统计表!$H:$H,$D14,终端客户销售统计表!$G:$G,"5月")+SUMIFS(终端客户销售统计表!$K:$K,终端客户销售统计表!$L:$L,$B14,终端客户销售统计表!$H:$H,$D14,终端客户销售统计表!$G:$G,"6月"))/10000</f>
        <v>0</v>
      </c>
      <c r="N14" s="29">
        <f>(SUMIFS(终端客户销售统计表!$K:$K,终端客户销售统计表!$L:$L,$B14,终端客户销售统计表!$H:$H,$D14,终端客户销售统计表!$G:$G,"7月")+SUMIFS(终端客户销售统计表!$K:$K,终端客户销售统计表!$L:$L,$B14,终端客户销售统计表!$H:$H,$D14,终端客户销售统计表!$G:$G,"8月")+SUMIFS(终端客户销售统计表!$K:$K,终端客户销售统计表!$L:$L,$B14,终端客户销售统计表!$H:$H,$D14,终端客户销售统计表!$G:$G,"9月"))/10000</f>
        <v>0</v>
      </c>
      <c r="O14" s="29">
        <f>(SUMIFS(终端客户销售统计表!$K:$K,终端客户销售统计表!$L:$L,$B14,终端客户销售统计表!$H:$H,$D14,终端客户销售统计表!$G:$G,"10月")+SUMIFS(终端客户销售统计表!$K:$K,终端客户销售统计表!$L:$L,$B14,终端客户销售统计表!$H:$H,$D14,终端客户销售统计表!$G:$G,"11月")+SUMIFS(终端客户销售统计表!$K:$K,终端客户销售统计表!$L:$L,$B14,终端客户销售统计表!$H:$H,$D14,终端客户销售统计表!$G:$G,"12月"))/10000</f>
        <v>100</v>
      </c>
      <c r="P14" s="29">
        <f>SUM(L14:O14)</f>
        <v>100</v>
      </c>
      <c r="Q14" s="44">
        <f t="shared" si="6"/>
        <v>0.2</v>
      </c>
      <c r="R14" s="29">
        <f>(SUMIFS('代理商-进货明细表'!$I:$I,'代理商-进货明细表'!$B:$B,'代理商-产品进销存'!$B14,'代理商-进货明细表'!$F:$F,'代理商-产品进销存'!$D14,'代理商-进货明细表'!$E:$E,"1月")+SUMIFS('代理商-进货明细表'!$I:$I,'代理商-进货明细表'!$B:$B,'代理商-产品进销存'!$B14,'代理商-进货明细表'!$F:$F,'代理商-产品进销存'!$D14,'代理商-进货明细表'!$E:$E,"2月")+SUMIFS('代理商-进货明细表'!$I:$I,'代理商-进货明细表'!$B:$B,'代理商-产品进销存'!$B14,'代理商-进货明细表'!$F:$F,'代理商-产品进销存'!$D14,'代理商-进货明细表'!$E:$E,"3月"))/10000</f>
        <v>0</v>
      </c>
      <c r="S14" s="29">
        <f>(SUMIFS('代理商-进货明细表'!$I:$I,'代理商-进货明细表'!$B:$B,'代理商-产品进销存'!$B14,'代理商-进货明细表'!$F:$F,'代理商-产品进销存'!$D14,'代理商-进货明细表'!$E:$E,"4月")+SUMIFS('代理商-进货明细表'!$I:$I,'代理商-进货明细表'!$B:$B,'代理商-产品进销存'!$B14,'代理商-进货明细表'!$F:$F,'代理商-产品进销存'!$D14,'代理商-进货明细表'!$E:$E,"5月")+SUMIFS('代理商-进货明细表'!$I:$I,'代理商-进货明细表'!$B:$B,'代理商-产品进销存'!$B14,'代理商-进货明细表'!$F:$F,'代理商-产品进销存'!$D14,'代理商-进货明细表'!$E:$E,"6月"))/10000</f>
        <v>0</v>
      </c>
      <c r="T14" s="29">
        <f>(SUMIFS('代理商-进货明细表'!$I:$I,'代理商-进货明细表'!$B:$B,'代理商-产品进销存'!$B14,'代理商-进货明细表'!$F:$F,'代理商-产品进销存'!$D14,'代理商-进货明细表'!$E:$E,"7月")+SUMIFS('代理商-进货明细表'!$I:$I,'代理商-进货明细表'!$B:$B,'代理商-产品进销存'!$B14,'代理商-进货明细表'!$F:$F,'代理商-产品进销存'!$D14,'代理商-进货明细表'!$E:$E,"8月")+SUMIFS('代理商-进货明细表'!$I:$I,'代理商-进货明细表'!$B:$B,'代理商-产品进销存'!$B14,'代理商-进货明细表'!$F:$F,'代理商-产品进销存'!$D14,'代理商-进货明细表'!$E:$E,"9月"))/10000</f>
        <v>0</v>
      </c>
      <c r="U14" s="29">
        <f>(SUMIFS('代理商-进货明细表'!$I:$I,'代理商-进货明细表'!$B:$B,'代理商-产品进销存'!$B14,'代理商-进货明细表'!$F:$F,'代理商-产品进销存'!$D14,'代理商-进货明细表'!$E:$E,"10月")+SUMIFS('代理商-进货明细表'!$I:$I,'代理商-进货明细表'!$B:$B,'代理商-产品进销存'!$B14,'代理商-进货明细表'!$F:$F,'代理商-产品进销存'!$D14,'代理商-进货明细表'!$E:$E,"11月")+SUMIFS('代理商-进货明细表'!$I:$I,'代理商-进货明细表'!$B:$B,'代理商-产品进销存'!$B14,'代理商-进货明细表'!$F:$F,'代理商-产品进销存'!$D14,'代理商-进货明细表'!$E:$E,"12月"))/10000</f>
        <v>0</v>
      </c>
      <c r="V14" s="29">
        <f t="shared" si="7"/>
        <v>0</v>
      </c>
      <c r="W14" s="29">
        <f t="shared" si="8"/>
        <v>0</v>
      </c>
      <c r="X14" s="29">
        <f t="shared" si="9"/>
        <v>0</v>
      </c>
      <c r="Y14" s="29">
        <f t="shared" si="10"/>
        <v>0</v>
      </c>
      <c r="Z14" s="29">
        <f t="shared" si="11"/>
        <v>-100</v>
      </c>
      <c r="AA14" s="29">
        <f t="shared" si="12"/>
        <v>-100</v>
      </c>
    </row>
    <row r="15" spans="1:29" x14ac:dyDescent="0.3">
      <c r="A15" s="2" t="s">
        <v>164</v>
      </c>
      <c r="B15" s="2" t="s">
        <v>86</v>
      </c>
      <c r="D15" s="3" t="s">
        <v>14</v>
      </c>
      <c r="L15" s="29">
        <f>(SUMIFS(终端客户销售统计表!$K:$K,终端客户销售统计表!$L:$L,$B15,终端客户销售统计表!$H:$H,$D15,终端客户销售统计表!$G:$G,"1月")+SUMIFS(终端客户销售统计表!$K:$K,终端客户销售统计表!$L:$L,$B15,终端客户销售统计表!$H:$H,$D15,终端客户销售统计表!$G:$G,"2月")+SUMIFS(终端客户销售统计表!$K:$K,终端客户销售统计表!$L:$L,$B15,终端客户销售统计表!$H:$H,$D15,终端客户销售统计表!$G:$G,"3月"))/10000</f>
        <v>100</v>
      </c>
      <c r="M15" s="29">
        <f>(SUMIFS(终端客户销售统计表!$K:$K,终端客户销售统计表!$L:$L,$B15,终端客户销售统计表!$H:$H,$D15,终端客户销售统计表!$G:$G,"4月")+SUMIFS(终端客户销售统计表!$K:$K,终端客户销售统计表!$L:$L,$B15,终端客户销售统计表!$H:$H,$D15,终端客户销售统计表!$G:$G,"5月")+SUMIFS(终端客户销售统计表!$K:$K,终端客户销售统计表!$L:$L,$B15,终端客户销售统计表!$H:$H,$D15,终端客户销售统计表!$G:$G,"6月"))/10000</f>
        <v>0</v>
      </c>
      <c r="N15" s="29">
        <f>(SUMIFS(终端客户销售统计表!$K:$K,终端客户销售统计表!$L:$L,$B15,终端客户销售统计表!$H:$H,$D15,终端客户销售统计表!$G:$G,"7月")+SUMIFS(终端客户销售统计表!$K:$K,终端客户销售统计表!$L:$L,$B15,终端客户销售统计表!$H:$H,$D15,终端客户销售统计表!$G:$G,"8月")+SUMIFS(终端客户销售统计表!$K:$K,终端客户销售统计表!$L:$L,$B15,终端客户销售统计表!$H:$H,$D15,终端客户销售统计表!$G:$G,"9月"))/10000</f>
        <v>0</v>
      </c>
      <c r="O15" s="29">
        <f>(SUMIFS(终端客户销售统计表!$K:$K,终端客户销售统计表!$L:$L,$B15,终端客户销售统计表!$H:$H,$D15,终端客户销售统计表!$G:$G,"10月")+SUMIFS(终端客户销售统计表!$K:$K,终端客户销售统计表!$L:$L,$B15,终端客户销售统计表!$H:$H,$D15,终端客户销售统计表!$G:$G,"11月")+SUMIFS(终端客户销售统计表!$K:$K,终端客户销售统计表!$L:$L,$B15,终端客户销售统计表!$H:$H,$D15,终端客户销售统计表!$G:$G,"12月"))/10000</f>
        <v>0</v>
      </c>
      <c r="P15" s="29">
        <f>SUM(L15:O15)</f>
        <v>100</v>
      </c>
      <c r="Q15" s="44" t="str">
        <f t="shared" si="6"/>
        <v/>
      </c>
      <c r="R15" s="29">
        <f>(SUMIFS('代理商-进货明细表'!$I:$I,'代理商-进货明细表'!$B:$B,'代理商-产品进销存'!$B15,'代理商-进货明细表'!$F:$F,'代理商-产品进销存'!$D15,'代理商-进货明细表'!$E:$E,"1月")+SUMIFS('代理商-进货明细表'!$I:$I,'代理商-进货明细表'!$B:$B,'代理商-产品进销存'!$B15,'代理商-进货明细表'!$F:$F,'代理商-产品进销存'!$D15,'代理商-进货明细表'!$E:$E,"2月")+SUMIFS('代理商-进货明细表'!$I:$I,'代理商-进货明细表'!$B:$B,'代理商-产品进销存'!$B15,'代理商-进货明细表'!$F:$F,'代理商-产品进销存'!$D15,'代理商-进货明细表'!$E:$E,"3月"))/10000</f>
        <v>0</v>
      </c>
      <c r="S15" s="29">
        <f>(SUMIFS('代理商-进货明细表'!$I:$I,'代理商-进货明细表'!$B:$B,'代理商-产品进销存'!$B15,'代理商-进货明细表'!$F:$F,'代理商-产品进销存'!$D15,'代理商-进货明细表'!$E:$E,"4月")+SUMIFS('代理商-进货明细表'!$I:$I,'代理商-进货明细表'!$B:$B,'代理商-产品进销存'!$B15,'代理商-进货明细表'!$F:$F,'代理商-产品进销存'!$D15,'代理商-进货明细表'!$E:$E,"5月")+SUMIFS('代理商-进货明细表'!$I:$I,'代理商-进货明细表'!$B:$B,'代理商-产品进销存'!$B15,'代理商-进货明细表'!$F:$F,'代理商-产品进销存'!$D15,'代理商-进货明细表'!$E:$E,"6月"))/10000</f>
        <v>0</v>
      </c>
      <c r="T15" s="29">
        <f>(SUMIFS('代理商-进货明细表'!$I:$I,'代理商-进货明细表'!$B:$B,'代理商-产品进销存'!$B15,'代理商-进货明细表'!$F:$F,'代理商-产品进销存'!$D15,'代理商-进货明细表'!$E:$E,"7月")+SUMIFS('代理商-进货明细表'!$I:$I,'代理商-进货明细表'!$B:$B,'代理商-产品进销存'!$B15,'代理商-进货明细表'!$F:$F,'代理商-产品进销存'!$D15,'代理商-进货明细表'!$E:$E,"8月")+SUMIFS('代理商-进货明细表'!$I:$I,'代理商-进货明细表'!$B:$B,'代理商-产品进销存'!$B15,'代理商-进货明细表'!$F:$F,'代理商-产品进销存'!$D15,'代理商-进货明细表'!$E:$E,"9月"))/10000</f>
        <v>0</v>
      </c>
      <c r="U15" s="29">
        <f>(SUMIFS('代理商-进货明细表'!$I:$I,'代理商-进货明细表'!$B:$B,'代理商-产品进销存'!$B15,'代理商-进货明细表'!$F:$F,'代理商-产品进销存'!$D15,'代理商-进货明细表'!$E:$E,"10月")+SUMIFS('代理商-进货明细表'!$I:$I,'代理商-进货明细表'!$B:$B,'代理商-产品进销存'!$B15,'代理商-进货明细表'!$F:$F,'代理商-产品进销存'!$D15,'代理商-进货明细表'!$E:$E,"11月")+SUMIFS('代理商-进货明细表'!$I:$I,'代理商-进货明细表'!$B:$B,'代理商-产品进销存'!$B15,'代理商-进货明细表'!$F:$F,'代理商-产品进销存'!$D15,'代理商-进货明细表'!$E:$E,"12月"))/10000</f>
        <v>0</v>
      </c>
      <c r="V15" s="29">
        <f t="shared" si="7"/>
        <v>0</v>
      </c>
      <c r="W15" s="29">
        <f t="shared" si="8"/>
        <v>-100</v>
      </c>
      <c r="X15" s="29">
        <f t="shared" si="9"/>
        <v>0</v>
      </c>
      <c r="Y15" s="29">
        <f t="shared" si="10"/>
        <v>0</v>
      </c>
      <c r="Z15" s="29">
        <f t="shared" si="11"/>
        <v>0</v>
      </c>
      <c r="AA15" s="29">
        <f t="shared" si="12"/>
        <v>-100</v>
      </c>
    </row>
    <row r="16" spans="1:29" x14ac:dyDescent="0.3">
      <c r="A16" s="2" t="s">
        <v>164</v>
      </c>
      <c r="B16" s="2" t="s">
        <v>86</v>
      </c>
      <c r="D16" s="3" t="s">
        <v>15</v>
      </c>
      <c r="L16" s="29">
        <f>(SUMIFS(终端客户销售统计表!$K:$K,终端客户销售统计表!$L:$L,$B16,终端客户销售统计表!$H:$H,$D16,终端客户销售统计表!$G:$G,"1月")+SUMIFS(终端客户销售统计表!$K:$K,终端客户销售统计表!$L:$L,$B16,终端客户销售统计表!$H:$H,$D16,终端客户销售统计表!$G:$G,"2月")+SUMIFS(终端客户销售统计表!$K:$K,终端客户销售统计表!$L:$L,$B16,终端客户销售统计表!$H:$H,$D16,终端客户销售统计表!$G:$G,"3月"))/10000</f>
        <v>0</v>
      </c>
      <c r="M16" s="29">
        <f>(SUMIFS(终端客户销售统计表!$K:$K,终端客户销售统计表!$L:$L,$B16,终端客户销售统计表!$H:$H,$D16,终端客户销售统计表!$G:$G,"4月")+SUMIFS(终端客户销售统计表!$K:$K,终端客户销售统计表!$L:$L,$B16,终端客户销售统计表!$H:$H,$D16,终端客户销售统计表!$G:$G,"5月")+SUMIFS(终端客户销售统计表!$K:$K,终端客户销售统计表!$L:$L,$B16,终端客户销售统计表!$H:$H,$D16,终端客户销售统计表!$G:$G,"6月"))/10000</f>
        <v>100</v>
      </c>
      <c r="N16" s="29">
        <f>(SUMIFS(终端客户销售统计表!$K:$K,终端客户销售统计表!$L:$L,$B16,终端客户销售统计表!$H:$H,$D16,终端客户销售统计表!$G:$G,"7月")+SUMIFS(终端客户销售统计表!$K:$K,终端客户销售统计表!$L:$L,$B16,终端客户销售统计表!$H:$H,$D16,终端客户销售统计表!$G:$G,"8月")+SUMIFS(终端客户销售统计表!$K:$K,终端客户销售统计表!$L:$L,$B16,终端客户销售统计表!$H:$H,$D16,终端客户销售统计表!$G:$G,"9月"))/10000</f>
        <v>0</v>
      </c>
      <c r="O16" s="29">
        <f>(SUMIFS(终端客户销售统计表!$K:$K,终端客户销售统计表!$L:$L,$B16,终端客户销售统计表!$H:$H,$D16,终端客户销售统计表!$G:$G,"10月")+SUMIFS(终端客户销售统计表!$K:$K,终端客户销售统计表!$L:$L,$B16,终端客户销售统计表!$H:$H,$D16,终端客户销售统计表!$G:$G,"11月")+SUMIFS(终端客户销售统计表!$K:$K,终端客户销售统计表!$L:$L,$B16,终端客户销售统计表!$H:$H,$D16,终端客户销售统计表!$G:$G,"12月"))/10000</f>
        <v>0</v>
      </c>
      <c r="P16" s="29">
        <f>SUM(L16:O16)</f>
        <v>100</v>
      </c>
      <c r="Q16" s="44" t="str">
        <f t="shared" si="6"/>
        <v/>
      </c>
      <c r="R16" s="29">
        <f>(SUMIFS('代理商-进货明细表'!$I:$I,'代理商-进货明细表'!$B:$B,'代理商-产品进销存'!$B16,'代理商-进货明细表'!$F:$F,'代理商-产品进销存'!$D16,'代理商-进货明细表'!$E:$E,"1月")+SUMIFS('代理商-进货明细表'!$I:$I,'代理商-进货明细表'!$B:$B,'代理商-产品进销存'!$B16,'代理商-进货明细表'!$F:$F,'代理商-产品进销存'!$D16,'代理商-进货明细表'!$E:$E,"2月")+SUMIFS('代理商-进货明细表'!$I:$I,'代理商-进货明细表'!$B:$B,'代理商-产品进销存'!$B16,'代理商-进货明细表'!$F:$F,'代理商-产品进销存'!$D16,'代理商-进货明细表'!$E:$E,"3月"))/10000</f>
        <v>0</v>
      </c>
      <c r="S16" s="29">
        <f>(SUMIFS('代理商-进货明细表'!$I:$I,'代理商-进货明细表'!$B:$B,'代理商-产品进销存'!$B16,'代理商-进货明细表'!$F:$F,'代理商-产品进销存'!$D16,'代理商-进货明细表'!$E:$E,"4月")+SUMIFS('代理商-进货明细表'!$I:$I,'代理商-进货明细表'!$B:$B,'代理商-产品进销存'!$B16,'代理商-进货明细表'!$F:$F,'代理商-产品进销存'!$D16,'代理商-进货明细表'!$E:$E,"5月")+SUMIFS('代理商-进货明细表'!$I:$I,'代理商-进货明细表'!$B:$B,'代理商-产品进销存'!$B16,'代理商-进货明细表'!$F:$F,'代理商-产品进销存'!$D16,'代理商-进货明细表'!$E:$E,"6月"))/10000</f>
        <v>0</v>
      </c>
      <c r="T16" s="29">
        <f>(SUMIFS('代理商-进货明细表'!$I:$I,'代理商-进货明细表'!$B:$B,'代理商-产品进销存'!$B16,'代理商-进货明细表'!$F:$F,'代理商-产品进销存'!$D16,'代理商-进货明细表'!$E:$E,"7月")+SUMIFS('代理商-进货明细表'!$I:$I,'代理商-进货明细表'!$B:$B,'代理商-产品进销存'!$B16,'代理商-进货明细表'!$F:$F,'代理商-产品进销存'!$D16,'代理商-进货明细表'!$E:$E,"8月")+SUMIFS('代理商-进货明细表'!$I:$I,'代理商-进货明细表'!$B:$B,'代理商-产品进销存'!$B16,'代理商-进货明细表'!$F:$F,'代理商-产品进销存'!$D16,'代理商-进货明细表'!$E:$E,"9月"))/10000</f>
        <v>0</v>
      </c>
      <c r="U16" s="29">
        <f>(SUMIFS('代理商-进货明细表'!$I:$I,'代理商-进货明细表'!$B:$B,'代理商-产品进销存'!$B16,'代理商-进货明细表'!$F:$F,'代理商-产品进销存'!$D16,'代理商-进货明细表'!$E:$E,"10月")+SUMIFS('代理商-进货明细表'!$I:$I,'代理商-进货明细表'!$B:$B,'代理商-产品进销存'!$B16,'代理商-进货明细表'!$F:$F,'代理商-产品进销存'!$D16,'代理商-进货明细表'!$E:$E,"11月")+SUMIFS('代理商-进货明细表'!$I:$I,'代理商-进货明细表'!$B:$B,'代理商-产品进销存'!$B16,'代理商-进货明细表'!$F:$F,'代理商-产品进销存'!$D16,'代理商-进货明细表'!$E:$E,"12月"))/10000</f>
        <v>0</v>
      </c>
      <c r="V16" s="29">
        <f t="shared" si="7"/>
        <v>0</v>
      </c>
      <c r="W16" s="29">
        <f t="shared" si="8"/>
        <v>0</v>
      </c>
      <c r="X16" s="29">
        <f t="shared" si="9"/>
        <v>-100</v>
      </c>
      <c r="Y16" s="29">
        <f t="shared" si="10"/>
        <v>0</v>
      </c>
      <c r="Z16" s="29">
        <f t="shared" si="11"/>
        <v>0</v>
      </c>
      <c r="AA16" s="29">
        <f t="shared" si="12"/>
        <v>-100</v>
      </c>
    </row>
    <row r="17" spans="1:27" x14ac:dyDescent="0.3">
      <c r="A17" s="2" t="s">
        <v>164</v>
      </c>
      <c r="B17" s="2" t="s">
        <v>86</v>
      </c>
      <c r="D17" s="3" t="s">
        <v>16</v>
      </c>
      <c r="L17" s="29">
        <f>(SUMIFS(终端客户销售统计表!$K:$K,终端客户销售统计表!$L:$L,$B17,终端客户销售统计表!$H:$H,$D17,终端客户销售统计表!$G:$G,"1月")+SUMIFS(终端客户销售统计表!$K:$K,终端客户销售统计表!$L:$L,$B17,终端客户销售统计表!$H:$H,$D17,终端客户销售统计表!$G:$G,"2月")+SUMIFS(终端客户销售统计表!$K:$K,终端客户销售统计表!$L:$L,$B17,终端客户销售统计表!$H:$H,$D17,终端客户销售统计表!$G:$G,"3月"))/10000</f>
        <v>0</v>
      </c>
      <c r="M17" s="29">
        <f>(SUMIFS(终端客户销售统计表!$K:$K,终端客户销售统计表!$L:$L,$B17,终端客户销售统计表!$H:$H,$D17,终端客户销售统计表!$G:$G,"4月")+SUMIFS(终端客户销售统计表!$K:$K,终端客户销售统计表!$L:$L,$B17,终端客户销售统计表!$H:$H,$D17,终端客户销售统计表!$G:$G,"5月")+SUMIFS(终端客户销售统计表!$K:$K,终端客户销售统计表!$L:$L,$B17,终端客户销售统计表!$H:$H,$D17,终端客户销售统计表!$G:$G,"6月"))/10000</f>
        <v>0</v>
      </c>
      <c r="N17" s="29">
        <f>(SUMIFS(终端客户销售统计表!$K:$K,终端客户销售统计表!$L:$L,$B17,终端客户销售统计表!$H:$H,$D17,终端客户销售统计表!$G:$G,"7月")+SUMIFS(终端客户销售统计表!$K:$K,终端客户销售统计表!$L:$L,$B17,终端客户销售统计表!$H:$H,$D17,终端客户销售统计表!$G:$G,"8月")+SUMIFS(终端客户销售统计表!$K:$K,终端客户销售统计表!$L:$L,$B17,终端客户销售统计表!$H:$H,$D17,终端客户销售统计表!$G:$G,"9月"))/10000</f>
        <v>100</v>
      </c>
      <c r="O17" s="29">
        <f>(SUMIFS(终端客户销售统计表!$K:$K,终端客户销售统计表!$L:$L,$B17,终端客户销售统计表!$H:$H,$D17,终端客户销售统计表!$G:$G,"10月")+SUMIFS(终端客户销售统计表!$K:$K,终端客户销售统计表!$L:$L,$B17,终端客户销售统计表!$H:$H,$D17,终端客户销售统计表!$G:$G,"11月")+SUMIFS(终端客户销售统计表!$K:$K,终端客户销售统计表!$L:$L,$B17,终端客户销售统计表!$H:$H,$D17,终端客户销售统计表!$G:$G,"12月"))/10000</f>
        <v>0</v>
      </c>
      <c r="P17" s="29">
        <f>SUM(L17:O17)</f>
        <v>100</v>
      </c>
      <c r="Q17" s="44" t="str">
        <f t="shared" si="6"/>
        <v/>
      </c>
      <c r="R17" s="29">
        <f>(SUMIFS('代理商-进货明细表'!$I:$I,'代理商-进货明细表'!$B:$B,'代理商-产品进销存'!$B17,'代理商-进货明细表'!$F:$F,'代理商-产品进销存'!$D17,'代理商-进货明细表'!$E:$E,"1月")+SUMIFS('代理商-进货明细表'!$I:$I,'代理商-进货明细表'!$B:$B,'代理商-产品进销存'!$B17,'代理商-进货明细表'!$F:$F,'代理商-产品进销存'!$D17,'代理商-进货明细表'!$E:$E,"2月")+SUMIFS('代理商-进货明细表'!$I:$I,'代理商-进货明细表'!$B:$B,'代理商-产品进销存'!$B17,'代理商-进货明细表'!$F:$F,'代理商-产品进销存'!$D17,'代理商-进货明细表'!$E:$E,"3月"))/10000</f>
        <v>0</v>
      </c>
      <c r="S17" s="29">
        <f>(SUMIFS('代理商-进货明细表'!$I:$I,'代理商-进货明细表'!$B:$B,'代理商-产品进销存'!$B17,'代理商-进货明细表'!$F:$F,'代理商-产品进销存'!$D17,'代理商-进货明细表'!$E:$E,"4月")+SUMIFS('代理商-进货明细表'!$I:$I,'代理商-进货明细表'!$B:$B,'代理商-产品进销存'!$B17,'代理商-进货明细表'!$F:$F,'代理商-产品进销存'!$D17,'代理商-进货明细表'!$E:$E,"5月")+SUMIFS('代理商-进货明细表'!$I:$I,'代理商-进货明细表'!$B:$B,'代理商-产品进销存'!$B17,'代理商-进货明细表'!$F:$F,'代理商-产品进销存'!$D17,'代理商-进货明细表'!$E:$E,"6月"))/10000</f>
        <v>0</v>
      </c>
      <c r="T17" s="29">
        <f>(SUMIFS('代理商-进货明细表'!$I:$I,'代理商-进货明细表'!$B:$B,'代理商-产品进销存'!$B17,'代理商-进货明细表'!$F:$F,'代理商-产品进销存'!$D17,'代理商-进货明细表'!$E:$E,"7月")+SUMIFS('代理商-进货明细表'!$I:$I,'代理商-进货明细表'!$B:$B,'代理商-产品进销存'!$B17,'代理商-进货明细表'!$F:$F,'代理商-产品进销存'!$D17,'代理商-进货明细表'!$E:$E,"8月")+SUMIFS('代理商-进货明细表'!$I:$I,'代理商-进货明细表'!$B:$B,'代理商-产品进销存'!$B17,'代理商-进货明细表'!$F:$F,'代理商-产品进销存'!$D17,'代理商-进货明细表'!$E:$E,"9月"))/10000</f>
        <v>0</v>
      </c>
      <c r="U17" s="29">
        <f>(SUMIFS('代理商-进货明细表'!$I:$I,'代理商-进货明细表'!$B:$B,'代理商-产品进销存'!$B17,'代理商-进货明细表'!$F:$F,'代理商-产品进销存'!$D17,'代理商-进货明细表'!$E:$E,"10月")+SUMIFS('代理商-进货明细表'!$I:$I,'代理商-进货明细表'!$B:$B,'代理商-产品进销存'!$B17,'代理商-进货明细表'!$F:$F,'代理商-产品进销存'!$D17,'代理商-进货明细表'!$E:$E,"11月")+SUMIFS('代理商-进货明细表'!$I:$I,'代理商-进货明细表'!$B:$B,'代理商-产品进销存'!$B17,'代理商-进货明细表'!$F:$F,'代理商-产品进销存'!$D17,'代理商-进货明细表'!$E:$E,"12月"))/10000</f>
        <v>0</v>
      </c>
      <c r="V17" s="29">
        <f t="shared" si="7"/>
        <v>0</v>
      </c>
      <c r="W17" s="29">
        <f t="shared" si="8"/>
        <v>0</v>
      </c>
      <c r="X17" s="29">
        <f t="shared" si="9"/>
        <v>0</v>
      </c>
      <c r="Y17" s="29">
        <f t="shared" si="10"/>
        <v>-100</v>
      </c>
      <c r="Z17" s="29">
        <f t="shared" si="11"/>
        <v>0</v>
      </c>
      <c r="AA17" s="29">
        <f t="shared" si="12"/>
        <v>-100</v>
      </c>
    </row>
    <row r="18" spans="1:27" x14ac:dyDescent="0.3">
      <c r="A18" s="2" t="s">
        <v>164</v>
      </c>
      <c r="B18" s="2" t="s">
        <v>86</v>
      </c>
      <c r="D18" s="3" t="s">
        <v>17</v>
      </c>
      <c r="L18" s="29">
        <f>(SUMIFS(终端客户销售统计表!$K:$K,终端客户销售统计表!$L:$L,$B18,终端客户销售统计表!$H:$H,$D18,终端客户销售统计表!$G:$G,"1月")+SUMIFS(终端客户销售统计表!$K:$K,终端客户销售统计表!$L:$L,$B18,终端客户销售统计表!$H:$H,$D18,终端客户销售统计表!$G:$G,"2月")+SUMIFS(终端客户销售统计表!$K:$K,终端客户销售统计表!$L:$L,$B18,终端客户销售统计表!$H:$H,$D18,终端客户销售统计表!$G:$G,"3月"))/10000</f>
        <v>0</v>
      </c>
      <c r="M18" s="29">
        <f>(SUMIFS(终端客户销售统计表!$K:$K,终端客户销售统计表!$L:$L,$B18,终端客户销售统计表!$H:$H,$D18,终端客户销售统计表!$G:$G,"4月")+SUMIFS(终端客户销售统计表!$K:$K,终端客户销售统计表!$L:$L,$B18,终端客户销售统计表!$H:$H,$D18,终端客户销售统计表!$G:$G,"5月")+SUMIFS(终端客户销售统计表!$K:$K,终端客户销售统计表!$L:$L,$B18,终端客户销售统计表!$H:$H,$D18,终端客户销售统计表!$G:$G,"6月"))/10000</f>
        <v>0</v>
      </c>
      <c r="N18" s="29">
        <f>(SUMIFS(终端客户销售统计表!$K:$K,终端客户销售统计表!$L:$L,$B18,终端客户销售统计表!$H:$H,$D18,终端客户销售统计表!$G:$G,"7月")+SUMIFS(终端客户销售统计表!$K:$K,终端客户销售统计表!$L:$L,$B18,终端客户销售统计表!$H:$H,$D18,终端客户销售统计表!$G:$G,"8月")+SUMIFS(终端客户销售统计表!$K:$K,终端客户销售统计表!$L:$L,$B18,终端客户销售统计表!$H:$H,$D18,终端客户销售统计表!$G:$G,"9月"))/10000</f>
        <v>0</v>
      </c>
      <c r="O18" s="29">
        <f>(SUMIFS(终端客户销售统计表!$K:$K,终端客户销售统计表!$L:$L,$B18,终端客户销售统计表!$H:$H,$D18,终端客户销售统计表!$G:$G,"10月")+SUMIFS(终端客户销售统计表!$K:$K,终端客户销售统计表!$L:$L,$B18,终端客户销售统计表!$H:$H,$D18,终端客户销售统计表!$G:$G,"11月")+SUMIFS(终端客户销售统计表!$K:$K,终端客户销售统计表!$L:$L,$B18,终端客户销售统计表!$H:$H,$D18,终端客户销售统计表!$G:$G,"12月"))/10000</f>
        <v>100</v>
      </c>
      <c r="P18" s="29">
        <f>SUM(L18:O18)</f>
        <v>100</v>
      </c>
      <c r="Q18" s="44" t="str">
        <f t="shared" si="6"/>
        <v/>
      </c>
      <c r="R18" s="29">
        <f>(SUMIFS('代理商-进货明细表'!$I:$I,'代理商-进货明细表'!$B:$B,'代理商-产品进销存'!$B18,'代理商-进货明细表'!$F:$F,'代理商-产品进销存'!$D18,'代理商-进货明细表'!$E:$E,"1月")+SUMIFS('代理商-进货明细表'!$I:$I,'代理商-进货明细表'!$B:$B,'代理商-产品进销存'!$B18,'代理商-进货明细表'!$F:$F,'代理商-产品进销存'!$D18,'代理商-进货明细表'!$E:$E,"2月")+SUMIFS('代理商-进货明细表'!$I:$I,'代理商-进货明细表'!$B:$B,'代理商-产品进销存'!$B18,'代理商-进货明细表'!$F:$F,'代理商-产品进销存'!$D18,'代理商-进货明细表'!$E:$E,"3月"))/10000</f>
        <v>0</v>
      </c>
      <c r="S18" s="29">
        <f>(SUMIFS('代理商-进货明细表'!$I:$I,'代理商-进货明细表'!$B:$B,'代理商-产品进销存'!$B18,'代理商-进货明细表'!$F:$F,'代理商-产品进销存'!$D18,'代理商-进货明细表'!$E:$E,"4月")+SUMIFS('代理商-进货明细表'!$I:$I,'代理商-进货明细表'!$B:$B,'代理商-产品进销存'!$B18,'代理商-进货明细表'!$F:$F,'代理商-产品进销存'!$D18,'代理商-进货明细表'!$E:$E,"5月")+SUMIFS('代理商-进货明细表'!$I:$I,'代理商-进货明细表'!$B:$B,'代理商-产品进销存'!$B18,'代理商-进货明细表'!$F:$F,'代理商-产品进销存'!$D18,'代理商-进货明细表'!$E:$E,"6月"))/10000</f>
        <v>0</v>
      </c>
      <c r="T18" s="29">
        <f>(SUMIFS('代理商-进货明细表'!$I:$I,'代理商-进货明细表'!$B:$B,'代理商-产品进销存'!$B18,'代理商-进货明细表'!$F:$F,'代理商-产品进销存'!$D18,'代理商-进货明细表'!$E:$E,"7月")+SUMIFS('代理商-进货明细表'!$I:$I,'代理商-进货明细表'!$B:$B,'代理商-产品进销存'!$B18,'代理商-进货明细表'!$F:$F,'代理商-产品进销存'!$D18,'代理商-进货明细表'!$E:$E,"8月")+SUMIFS('代理商-进货明细表'!$I:$I,'代理商-进货明细表'!$B:$B,'代理商-产品进销存'!$B18,'代理商-进货明细表'!$F:$F,'代理商-产品进销存'!$D18,'代理商-进货明细表'!$E:$E,"9月"))/10000</f>
        <v>0</v>
      </c>
      <c r="U18" s="29">
        <f>(SUMIFS('代理商-进货明细表'!$I:$I,'代理商-进货明细表'!$B:$B,'代理商-产品进销存'!$B18,'代理商-进货明细表'!$F:$F,'代理商-产品进销存'!$D18,'代理商-进货明细表'!$E:$E,"10月")+SUMIFS('代理商-进货明细表'!$I:$I,'代理商-进货明细表'!$B:$B,'代理商-产品进销存'!$B18,'代理商-进货明细表'!$F:$F,'代理商-产品进销存'!$D18,'代理商-进货明细表'!$E:$E,"11月")+SUMIFS('代理商-进货明细表'!$I:$I,'代理商-进货明细表'!$B:$B,'代理商-产品进销存'!$B18,'代理商-进货明细表'!$F:$F,'代理商-产品进销存'!$D18,'代理商-进货明细表'!$E:$E,"12月"))/10000</f>
        <v>0</v>
      </c>
      <c r="V18" s="29">
        <f t="shared" si="7"/>
        <v>0</v>
      </c>
      <c r="W18" s="29">
        <f t="shared" si="8"/>
        <v>0</v>
      </c>
      <c r="X18" s="29">
        <f t="shared" si="9"/>
        <v>0</v>
      </c>
      <c r="Y18" s="29">
        <f t="shared" si="10"/>
        <v>0</v>
      </c>
      <c r="Z18" s="29">
        <f t="shared" si="11"/>
        <v>-100</v>
      </c>
      <c r="AA18" s="29">
        <f t="shared" si="12"/>
        <v>-100</v>
      </c>
    </row>
    <row r="19" spans="1:27" x14ac:dyDescent="0.3">
      <c r="A19" s="2" t="s">
        <v>165</v>
      </c>
      <c r="B19" s="2" t="s">
        <v>87</v>
      </c>
      <c r="D19" s="3" t="s">
        <v>14</v>
      </c>
      <c r="L19" s="29">
        <f>(SUMIFS(终端客户销售统计表!$K:$K,终端客户销售统计表!$L:$L,$B19,终端客户销售统计表!$H:$H,$D19,终端客户销售统计表!$G:$G,"1月")+SUMIFS(终端客户销售统计表!$K:$K,终端客户销售统计表!$L:$L,$B19,终端客户销售统计表!$H:$H,$D19,终端客户销售统计表!$G:$G,"2月")+SUMIFS(终端客户销售统计表!$K:$K,终端客户销售统计表!$L:$L,$B19,终端客户销售统计表!$H:$H,$D19,终端客户销售统计表!$G:$G,"3月"))/10000</f>
        <v>100</v>
      </c>
      <c r="M19" s="29">
        <f>(SUMIFS(终端客户销售统计表!$K:$K,终端客户销售统计表!$L:$L,$B19,终端客户销售统计表!$H:$H,$D19,终端客户销售统计表!$G:$G,"4月")+SUMIFS(终端客户销售统计表!$K:$K,终端客户销售统计表!$L:$L,$B19,终端客户销售统计表!$H:$H,$D19,终端客户销售统计表!$G:$G,"5月")+SUMIFS(终端客户销售统计表!$K:$K,终端客户销售统计表!$L:$L,$B19,终端客户销售统计表!$H:$H,$D19,终端客户销售统计表!$G:$G,"6月"))/10000</f>
        <v>0</v>
      </c>
      <c r="N19" s="29">
        <f>(SUMIFS(终端客户销售统计表!$K:$K,终端客户销售统计表!$L:$L,$B19,终端客户销售统计表!$H:$H,$D19,终端客户销售统计表!$G:$G,"7月")+SUMIFS(终端客户销售统计表!$K:$K,终端客户销售统计表!$L:$L,$B19,终端客户销售统计表!$H:$H,$D19,终端客户销售统计表!$G:$G,"8月")+SUMIFS(终端客户销售统计表!$K:$K,终端客户销售统计表!$L:$L,$B19,终端客户销售统计表!$H:$H,$D19,终端客户销售统计表!$G:$G,"9月"))/10000</f>
        <v>0</v>
      </c>
      <c r="O19" s="29">
        <f>(SUMIFS(终端客户销售统计表!$K:$K,终端客户销售统计表!$L:$L,$B19,终端客户销售统计表!$H:$H,$D19,终端客户销售统计表!$G:$G,"10月")+SUMIFS(终端客户销售统计表!$K:$K,终端客户销售统计表!$L:$L,$B19,终端客户销售统计表!$H:$H,$D19,终端客户销售统计表!$G:$G,"11月")+SUMIFS(终端客户销售统计表!$K:$K,终端客户销售统计表!$L:$L,$B19,终端客户销售统计表!$H:$H,$D19,终端客户销售统计表!$G:$G,"12月"))/10000</f>
        <v>0</v>
      </c>
      <c r="P19" s="29">
        <f>SUM(L19:O19)</f>
        <v>100</v>
      </c>
      <c r="Q19" s="44" t="str">
        <f t="shared" si="6"/>
        <v/>
      </c>
      <c r="R19" s="29">
        <f>(SUMIFS('代理商-进货明细表'!$I:$I,'代理商-进货明细表'!$B:$B,'代理商-产品进销存'!$B19,'代理商-进货明细表'!$F:$F,'代理商-产品进销存'!$D19,'代理商-进货明细表'!$E:$E,"1月")+SUMIFS('代理商-进货明细表'!$I:$I,'代理商-进货明细表'!$B:$B,'代理商-产品进销存'!$B19,'代理商-进货明细表'!$F:$F,'代理商-产品进销存'!$D19,'代理商-进货明细表'!$E:$E,"2月")+SUMIFS('代理商-进货明细表'!$I:$I,'代理商-进货明细表'!$B:$B,'代理商-产品进销存'!$B19,'代理商-进货明细表'!$F:$F,'代理商-产品进销存'!$D19,'代理商-进货明细表'!$E:$E,"3月"))/10000</f>
        <v>0</v>
      </c>
      <c r="S19" s="29">
        <f>(SUMIFS('代理商-进货明细表'!$I:$I,'代理商-进货明细表'!$B:$B,'代理商-产品进销存'!$B19,'代理商-进货明细表'!$F:$F,'代理商-产品进销存'!$D19,'代理商-进货明细表'!$E:$E,"4月")+SUMIFS('代理商-进货明细表'!$I:$I,'代理商-进货明细表'!$B:$B,'代理商-产品进销存'!$B19,'代理商-进货明细表'!$F:$F,'代理商-产品进销存'!$D19,'代理商-进货明细表'!$E:$E,"5月")+SUMIFS('代理商-进货明细表'!$I:$I,'代理商-进货明细表'!$B:$B,'代理商-产品进销存'!$B19,'代理商-进货明细表'!$F:$F,'代理商-产品进销存'!$D19,'代理商-进货明细表'!$E:$E,"6月"))/10000</f>
        <v>0</v>
      </c>
      <c r="T19" s="29">
        <f>(SUMIFS('代理商-进货明细表'!$I:$I,'代理商-进货明细表'!$B:$B,'代理商-产品进销存'!$B19,'代理商-进货明细表'!$F:$F,'代理商-产品进销存'!$D19,'代理商-进货明细表'!$E:$E,"7月")+SUMIFS('代理商-进货明细表'!$I:$I,'代理商-进货明细表'!$B:$B,'代理商-产品进销存'!$B19,'代理商-进货明细表'!$F:$F,'代理商-产品进销存'!$D19,'代理商-进货明细表'!$E:$E,"8月")+SUMIFS('代理商-进货明细表'!$I:$I,'代理商-进货明细表'!$B:$B,'代理商-产品进销存'!$B19,'代理商-进货明细表'!$F:$F,'代理商-产品进销存'!$D19,'代理商-进货明细表'!$E:$E,"9月"))/10000</f>
        <v>0</v>
      </c>
      <c r="U19" s="29">
        <f>(SUMIFS('代理商-进货明细表'!$I:$I,'代理商-进货明细表'!$B:$B,'代理商-产品进销存'!$B19,'代理商-进货明细表'!$F:$F,'代理商-产品进销存'!$D19,'代理商-进货明细表'!$E:$E,"10月")+SUMIFS('代理商-进货明细表'!$I:$I,'代理商-进货明细表'!$B:$B,'代理商-产品进销存'!$B19,'代理商-进货明细表'!$F:$F,'代理商-产品进销存'!$D19,'代理商-进货明细表'!$E:$E,"11月")+SUMIFS('代理商-进货明细表'!$I:$I,'代理商-进货明细表'!$B:$B,'代理商-产品进销存'!$B19,'代理商-进货明细表'!$F:$F,'代理商-产品进销存'!$D19,'代理商-进货明细表'!$E:$E,"12月"))/10000</f>
        <v>0</v>
      </c>
      <c r="V19" s="29">
        <f t="shared" si="7"/>
        <v>0</v>
      </c>
      <c r="W19" s="29">
        <f t="shared" si="8"/>
        <v>-100</v>
      </c>
      <c r="X19" s="29">
        <f t="shared" si="9"/>
        <v>0</v>
      </c>
      <c r="Y19" s="29">
        <f t="shared" si="10"/>
        <v>0</v>
      </c>
      <c r="Z19" s="29">
        <f t="shared" si="11"/>
        <v>0</v>
      </c>
      <c r="AA19" s="29">
        <f t="shared" si="12"/>
        <v>-100</v>
      </c>
    </row>
    <row r="20" spans="1:27" x14ac:dyDescent="0.3">
      <c r="A20" s="2" t="s">
        <v>165</v>
      </c>
      <c r="B20" s="2" t="s">
        <v>87</v>
      </c>
      <c r="D20" s="3" t="s">
        <v>15</v>
      </c>
      <c r="L20" s="29">
        <f>(SUMIFS(终端客户销售统计表!$K:$K,终端客户销售统计表!$L:$L,$B20,终端客户销售统计表!$H:$H,$D20,终端客户销售统计表!$G:$G,"1月")+SUMIFS(终端客户销售统计表!$K:$K,终端客户销售统计表!$L:$L,$B20,终端客户销售统计表!$H:$H,$D20,终端客户销售统计表!$G:$G,"2月")+SUMIFS(终端客户销售统计表!$K:$K,终端客户销售统计表!$L:$L,$B20,终端客户销售统计表!$H:$H,$D20,终端客户销售统计表!$G:$G,"3月"))/10000</f>
        <v>0</v>
      </c>
      <c r="M20" s="29">
        <f>(SUMIFS(终端客户销售统计表!$K:$K,终端客户销售统计表!$L:$L,$B20,终端客户销售统计表!$H:$H,$D20,终端客户销售统计表!$G:$G,"4月")+SUMIFS(终端客户销售统计表!$K:$K,终端客户销售统计表!$L:$L,$B20,终端客户销售统计表!$H:$H,$D20,终端客户销售统计表!$G:$G,"5月")+SUMIFS(终端客户销售统计表!$K:$K,终端客户销售统计表!$L:$L,$B20,终端客户销售统计表!$H:$H,$D20,终端客户销售统计表!$G:$G,"6月"))/10000</f>
        <v>100</v>
      </c>
      <c r="N20" s="29">
        <f>(SUMIFS(终端客户销售统计表!$K:$K,终端客户销售统计表!$L:$L,$B20,终端客户销售统计表!$H:$H,$D20,终端客户销售统计表!$G:$G,"7月")+SUMIFS(终端客户销售统计表!$K:$K,终端客户销售统计表!$L:$L,$B20,终端客户销售统计表!$H:$H,$D20,终端客户销售统计表!$G:$G,"8月")+SUMIFS(终端客户销售统计表!$K:$K,终端客户销售统计表!$L:$L,$B20,终端客户销售统计表!$H:$H,$D20,终端客户销售统计表!$G:$G,"9月"))/10000</f>
        <v>0</v>
      </c>
      <c r="O20" s="29">
        <f>(SUMIFS(终端客户销售统计表!$K:$K,终端客户销售统计表!$L:$L,$B20,终端客户销售统计表!$H:$H,$D20,终端客户销售统计表!$G:$G,"10月")+SUMIFS(终端客户销售统计表!$K:$K,终端客户销售统计表!$L:$L,$B20,终端客户销售统计表!$H:$H,$D20,终端客户销售统计表!$G:$G,"11月")+SUMIFS(终端客户销售统计表!$K:$K,终端客户销售统计表!$L:$L,$B20,终端客户销售统计表!$H:$H,$D20,终端客户销售统计表!$G:$G,"12月"))/10000</f>
        <v>0</v>
      </c>
      <c r="P20" s="29">
        <f>SUM(L20:O20)</f>
        <v>100</v>
      </c>
      <c r="Q20" s="44" t="str">
        <f t="shared" si="6"/>
        <v/>
      </c>
      <c r="R20" s="29">
        <f>(SUMIFS('代理商-进货明细表'!$I:$I,'代理商-进货明细表'!$B:$B,'代理商-产品进销存'!$B20,'代理商-进货明细表'!$F:$F,'代理商-产品进销存'!$D20,'代理商-进货明细表'!$E:$E,"1月")+SUMIFS('代理商-进货明细表'!$I:$I,'代理商-进货明细表'!$B:$B,'代理商-产品进销存'!$B20,'代理商-进货明细表'!$F:$F,'代理商-产品进销存'!$D20,'代理商-进货明细表'!$E:$E,"2月")+SUMIFS('代理商-进货明细表'!$I:$I,'代理商-进货明细表'!$B:$B,'代理商-产品进销存'!$B20,'代理商-进货明细表'!$F:$F,'代理商-产品进销存'!$D20,'代理商-进货明细表'!$E:$E,"3月"))/10000</f>
        <v>0</v>
      </c>
      <c r="S20" s="29">
        <f>(SUMIFS('代理商-进货明细表'!$I:$I,'代理商-进货明细表'!$B:$B,'代理商-产品进销存'!$B20,'代理商-进货明细表'!$F:$F,'代理商-产品进销存'!$D20,'代理商-进货明细表'!$E:$E,"4月")+SUMIFS('代理商-进货明细表'!$I:$I,'代理商-进货明细表'!$B:$B,'代理商-产品进销存'!$B20,'代理商-进货明细表'!$F:$F,'代理商-产品进销存'!$D20,'代理商-进货明细表'!$E:$E,"5月")+SUMIFS('代理商-进货明细表'!$I:$I,'代理商-进货明细表'!$B:$B,'代理商-产品进销存'!$B20,'代理商-进货明细表'!$F:$F,'代理商-产品进销存'!$D20,'代理商-进货明细表'!$E:$E,"6月"))/10000</f>
        <v>0</v>
      </c>
      <c r="T20" s="29">
        <f>(SUMIFS('代理商-进货明细表'!$I:$I,'代理商-进货明细表'!$B:$B,'代理商-产品进销存'!$B20,'代理商-进货明细表'!$F:$F,'代理商-产品进销存'!$D20,'代理商-进货明细表'!$E:$E,"7月")+SUMIFS('代理商-进货明细表'!$I:$I,'代理商-进货明细表'!$B:$B,'代理商-产品进销存'!$B20,'代理商-进货明细表'!$F:$F,'代理商-产品进销存'!$D20,'代理商-进货明细表'!$E:$E,"8月")+SUMIFS('代理商-进货明细表'!$I:$I,'代理商-进货明细表'!$B:$B,'代理商-产品进销存'!$B20,'代理商-进货明细表'!$F:$F,'代理商-产品进销存'!$D20,'代理商-进货明细表'!$E:$E,"9月"))/10000</f>
        <v>0</v>
      </c>
      <c r="U20" s="29">
        <f>(SUMIFS('代理商-进货明细表'!$I:$I,'代理商-进货明细表'!$B:$B,'代理商-产品进销存'!$B20,'代理商-进货明细表'!$F:$F,'代理商-产品进销存'!$D20,'代理商-进货明细表'!$E:$E,"10月")+SUMIFS('代理商-进货明细表'!$I:$I,'代理商-进货明细表'!$B:$B,'代理商-产品进销存'!$B20,'代理商-进货明细表'!$F:$F,'代理商-产品进销存'!$D20,'代理商-进货明细表'!$E:$E,"11月")+SUMIFS('代理商-进货明细表'!$I:$I,'代理商-进货明细表'!$B:$B,'代理商-产品进销存'!$B20,'代理商-进货明细表'!$F:$F,'代理商-产品进销存'!$D20,'代理商-进货明细表'!$E:$E,"12月"))/10000</f>
        <v>0</v>
      </c>
      <c r="V20" s="29">
        <f t="shared" si="7"/>
        <v>0</v>
      </c>
      <c r="W20" s="29">
        <f t="shared" si="8"/>
        <v>0</v>
      </c>
      <c r="X20" s="29">
        <f t="shared" si="9"/>
        <v>-100</v>
      </c>
      <c r="Y20" s="29">
        <f t="shared" si="10"/>
        <v>0</v>
      </c>
      <c r="Z20" s="29">
        <f t="shared" si="11"/>
        <v>0</v>
      </c>
      <c r="AA20" s="29">
        <f t="shared" si="12"/>
        <v>-100</v>
      </c>
    </row>
    <row r="21" spans="1:27" x14ac:dyDescent="0.3">
      <c r="A21" s="2" t="s">
        <v>165</v>
      </c>
      <c r="B21" s="2" t="s">
        <v>87</v>
      </c>
      <c r="D21" s="3" t="s">
        <v>16</v>
      </c>
      <c r="L21" s="29">
        <f>(SUMIFS(终端客户销售统计表!$K:$K,终端客户销售统计表!$L:$L,$B21,终端客户销售统计表!$H:$H,$D21,终端客户销售统计表!$G:$G,"1月")+SUMIFS(终端客户销售统计表!$K:$K,终端客户销售统计表!$L:$L,$B21,终端客户销售统计表!$H:$H,$D21,终端客户销售统计表!$G:$G,"2月")+SUMIFS(终端客户销售统计表!$K:$K,终端客户销售统计表!$L:$L,$B21,终端客户销售统计表!$H:$H,$D21,终端客户销售统计表!$G:$G,"3月"))/10000</f>
        <v>0</v>
      </c>
      <c r="M21" s="29">
        <f>(SUMIFS(终端客户销售统计表!$K:$K,终端客户销售统计表!$L:$L,$B21,终端客户销售统计表!$H:$H,$D21,终端客户销售统计表!$G:$G,"4月")+SUMIFS(终端客户销售统计表!$K:$K,终端客户销售统计表!$L:$L,$B21,终端客户销售统计表!$H:$H,$D21,终端客户销售统计表!$G:$G,"5月")+SUMIFS(终端客户销售统计表!$K:$K,终端客户销售统计表!$L:$L,$B21,终端客户销售统计表!$H:$H,$D21,终端客户销售统计表!$G:$G,"6月"))/10000</f>
        <v>0</v>
      </c>
      <c r="N21" s="29">
        <f>(SUMIFS(终端客户销售统计表!$K:$K,终端客户销售统计表!$L:$L,$B21,终端客户销售统计表!$H:$H,$D21,终端客户销售统计表!$G:$G,"7月")+SUMIFS(终端客户销售统计表!$K:$K,终端客户销售统计表!$L:$L,$B21,终端客户销售统计表!$H:$H,$D21,终端客户销售统计表!$G:$G,"8月")+SUMIFS(终端客户销售统计表!$K:$K,终端客户销售统计表!$L:$L,$B21,终端客户销售统计表!$H:$H,$D21,终端客户销售统计表!$G:$G,"9月"))/10000</f>
        <v>0</v>
      </c>
      <c r="O21" s="29">
        <f>(SUMIFS(终端客户销售统计表!$K:$K,终端客户销售统计表!$L:$L,$B21,终端客户销售统计表!$H:$H,$D21,终端客户销售统计表!$G:$G,"10月")+SUMIFS(终端客户销售统计表!$K:$K,终端客户销售统计表!$L:$L,$B21,终端客户销售统计表!$H:$H,$D21,终端客户销售统计表!$G:$G,"11月")+SUMIFS(终端客户销售统计表!$K:$K,终端客户销售统计表!$L:$L,$B21,终端客户销售统计表!$H:$H,$D21,终端客户销售统计表!$G:$G,"12月"))/10000</f>
        <v>0</v>
      </c>
      <c r="P21" s="29">
        <f>SUM(L21:O21)</f>
        <v>0</v>
      </c>
      <c r="Q21" s="44" t="str">
        <f t="shared" si="6"/>
        <v/>
      </c>
      <c r="R21" s="29">
        <f>(SUMIFS('代理商-进货明细表'!$I:$I,'代理商-进货明细表'!$B:$B,'代理商-产品进销存'!$B21,'代理商-进货明细表'!$F:$F,'代理商-产品进销存'!$D21,'代理商-进货明细表'!$E:$E,"1月")+SUMIFS('代理商-进货明细表'!$I:$I,'代理商-进货明细表'!$B:$B,'代理商-产品进销存'!$B21,'代理商-进货明细表'!$F:$F,'代理商-产品进销存'!$D21,'代理商-进货明细表'!$E:$E,"2月")+SUMIFS('代理商-进货明细表'!$I:$I,'代理商-进货明细表'!$B:$B,'代理商-产品进销存'!$B21,'代理商-进货明细表'!$F:$F,'代理商-产品进销存'!$D21,'代理商-进货明细表'!$E:$E,"3月"))/10000</f>
        <v>0</v>
      </c>
      <c r="S21" s="29">
        <f>(SUMIFS('代理商-进货明细表'!$I:$I,'代理商-进货明细表'!$B:$B,'代理商-产品进销存'!$B21,'代理商-进货明细表'!$F:$F,'代理商-产品进销存'!$D21,'代理商-进货明细表'!$E:$E,"4月")+SUMIFS('代理商-进货明细表'!$I:$I,'代理商-进货明细表'!$B:$B,'代理商-产品进销存'!$B21,'代理商-进货明细表'!$F:$F,'代理商-产品进销存'!$D21,'代理商-进货明细表'!$E:$E,"5月")+SUMIFS('代理商-进货明细表'!$I:$I,'代理商-进货明细表'!$B:$B,'代理商-产品进销存'!$B21,'代理商-进货明细表'!$F:$F,'代理商-产品进销存'!$D21,'代理商-进货明细表'!$E:$E,"6月"))/10000</f>
        <v>0</v>
      </c>
      <c r="T21" s="29">
        <f>(SUMIFS('代理商-进货明细表'!$I:$I,'代理商-进货明细表'!$B:$B,'代理商-产品进销存'!$B21,'代理商-进货明细表'!$F:$F,'代理商-产品进销存'!$D21,'代理商-进货明细表'!$E:$E,"7月")+SUMIFS('代理商-进货明细表'!$I:$I,'代理商-进货明细表'!$B:$B,'代理商-产品进销存'!$B21,'代理商-进货明细表'!$F:$F,'代理商-产品进销存'!$D21,'代理商-进货明细表'!$E:$E,"8月")+SUMIFS('代理商-进货明细表'!$I:$I,'代理商-进货明细表'!$B:$B,'代理商-产品进销存'!$B21,'代理商-进货明细表'!$F:$F,'代理商-产品进销存'!$D21,'代理商-进货明细表'!$E:$E,"9月"))/10000</f>
        <v>0</v>
      </c>
      <c r="U21" s="29">
        <f>(SUMIFS('代理商-进货明细表'!$I:$I,'代理商-进货明细表'!$B:$B,'代理商-产品进销存'!$B21,'代理商-进货明细表'!$F:$F,'代理商-产品进销存'!$D21,'代理商-进货明细表'!$E:$E,"10月")+SUMIFS('代理商-进货明细表'!$I:$I,'代理商-进货明细表'!$B:$B,'代理商-产品进销存'!$B21,'代理商-进货明细表'!$F:$F,'代理商-产品进销存'!$D21,'代理商-进货明细表'!$E:$E,"11月")+SUMIFS('代理商-进货明细表'!$I:$I,'代理商-进货明细表'!$B:$B,'代理商-产品进销存'!$B21,'代理商-进货明细表'!$F:$F,'代理商-产品进销存'!$D21,'代理商-进货明细表'!$E:$E,"12月"))/10000</f>
        <v>0</v>
      </c>
      <c r="V21" s="29">
        <f t="shared" si="7"/>
        <v>0</v>
      </c>
      <c r="W21" s="29">
        <f t="shared" si="8"/>
        <v>0</v>
      </c>
      <c r="X21" s="29">
        <f t="shared" si="9"/>
        <v>0</v>
      </c>
      <c r="Y21" s="29">
        <f t="shared" si="10"/>
        <v>0</v>
      </c>
      <c r="Z21" s="29">
        <f t="shared" si="11"/>
        <v>0</v>
      </c>
      <c r="AA21" s="29">
        <f t="shared" si="12"/>
        <v>0</v>
      </c>
    </row>
    <row r="22" spans="1:27" x14ac:dyDescent="0.3">
      <c r="A22" s="2" t="s">
        <v>165</v>
      </c>
      <c r="B22" s="2" t="s">
        <v>87</v>
      </c>
      <c r="D22" s="3" t="s">
        <v>17</v>
      </c>
      <c r="L22" s="29">
        <f>(SUMIFS(终端客户销售统计表!$K:$K,终端客户销售统计表!$L:$L,$B22,终端客户销售统计表!$H:$H,$D22,终端客户销售统计表!$G:$G,"1月")+SUMIFS(终端客户销售统计表!$K:$K,终端客户销售统计表!$L:$L,$B22,终端客户销售统计表!$H:$H,$D22,终端客户销售统计表!$G:$G,"2月")+SUMIFS(终端客户销售统计表!$K:$K,终端客户销售统计表!$L:$L,$B22,终端客户销售统计表!$H:$H,$D22,终端客户销售统计表!$G:$G,"3月"))/10000</f>
        <v>0</v>
      </c>
      <c r="M22" s="29">
        <f>(SUMIFS(终端客户销售统计表!$K:$K,终端客户销售统计表!$L:$L,$B22,终端客户销售统计表!$H:$H,$D22,终端客户销售统计表!$G:$G,"4月")+SUMIFS(终端客户销售统计表!$K:$K,终端客户销售统计表!$L:$L,$B22,终端客户销售统计表!$H:$H,$D22,终端客户销售统计表!$G:$G,"5月")+SUMIFS(终端客户销售统计表!$K:$K,终端客户销售统计表!$L:$L,$B22,终端客户销售统计表!$H:$H,$D22,终端客户销售统计表!$G:$G,"6月"))/10000</f>
        <v>0</v>
      </c>
      <c r="N22" s="29">
        <f>(SUMIFS(终端客户销售统计表!$K:$K,终端客户销售统计表!$L:$L,$B22,终端客户销售统计表!$H:$H,$D22,终端客户销售统计表!$G:$G,"7月")+SUMIFS(终端客户销售统计表!$K:$K,终端客户销售统计表!$L:$L,$B22,终端客户销售统计表!$H:$H,$D22,终端客户销售统计表!$G:$G,"8月")+SUMIFS(终端客户销售统计表!$K:$K,终端客户销售统计表!$L:$L,$B22,终端客户销售统计表!$H:$H,$D22,终端客户销售统计表!$G:$G,"9月"))/10000</f>
        <v>0</v>
      </c>
      <c r="O22" s="29">
        <f>(SUMIFS(终端客户销售统计表!$K:$K,终端客户销售统计表!$L:$L,$B22,终端客户销售统计表!$H:$H,$D22,终端客户销售统计表!$G:$G,"10月")+SUMIFS(终端客户销售统计表!$K:$K,终端客户销售统计表!$L:$L,$B22,终端客户销售统计表!$H:$H,$D22,终端客户销售统计表!$G:$G,"11月")+SUMIFS(终端客户销售统计表!$K:$K,终端客户销售统计表!$L:$L,$B22,终端客户销售统计表!$H:$H,$D22,终端客户销售统计表!$G:$G,"12月"))/10000</f>
        <v>0</v>
      </c>
      <c r="P22" s="29">
        <f>SUM(L22:O22)</f>
        <v>0</v>
      </c>
      <c r="Q22" s="44" t="str">
        <f t="shared" si="6"/>
        <v/>
      </c>
      <c r="R22" s="29">
        <f>(SUMIFS('代理商-进货明细表'!$I:$I,'代理商-进货明细表'!$B:$B,'代理商-产品进销存'!$B22,'代理商-进货明细表'!$F:$F,'代理商-产品进销存'!$D22,'代理商-进货明细表'!$E:$E,"1月")+SUMIFS('代理商-进货明细表'!$I:$I,'代理商-进货明细表'!$B:$B,'代理商-产品进销存'!$B22,'代理商-进货明细表'!$F:$F,'代理商-产品进销存'!$D22,'代理商-进货明细表'!$E:$E,"2月")+SUMIFS('代理商-进货明细表'!$I:$I,'代理商-进货明细表'!$B:$B,'代理商-产品进销存'!$B22,'代理商-进货明细表'!$F:$F,'代理商-产品进销存'!$D22,'代理商-进货明细表'!$E:$E,"3月"))/10000</f>
        <v>0</v>
      </c>
      <c r="S22" s="29">
        <f>(SUMIFS('代理商-进货明细表'!$I:$I,'代理商-进货明细表'!$B:$B,'代理商-产品进销存'!$B22,'代理商-进货明细表'!$F:$F,'代理商-产品进销存'!$D22,'代理商-进货明细表'!$E:$E,"4月")+SUMIFS('代理商-进货明细表'!$I:$I,'代理商-进货明细表'!$B:$B,'代理商-产品进销存'!$B22,'代理商-进货明细表'!$F:$F,'代理商-产品进销存'!$D22,'代理商-进货明细表'!$E:$E,"5月")+SUMIFS('代理商-进货明细表'!$I:$I,'代理商-进货明细表'!$B:$B,'代理商-产品进销存'!$B22,'代理商-进货明细表'!$F:$F,'代理商-产品进销存'!$D22,'代理商-进货明细表'!$E:$E,"6月"))/10000</f>
        <v>0</v>
      </c>
      <c r="T22" s="29">
        <f>(SUMIFS('代理商-进货明细表'!$I:$I,'代理商-进货明细表'!$B:$B,'代理商-产品进销存'!$B22,'代理商-进货明细表'!$F:$F,'代理商-产品进销存'!$D22,'代理商-进货明细表'!$E:$E,"7月")+SUMIFS('代理商-进货明细表'!$I:$I,'代理商-进货明细表'!$B:$B,'代理商-产品进销存'!$B22,'代理商-进货明细表'!$F:$F,'代理商-产品进销存'!$D22,'代理商-进货明细表'!$E:$E,"8月")+SUMIFS('代理商-进货明细表'!$I:$I,'代理商-进货明细表'!$B:$B,'代理商-产品进销存'!$B22,'代理商-进货明细表'!$F:$F,'代理商-产品进销存'!$D22,'代理商-进货明细表'!$E:$E,"9月"))/10000</f>
        <v>0</v>
      </c>
      <c r="U22" s="29">
        <f>(SUMIFS('代理商-进货明细表'!$I:$I,'代理商-进货明细表'!$B:$B,'代理商-产品进销存'!$B22,'代理商-进货明细表'!$F:$F,'代理商-产品进销存'!$D22,'代理商-进货明细表'!$E:$E,"10月")+SUMIFS('代理商-进货明细表'!$I:$I,'代理商-进货明细表'!$B:$B,'代理商-产品进销存'!$B22,'代理商-进货明细表'!$F:$F,'代理商-产品进销存'!$D22,'代理商-进货明细表'!$E:$E,"11月")+SUMIFS('代理商-进货明细表'!$I:$I,'代理商-进货明细表'!$B:$B,'代理商-产品进销存'!$B22,'代理商-进货明细表'!$F:$F,'代理商-产品进销存'!$D22,'代理商-进货明细表'!$E:$E,"12月"))/10000</f>
        <v>0</v>
      </c>
      <c r="V22" s="29">
        <f t="shared" si="7"/>
        <v>0</v>
      </c>
      <c r="W22" s="29">
        <f t="shared" si="8"/>
        <v>0</v>
      </c>
      <c r="X22" s="29">
        <f t="shared" si="9"/>
        <v>0</v>
      </c>
      <c r="Y22" s="29">
        <f t="shared" si="10"/>
        <v>0</v>
      </c>
      <c r="Z22" s="29">
        <f t="shared" si="11"/>
        <v>0</v>
      </c>
      <c r="AA22" s="29">
        <f t="shared" si="12"/>
        <v>0</v>
      </c>
    </row>
    <row r="23" spans="1:27" x14ac:dyDescent="0.3">
      <c r="A23" s="2" t="s">
        <v>166</v>
      </c>
      <c r="B23" s="2" t="s">
        <v>88</v>
      </c>
      <c r="D23" s="3" t="s">
        <v>14</v>
      </c>
      <c r="L23" s="29">
        <f>(SUMIFS(终端客户销售统计表!$K:$K,终端客户销售统计表!$L:$L,$B23,终端客户销售统计表!$H:$H,$D23,终端客户销售统计表!$G:$G,"1月")+SUMIFS(终端客户销售统计表!$K:$K,终端客户销售统计表!$L:$L,$B23,终端客户销售统计表!$H:$H,$D23,终端客户销售统计表!$G:$G,"2月")+SUMIFS(终端客户销售统计表!$K:$K,终端客户销售统计表!$L:$L,$B23,终端客户销售统计表!$H:$H,$D23,终端客户销售统计表!$G:$G,"3月"))/10000</f>
        <v>0</v>
      </c>
      <c r="M23" s="29">
        <f>(SUMIFS(终端客户销售统计表!$K:$K,终端客户销售统计表!$L:$L,$B23,终端客户销售统计表!$H:$H,$D23,终端客户销售统计表!$G:$G,"4月")+SUMIFS(终端客户销售统计表!$K:$K,终端客户销售统计表!$L:$L,$B23,终端客户销售统计表!$H:$H,$D23,终端客户销售统计表!$G:$G,"5月")+SUMIFS(终端客户销售统计表!$K:$K,终端客户销售统计表!$L:$L,$B23,终端客户销售统计表!$H:$H,$D23,终端客户销售统计表!$G:$G,"6月"))/10000</f>
        <v>0</v>
      </c>
      <c r="N23" s="29">
        <f>(SUMIFS(终端客户销售统计表!$K:$K,终端客户销售统计表!$L:$L,$B23,终端客户销售统计表!$H:$H,$D23,终端客户销售统计表!$G:$G,"7月")+SUMIFS(终端客户销售统计表!$K:$K,终端客户销售统计表!$L:$L,$B23,终端客户销售统计表!$H:$H,$D23,终端客户销售统计表!$G:$G,"8月")+SUMIFS(终端客户销售统计表!$K:$K,终端客户销售统计表!$L:$L,$B23,终端客户销售统计表!$H:$H,$D23,终端客户销售统计表!$G:$G,"9月"))/10000</f>
        <v>0</v>
      </c>
      <c r="O23" s="29">
        <f>(SUMIFS(终端客户销售统计表!$K:$K,终端客户销售统计表!$L:$L,$B23,终端客户销售统计表!$H:$H,$D23,终端客户销售统计表!$G:$G,"10月")+SUMIFS(终端客户销售统计表!$K:$K,终端客户销售统计表!$L:$L,$B23,终端客户销售统计表!$H:$H,$D23,终端客户销售统计表!$G:$G,"11月")+SUMIFS(终端客户销售统计表!$K:$K,终端客户销售统计表!$L:$L,$B23,终端客户销售统计表!$H:$H,$D23,终端客户销售统计表!$G:$G,"12月"))/10000</f>
        <v>0</v>
      </c>
      <c r="P23" s="29">
        <f>SUM(L23:O23)</f>
        <v>0</v>
      </c>
      <c r="Q23" s="44" t="str">
        <f t="shared" si="6"/>
        <v/>
      </c>
      <c r="R23" s="29">
        <f>(SUMIFS('代理商-进货明细表'!$I:$I,'代理商-进货明细表'!$B:$B,'代理商-产品进销存'!$B23,'代理商-进货明细表'!$F:$F,'代理商-产品进销存'!$D23,'代理商-进货明细表'!$E:$E,"1月")+SUMIFS('代理商-进货明细表'!$I:$I,'代理商-进货明细表'!$B:$B,'代理商-产品进销存'!$B23,'代理商-进货明细表'!$F:$F,'代理商-产品进销存'!$D23,'代理商-进货明细表'!$E:$E,"2月")+SUMIFS('代理商-进货明细表'!$I:$I,'代理商-进货明细表'!$B:$B,'代理商-产品进销存'!$B23,'代理商-进货明细表'!$F:$F,'代理商-产品进销存'!$D23,'代理商-进货明细表'!$E:$E,"3月"))/10000</f>
        <v>0</v>
      </c>
      <c r="S23" s="29">
        <f>(SUMIFS('代理商-进货明细表'!$I:$I,'代理商-进货明细表'!$B:$B,'代理商-产品进销存'!$B23,'代理商-进货明细表'!$F:$F,'代理商-产品进销存'!$D23,'代理商-进货明细表'!$E:$E,"4月")+SUMIFS('代理商-进货明细表'!$I:$I,'代理商-进货明细表'!$B:$B,'代理商-产品进销存'!$B23,'代理商-进货明细表'!$F:$F,'代理商-产品进销存'!$D23,'代理商-进货明细表'!$E:$E,"5月")+SUMIFS('代理商-进货明细表'!$I:$I,'代理商-进货明细表'!$B:$B,'代理商-产品进销存'!$B23,'代理商-进货明细表'!$F:$F,'代理商-产品进销存'!$D23,'代理商-进货明细表'!$E:$E,"6月"))/10000</f>
        <v>0</v>
      </c>
      <c r="T23" s="29">
        <f>(SUMIFS('代理商-进货明细表'!$I:$I,'代理商-进货明细表'!$B:$B,'代理商-产品进销存'!$B23,'代理商-进货明细表'!$F:$F,'代理商-产品进销存'!$D23,'代理商-进货明细表'!$E:$E,"7月")+SUMIFS('代理商-进货明细表'!$I:$I,'代理商-进货明细表'!$B:$B,'代理商-产品进销存'!$B23,'代理商-进货明细表'!$F:$F,'代理商-产品进销存'!$D23,'代理商-进货明细表'!$E:$E,"8月")+SUMIFS('代理商-进货明细表'!$I:$I,'代理商-进货明细表'!$B:$B,'代理商-产品进销存'!$B23,'代理商-进货明细表'!$F:$F,'代理商-产品进销存'!$D23,'代理商-进货明细表'!$E:$E,"9月"))/10000</f>
        <v>0</v>
      </c>
      <c r="U23" s="29">
        <f>(SUMIFS('代理商-进货明细表'!$I:$I,'代理商-进货明细表'!$B:$B,'代理商-产品进销存'!$B23,'代理商-进货明细表'!$F:$F,'代理商-产品进销存'!$D23,'代理商-进货明细表'!$E:$E,"10月")+SUMIFS('代理商-进货明细表'!$I:$I,'代理商-进货明细表'!$B:$B,'代理商-产品进销存'!$B23,'代理商-进货明细表'!$F:$F,'代理商-产品进销存'!$D23,'代理商-进货明细表'!$E:$E,"11月")+SUMIFS('代理商-进货明细表'!$I:$I,'代理商-进货明细表'!$B:$B,'代理商-产品进销存'!$B23,'代理商-进货明细表'!$F:$F,'代理商-产品进销存'!$D23,'代理商-进货明细表'!$E:$E,"12月"))/10000</f>
        <v>0</v>
      </c>
      <c r="V23" s="29">
        <f t="shared" si="7"/>
        <v>0</v>
      </c>
      <c r="W23" s="29">
        <f t="shared" si="8"/>
        <v>0</v>
      </c>
      <c r="X23" s="29">
        <f t="shared" si="9"/>
        <v>0</v>
      </c>
      <c r="Y23" s="29">
        <f t="shared" si="10"/>
        <v>0</v>
      </c>
      <c r="Z23" s="29">
        <f t="shared" si="11"/>
        <v>0</v>
      </c>
      <c r="AA23" s="29">
        <f t="shared" si="12"/>
        <v>0</v>
      </c>
    </row>
    <row r="24" spans="1:27" x14ac:dyDescent="0.3">
      <c r="A24" s="2" t="s">
        <v>166</v>
      </c>
      <c r="B24" s="2" t="s">
        <v>88</v>
      </c>
      <c r="D24" s="3" t="s">
        <v>15</v>
      </c>
      <c r="L24" s="29">
        <f>(SUMIFS(终端客户销售统计表!$K:$K,终端客户销售统计表!$L:$L,$B24,终端客户销售统计表!$H:$H,$D24,终端客户销售统计表!$G:$G,"1月")+SUMIFS(终端客户销售统计表!$K:$K,终端客户销售统计表!$L:$L,$B24,终端客户销售统计表!$H:$H,$D24,终端客户销售统计表!$G:$G,"2月")+SUMIFS(终端客户销售统计表!$K:$K,终端客户销售统计表!$L:$L,$B24,终端客户销售统计表!$H:$H,$D24,终端客户销售统计表!$G:$G,"3月"))/10000</f>
        <v>0</v>
      </c>
      <c r="M24" s="29">
        <f>(SUMIFS(终端客户销售统计表!$K:$K,终端客户销售统计表!$L:$L,$B24,终端客户销售统计表!$H:$H,$D24,终端客户销售统计表!$G:$G,"4月")+SUMIFS(终端客户销售统计表!$K:$K,终端客户销售统计表!$L:$L,$B24,终端客户销售统计表!$H:$H,$D24,终端客户销售统计表!$G:$G,"5月")+SUMIFS(终端客户销售统计表!$K:$K,终端客户销售统计表!$L:$L,$B24,终端客户销售统计表!$H:$H,$D24,终端客户销售统计表!$G:$G,"6月"))/10000</f>
        <v>0</v>
      </c>
      <c r="N24" s="29">
        <f>(SUMIFS(终端客户销售统计表!$K:$K,终端客户销售统计表!$L:$L,$B24,终端客户销售统计表!$H:$H,$D24,终端客户销售统计表!$G:$G,"7月")+SUMIFS(终端客户销售统计表!$K:$K,终端客户销售统计表!$L:$L,$B24,终端客户销售统计表!$H:$H,$D24,终端客户销售统计表!$G:$G,"8月")+SUMIFS(终端客户销售统计表!$K:$K,终端客户销售统计表!$L:$L,$B24,终端客户销售统计表!$H:$H,$D24,终端客户销售统计表!$G:$G,"9月"))/10000</f>
        <v>0</v>
      </c>
      <c r="O24" s="29">
        <f>(SUMIFS(终端客户销售统计表!$K:$K,终端客户销售统计表!$L:$L,$B24,终端客户销售统计表!$H:$H,$D24,终端客户销售统计表!$G:$G,"10月")+SUMIFS(终端客户销售统计表!$K:$K,终端客户销售统计表!$L:$L,$B24,终端客户销售统计表!$H:$H,$D24,终端客户销售统计表!$G:$G,"11月")+SUMIFS(终端客户销售统计表!$K:$K,终端客户销售统计表!$L:$L,$B24,终端客户销售统计表!$H:$H,$D24,终端客户销售统计表!$G:$G,"12月"))/10000</f>
        <v>0</v>
      </c>
      <c r="P24" s="29">
        <f>SUM(L24:O24)</f>
        <v>0</v>
      </c>
      <c r="Q24" s="44" t="str">
        <f t="shared" si="6"/>
        <v/>
      </c>
      <c r="R24" s="29">
        <f>(SUMIFS('代理商-进货明细表'!$I:$I,'代理商-进货明细表'!$B:$B,'代理商-产品进销存'!$B24,'代理商-进货明细表'!$F:$F,'代理商-产品进销存'!$D24,'代理商-进货明细表'!$E:$E,"1月")+SUMIFS('代理商-进货明细表'!$I:$I,'代理商-进货明细表'!$B:$B,'代理商-产品进销存'!$B24,'代理商-进货明细表'!$F:$F,'代理商-产品进销存'!$D24,'代理商-进货明细表'!$E:$E,"2月")+SUMIFS('代理商-进货明细表'!$I:$I,'代理商-进货明细表'!$B:$B,'代理商-产品进销存'!$B24,'代理商-进货明细表'!$F:$F,'代理商-产品进销存'!$D24,'代理商-进货明细表'!$E:$E,"3月"))/10000</f>
        <v>0</v>
      </c>
      <c r="S24" s="29">
        <f>(SUMIFS('代理商-进货明细表'!$I:$I,'代理商-进货明细表'!$B:$B,'代理商-产品进销存'!$B24,'代理商-进货明细表'!$F:$F,'代理商-产品进销存'!$D24,'代理商-进货明细表'!$E:$E,"4月")+SUMIFS('代理商-进货明细表'!$I:$I,'代理商-进货明细表'!$B:$B,'代理商-产品进销存'!$B24,'代理商-进货明细表'!$F:$F,'代理商-产品进销存'!$D24,'代理商-进货明细表'!$E:$E,"5月")+SUMIFS('代理商-进货明细表'!$I:$I,'代理商-进货明细表'!$B:$B,'代理商-产品进销存'!$B24,'代理商-进货明细表'!$F:$F,'代理商-产品进销存'!$D24,'代理商-进货明细表'!$E:$E,"6月"))/10000</f>
        <v>0</v>
      </c>
      <c r="T24" s="29">
        <f>(SUMIFS('代理商-进货明细表'!$I:$I,'代理商-进货明细表'!$B:$B,'代理商-产品进销存'!$B24,'代理商-进货明细表'!$F:$F,'代理商-产品进销存'!$D24,'代理商-进货明细表'!$E:$E,"7月")+SUMIFS('代理商-进货明细表'!$I:$I,'代理商-进货明细表'!$B:$B,'代理商-产品进销存'!$B24,'代理商-进货明细表'!$F:$F,'代理商-产品进销存'!$D24,'代理商-进货明细表'!$E:$E,"8月")+SUMIFS('代理商-进货明细表'!$I:$I,'代理商-进货明细表'!$B:$B,'代理商-产品进销存'!$B24,'代理商-进货明细表'!$F:$F,'代理商-产品进销存'!$D24,'代理商-进货明细表'!$E:$E,"9月"))/10000</f>
        <v>0</v>
      </c>
      <c r="U24" s="29">
        <f>(SUMIFS('代理商-进货明细表'!$I:$I,'代理商-进货明细表'!$B:$B,'代理商-产品进销存'!$B24,'代理商-进货明细表'!$F:$F,'代理商-产品进销存'!$D24,'代理商-进货明细表'!$E:$E,"10月")+SUMIFS('代理商-进货明细表'!$I:$I,'代理商-进货明细表'!$B:$B,'代理商-产品进销存'!$B24,'代理商-进货明细表'!$F:$F,'代理商-产品进销存'!$D24,'代理商-进货明细表'!$E:$E,"11月")+SUMIFS('代理商-进货明细表'!$I:$I,'代理商-进货明细表'!$B:$B,'代理商-产品进销存'!$B24,'代理商-进货明细表'!$F:$F,'代理商-产品进销存'!$D24,'代理商-进货明细表'!$E:$E,"12月"))/10000</f>
        <v>0</v>
      </c>
      <c r="V24" s="29">
        <f t="shared" si="7"/>
        <v>0</v>
      </c>
      <c r="W24" s="29">
        <f t="shared" si="8"/>
        <v>0</v>
      </c>
      <c r="X24" s="29">
        <f t="shared" si="9"/>
        <v>0</v>
      </c>
      <c r="Y24" s="29">
        <f t="shared" si="10"/>
        <v>0</v>
      </c>
      <c r="Z24" s="29">
        <f t="shared" si="11"/>
        <v>0</v>
      </c>
      <c r="AA24" s="29">
        <f t="shared" si="12"/>
        <v>0</v>
      </c>
    </row>
    <row r="25" spans="1:27" x14ac:dyDescent="0.3">
      <c r="A25" s="2" t="s">
        <v>166</v>
      </c>
      <c r="B25" s="2" t="s">
        <v>88</v>
      </c>
      <c r="D25" s="3" t="s">
        <v>16</v>
      </c>
      <c r="L25" s="29">
        <f>(SUMIFS(终端客户销售统计表!$K:$K,终端客户销售统计表!$L:$L,$B25,终端客户销售统计表!$H:$H,$D25,终端客户销售统计表!$G:$G,"1月")+SUMIFS(终端客户销售统计表!$K:$K,终端客户销售统计表!$L:$L,$B25,终端客户销售统计表!$H:$H,$D25,终端客户销售统计表!$G:$G,"2月")+SUMIFS(终端客户销售统计表!$K:$K,终端客户销售统计表!$L:$L,$B25,终端客户销售统计表!$H:$H,$D25,终端客户销售统计表!$G:$G,"3月"))/10000</f>
        <v>0</v>
      </c>
      <c r="M25" s="29">
        <f>(SUMIFS(终端客户销售统计表!$K:$K,终端客户销售统计表!$L:$L,$B25,终端客户销售统计表!$H:$H,$D25,终端客户销售统计表!$G:$G,"4月")+SUMIFS(终端客户销售统计表!$K:$K,终端客户销售统计表!$L:$L,$B25,终端客户销售统计表!$H:$H,$D25,终端客户销售统计表!$G:$G,"5月")+SUMIFS(终端客户销售统计表!$K:$K,终端客户销售统计表!$L:$L,$B25,终端客户销售统计表!$H:$H,$D25,终端客户销售统计表!$G:$G,"6月"))/10000</f>
        <v>0</v>
      </c>
      <c r="N25" s="29">
        <f>(SUMIFS(终端客户销售统计表!$K:$K,终端客户销售统计表!$L:$L,$B25,终端客户销售统计表!$H:$H,$D25,终端客户销售统计表!$G:$G,"7月")+SUMIFS(终端客户销售统计表!$K:$K,终端客户销售统计表!$L:$L,$B25,终端客户销售统计表!$H:$H,$D25,终端客户销售统计表!$G:$G,"8月")+SUMIFS(终端客户销售统计表!$K:$K,终端客户销售统计表!$L:$L,$B25,终端客户销售统计表!$H:$H,$D25,终端客户销售统计表!$G:$G,"9月"))/10000</f>
        <v>100</v>
      </c>
      <c r="O25" s="29">
        <f>(SUMIFS(终端客户销售统计表!$K:$K,终端客户销售统计表!$L:$L,$B25,终端客户销售统计表!$H:$H,$D25,终端客户销售统计表!$G:$G,"10月")+SUMIFS(终端客户销售统计表!$K:$K,终端客户销售统计表!$L:$L,$B25,终端客户销售统计表!$H:$H,$D25,终端客户销售统计表!$G:$G,"11月")+SUMIFS(终端客户销售统计表!$K:$K,终端客户销售统计表!$L:$L,$B25,终端客户销售统计表!$H:$H,$D25,终端客户销售统计表!$G:$G,"12月"))/10000</f>
        <v>0</v>
      </c>
      <c r="P25" s="29">
        <f>SUM(L25:O25)</f>
        <v>100</v>
      </c>
      <c r="Q25" s="44" t="str">
        <f t="shared" si="6"/>
        <v/>
      </c>
      <c r="R25" s="29">
        <f>(SUMIFS('代理商-进货明细表'!$I:$I,'代理商-进货明细表'!$B:$B,'代理商-产品进销存'!$B25,'代理商-进货明细表'!$F:$F,'代理商-产品进销存'!$D25,'代理商-进货明细表'!$E:$E,"1月")+SUMIFS('代理商-进货明细表'!$I:$I,'代理商-进货明细表'!$B:$B,'代理商-产品进销存'!$B25,'代理商-进货明细表'!$F:$F,'代理商-产品进销存'!$D25,'代理商-进货明细表'!$E:$E,"2月")+SUMIFS('代理商-进货明细表'!$I:$I,'代理商-进货明细表'!$B:$B,'代理商-产品进销存'!$B25,'代理商-进货明细表'!$F:$F,'代理商-产品进销存'!$D25,'代理商-进货明细表'!$E:$E,"3月"))/10000</f>
        <v>0</v>
      </c>
      <c r="S25" s="29">
        <f>(SUMIFS('代理商-进货明细表'!$I:$I,'代理商-进货明细表'!$B:$B,'代理商-产品进销存'!$B25,'代理商-进货明细表'!$F:$F,'代理商-产品进销存'!$D25,'代理商-进货明细表'!$E:$E,"4月")+SUMIFS('代理商-进货明细表'!$I:$I,'代理商-进货明细表'!$B:$B,'代理商-产品进销存'!$B25,'代理商-进货明细表'!$F:$F,'代理商-产品进销存'!$D25,'代理商-进货明细表'!$E:$E,"5月")+SUMIFS('代理商-进货明细表'!$I:$I,'代理商-进货明细表'!$B:$B,'代理商-产品进销存'!$B25,'代理商-进货明细表'!$F:$F,'代理商-产品进销存'!$D25,'代理商-进货明细表'!$E:$E,"6月"))/10000</f>
        <v>0</v>
      </c>
      <c r="T25" s="29">
        <f>(SUMIFS('代理商-进货明细表'!$I:$I,'代理商-进货明细表'!$B:$B,'代理商-产品进销存'!$B25,'代理商-进货明细表'!$F:$F,'代理商-产品进销存'!$D25,'代理商-进货明细表'!$E:$E,"7月")+SUMIFS('代理商-进货明细表'!$I:$I,'代理商-进货明细表'!$B:$B,'代理商-产品进销存'!$B25,'代理商-进货明细表'!$F:$F,'代理商-产品进销存'!$D25,'代理商-进货明细表'!$E:$E,"8月")+SUMIFS('代理商-进货明细表'!$I:$I,'代理商-进货明细表'!$B:$B,'代理商-产品进销存'!$B25,'代理商-进货明细表'!$F:$F,'代理商-产品进销存'!$D25,'代理商-进货明细表'!$E:$E,"9月"))/10000</f>
        <v>0</v>
      </c>
      <c r="U25" s="29">
        <f>(SUMIFS('代理商-进货明细表'!$I:$I,'代理商-进货明细表'!$B:$B,'代理商-产品进销存'!$B25,'代理商-进货明细表'!$F:$F,'代理商-产品进销存'!$D25,'代理商-进货明细表'!$E:$E,"10月")+SUMIFS('代理商-进货明细表'!$I:$I,'代理商-进货明细表'!$B:$B,'代理商-产品进销存'!$B25,'代理商-进货明细表'!$F:$F,'代理商-产品进销存'!$D25,'代理商-进货明细表'!$E:$E,"11月")+SUMIFS('代理商-进货明细表'!$I:$I,'代理商-进货明细表'!$B:$B,'代理商-产品进销存'!$B25,'代理商-进货明细表'!$F:$F,'代理商-产品进销存'!$D25,'代理商-进货明细表'!$E:$E,"12月"))/10000</f>
        <v>0</v>
      </c>
      <c r="V25" s="29">
        <f t="shared" si="7"/>
        <v>0</v>
      </c>
      <c r="W25" s="29">
        <f t="shared" si="8"/>
        <v>0</v>
      </c>
      <c r="X25" s="29">
        <f t="shared" si="9"/>
        <v>0</v>
      </c>
      <c r="Y25" s="29">
        <f t="shared" si="10"/>
        <v>-100</v>
      </c>
      <c r="Z25" s="29">
        <f t="shared" si="11"/>
        <v>0</v>
      </c>
      <c r="AA25" s="29">
        <f t="shared" si="12"/>
        <v>-100</v>
      </c>
    </row>
    <row r="26" spans="1:27" x14ac:dyDescent="0.3">
      <c r="A26" s="2" t="s">
        <v>166</v>
      </c>
      <c r="B26" s="2" t="s">
        <v>88</v>
      </c>
      <c r="D26" s="3" t="s">
        <v>17</v>
      </c>
      <c r="L26" s="29">
        <f>(SUMIFS(终端客户销售统计表!$K:$K,终端客户销售统计表!$L:$L,$B26,终端客户销售统计表!$H:$H,$D26,终端客户销售统计表!$G:$G,"1月")+SUMIFS(终端客户销售统计表!$K:$K,终端客户销售统计表!$L:$L,$B26,终端客户销售统计表!$H:$H,$D26,终端客户销售统计表!$G:$G,"2月")+SUMIFS(终端客户销售统计表!$K:$K,终端客户销售统计表!$L:$L,$B26,终端客户销售统计表!$H:$H,$D26,终端客户销售统计表!$G:$G,"3月"))/10000</f>
        <v>0</v>
      </c>
      <c r="M26" s="29">
        <f>(SUMIFS(终端客户销售统计表!$K:$K,终端客户销售统计表!$L:$L,$B26,终端客户销售统计表!$H:$H,$D26,终端客户销售统计表!$G:$G,"4月")+SUMIFS(终端客户销售统计表!$K:$K,终端客户销售统计表!$L:$L,$B26,终端客户销售统计表!$H:$H,$D26,终端客户销售统计表!$G:$G,"5月")+SUMIFS(终端客户销售统计表!$K:$K,终端客户销售统计表!$L:$L,$B26,终端客户销售统计表!$H:$H,$D26,终端客户销售统计表!$G:$G,"6月"))/10000</f>
        <v>0</v>
      </c>
      <c r="N26" s="29">
        <f>(SUMIFS(终端客户销售统计表!$K:$K,终端客户销售统计表!$L:$L,$B26,终端客户销售统计表!$H:$H,$D26,终端客户销售统计表!$G:$G,"7月")+SUMIFS(终端客户销售统计表!$K:$K,终端客户销售统计表!$L:$L,$B26,终端客户销售统计表!$H:$H,$D26,终端客户销售统计表!$G:$G,"8月")+SUMIFS(终端客户销售统计表!$K:$K,终端客户销售统计表!$L:$L,$B26,终端客户销售统计表!$H:$H,$D26,终端客户销售统计表!$G:$G,"9月"))/10000</f>
        <v>0</v>
      </c>
      <c r="O26" s="29">
        <f>(SUMIFS(终端客户销售统计表!$K:$K,终端客户销售统计表!$L:$L,$B26,终端客户销售统计表!$H:$H,$D26,终端客户销售统计表!$G:$G,"10月")+SUMIFS(终端客户销售统计表!$K:$K,终端客户销售统计表!$L:$L,$B26,终端客户销售统计表!$H:$H,$D26,终端客户销售统计表!$G:$G,"11月")+SUMIFS(终端客户销售统计表!$K:$K,终端客户销售统计表!$L:$L,$B26,终端客户销售统计表!$H:$H,$D26,终端客户销售统计表!$G:$G,"12月"))/10000</f>
        <v>100</v>
      </c>
      <c r="P26" s="29">
        <f>SUM(L26:O26)</f>
        <v>100</v>
      </c>
      <c r="Q26" s="44" t="str">
        <f t="shared" si="6"/>
        <v/>
      </c>
      <c r="R26" s="29">
        <f>(SUMIFS('代理商-进货明细表'!$I:$I,'代理商-进货明细表'!$B:$B,'代理商-产品进销存'!$B26,'代理商-进货明细表'!$F:$F,'代理商-产品进销存'!$D26,'代理商-进货明细表'!$E:$E,"1月")+SUMIFS('代理商-进货明细表'!$I:$I,'代理商-进货明细表'!$B:$B,'代理商-产品进销存'!$B26,'代理商-进货明细表'!$F:$F,'代理商-产品进销存'!$D26,'代理商-进货明细表'!$E:$E,"2月")+SUMIFS('代理商-进货明细表'!$I:$I,'代理商-进货明细表'!$B:$B,'代理商-产品进销存'!$B26,'代理商-进货明细表'!$F:$F,'代理商-产品进销存'!$D26,'代理商-进货明细表'!$E:$E,"3月"))/10000</f>
        <v>0</v>
      </c>
      <c r="S26" s="29">
        <f>(SUMIFS('代理商-进货明细表'!$I:$I,'代理商-进货明细表'!$B:$B,'代理商-产品进销存'!$B26,'代理商-进货明细表'!$F:$F,'代理商-产品进销存'!$D26,'代理商-进货明细表'!$E:$E,"4月")+SUMIFS('代理商-进货明细表'!$I:$I,'代理商-进货明细表'!$B:$B,'代理商-产品进销存'!$B26,'代理商-进货明细表'!$F:$F,'代理商-产品进销存'!$D26,'代理商-进货明细表'!$E:$E,"5月")+SUMIFS('代理商-进货明细表'!$I:$I,'代理商-进货明细表'!$B:$B,'代理商-产品进销存'!$B26,'代理商-进货明细表'!$F:$F,'代理商-产品进销存'!$D26,'代理商-进货明细表'!$E:$E,"6月"))/10000</f>
        <v>0</v>
      </c>
      <c r="T26" s="29">
        <f>(SUMIFS('代理商-进货明细表'!$I:$I,'代理商-进货明细表'!$B:$B,'代理商-产品进销存'!$B26,'代理商-进货明细表'!$F:$F,'代理商-产品进销存'!$D26,'代理商-进货明细表'!$E:$E,"7月")+SUMIFS('代理商-进货明细表'!$I:$I,'代理商-进货明细表'!$B:$B,'代理商-产品进销存'!$B26,'代理商-进货明细表'!$F:$F,'代理商-产品进销存'!$D26,'代理商-进货明细表'!$E:$E,"8月")+SUMIFS('代理商-进货明细表'!$I:$I,'代理商-进货明细表'!$B:$B,'代理商-产品进销存'!$B26,'代理商-进货明细表'!$F:$F,'代理商-产品进销存'!$D26,'代理商-进货明细表'!$E:$E,"9月"))/10000</f>
        <v>0</v>
      </c>
      <c r="U26" s="29">
        <f>(SUMIFS('代理商-进货明细表'!$I:$I,'代理商-进货明细表'!$B:$B,'代理商-产品进销存'!$B26,'代理商-进货明细表'!$F:$F,'代理商-产品进销存'!$D26,'代理商-进货明细表'!$E:$E,"10月")+SUMIFS('代理商-进货明细表'!$I:$I,'代理商-进货明细表'!$B:$B,'代理商-产品进销存'!$B26,'代理商-进货明细表'!$F:$F,'代理商-产品进销存'!$D26,'代理商-进货明细表'!$E:$E,"11月")+SUMIFS('代理商-进货明细表'!$I:$I,'代理商-进货明细表'!$B:$B,'代理商-产品进销存'!$B26,'代理商-进货明细表'!$F:$F,'代理商-产品进销存'!$D26,'代理商-进货明细表'!$E:$E,"12月"))/10000</f>
        <v>0</v>
      </c>
      <c r="V26" s="29">
        <f t="shared" si="7"/>
        <v>0</v>
      </c>
      <c r="W26" s="29">
        <f t="shared" si="8"/>
        <v>0</v>
      </c>
      <c r="X26" s="29">
        <f t="shared" si="9"/>
        <v>0</v>
      </c>
      <c r="Y26" s="29">
        <f t="shared" si="10"/>
        <v>0</v>
      </c>
      <c r="Z26" s="29">
        <f t="shared" si="11"/>
        <v>-100</v>
      </c>
      <c r="AA26" s="29">
        <f t="shared" si="12"/>
        <v>-100</v>
      </c>
    </row>
    <row r="27" spans="1:27" x14ac:dyDescent="0.3">
      <c r="A27" s="2" t="s">
        <v>167</v>
      </c>
      <c r="B27" s="2" t="s">
        <v>89</v>
      </c>
      <c r="D27" s="3" t="s">
        <v>14</v>
      </c>
      <c r="L27" s="29">
        <f>(SUMIFS(终端客户销售统计表!$K:$K,终端客户销售统计表!$L:$L,$B27,终端客户销售统计表!$H:$H,$D27,终端客户销售统计表!$G:$G,"1月")+SUMIFS(终端客户销售统计表!$K:$K,终端客户销售统计表!$L:$L,$B27,终端客户销售统计表!$H:$H,$D27,终端客户销售统计表!$G:$G,"2月")+SUMIFS(终端客户销售统计表!$K:$K,终端客户销售统计表!$L:$L,$B27,终端客户销售统计表!$H:$H,$D27,终端客户销售统计表!$G:$G,"3月"))/10000</f>
        <v>0</v>
      </c>
      <c r="M27" s="29">
        <f>(SUMIFS(终端客户销售统计表!$K:$K,终端客户销售统计表!$L:$L,$B27,终端客户销售统计表!$H:$H,$D27,终端客户销售统计表!$G:$G,"4月")+SUMIFS(终端客户销售统计表!$K:$K,终端客户销售统计表!$L:$L,$B27,终端客户销售统计表!$H:$H,$D27,终端客户销售统计表!$G:$G,"5月")+SUMIFS(终端客户销售统计表!$K:$K,终端客户销售统计表!$L:$L,$B27,终端客户销售统计表!$H:$H,$D27,终端客户销售统计表!$G:$G,"6月"))/10000</f>
        <v>0</v>
      </c>
      <c r="N27" s="29">
        <f>(SUMIFS(终端客户销售统计表!$K:$K,终端客户销售统计表!$L:$L,$B27,终端客户销售统计表!$H:$H,$D27,终端客户销售统计表!$G:$G,"7月")+SUMIFS(终端客户销售统计表!$K:$K,终端客户销售统计表!$L:$L,$B27,终端客户销售统计表!$H:$H,$D27,终端客户销售统计表!$G:$G,"8月")+SUMIFS(终端客户销售统计表!$K:$K,终端客户销售统计表!$L:$L,$B27,终端客户销售统计表!$H:$H,$D27,终端客户销售统计表!$G:$G,"9月"))/10000</f>
        <v>0</v>
      </c>
      <c r="O27" s="29">
        <f>(SUMIFS(终端客户销售统计表!$K:$K,终端客户销售统计表!$L:$L,$B27,终端客户销售统计表!$H:$H,$D27,终端客户销售统计表!$G:$G,"10月")+SUMIFS(终端客户销售统计表!$K:$K,终端客户销售统计表!$L:$L,$B27,终端客户销售统计表!$H:$H,$D27,终端客户销售统计表!$G:$G,"11月")+SUMIFS(终端客户销售统计表!$K:$K,终端客户销售统计表!$L:$L,$B27,终端客户销售统计表!$H:$H,$D27,终端客户销售统计表!$G:$G,"12月"))/10000</f>
        <v>0</v>
      </c>
      <c r="P27" s="29">
        <f>SUM(L27:O27)</f>
        <v>0</v>
      </c>
      <c r="Q27" s="44" t="str">
        <f t="shared" si="6"/>
        <v/>
      </c>
      <c r="R27" s="29">
        <f>(SUMIFS('代理商-进货明细表'!$I:$I,'代理商-进货明细表'!$B:$B,'代理商-产品进销存'!$B27,'代理商-进货明细表'!$F:$F,'代理商-产品进销存'!$D27,'代理商-进货明细表'!$E:$E,"1月")+SUMIFS('代理商-进货明细表'!$I:$I,'代理商-进货明细表'!$B:$B,'代理商-产品进销存'!$B27,'代理商-进货明细表'!$F:$F,'代理商-产品进销存'!$D27,'代理商-进货明细表'!$E:$E,"2月")+SUMIFS('代理商-进货明细表'!$I:$I,'代理商-进货明细表'!$B:$B,'代理商-产品进销存'!$B27,'代理商-进货明细表'!$F:$F,'代理商-产品进销存'!$D27,'代理商-进货明细表'!$E:$E,"3月"))/10000</f>
        <v>0</v>
      </c>
      <c r="S27" s="29">
        <f>(SUMIFS('代理商-进货明细表'!$I:$I,'代理商-进货明细表'!$B:$B,'代理商-产品进销存'!$B27,'代理商-进货明细表'!$F:$F,'代理商-产品进销存'!$D27,'代理商-进货明细表'!$E:$E,"4月")+SUMIFS('代理商-进货明细表'!$I:$I,'代理商-进货明细表'!$B:$B,'代理商-产品进销存'!$B27,'代理商-进货明细表'!$F:$F,'代理商-产品进销存'!$D27,'代理商-进货明细表'!$E:$E,"5月")+SUMIFS('代理商-进货明细表'!$I:$I,'代理商-进货明细表'!$B:$B,'代理商-产品进销存'!$B27,'代理商-进货明细表'!$F:$F,'代理商-产品进销存'!$D27,'代理商-进货明细表'!$E:$E,"6月"))/10000</f>
        <v>0</v>
      </c>
      <c r="T27" s="29">
        <f>(SUMIFS('代理商-进货明细表'!$I:$I,'代理商-进货明细表'!$B:$B,'代理商-产品进销存'!$B27,'代理商-进货明细表'!$F:$F,'代理商-产品进销存'!$D27,'代理商-进货明细表'!$E:$E,"7月")+SUMIFS('代理商-进货明细表'!$I:$I,'代理商-进货明细表'!$B:$B,'代理商-产品进销存'!$B27,'代理商-进货明细表'!$F:$F,'代理商-产品进销存'!$D27,'代理商-进货明细表'!$E:$E,"8月")+SUMIFS('代理商-进货明细表'!$I:$I,'代理商-进货明细表'!$B:$B,'代理商-产品进销存'!$B27,'代理商-进货明细表'!$F:$F,'代理商-产品进销存'!$D27,'代理商-进货明细表'!$E:$E,"9月"))/10000</f>
        <v>0</v>
      </c>
      <c r="U27" s="29">
        <f>(SUMIFS('代理商-进货明细表'!$I:$I,'代理商-进货明细表'!$B:$B,'代理商-产品进销存'!$B27,'代理商-进货明细表'!$F:$F,'代理商-产品进销存'!$D27,'代理商-进货明细表'!$E:$E,"10月")+SUMIFS('代理商-进货明细表'!$I:$I,'代理商-进货明细表'!$B:$B,'代理商-产品进销存'!$B27,'代理商-进货明细表'!$F:$F,'代理商-产品进销存'!$D27,'代理商-进货明细表'!$E:$E,"11月")+SUMIFS('代理商-进货明细表'!$I:$I,'代理商-进货明细表'!$B:$B,'代理商-产品进销存'!$B27,'代理商-进货明细表'!$F:$F,'代理商-产品进销存'!$D27,'代理商-进货明细表'!$E:$E,"12月"))/10000</f>
        <v>0</v>
      </c>
      <c r="V27" s="29">
        <f t="shared" si="7"/>
        <v>0</v>
      </c>
      <c r="W27" s="29">
        <f t="shared" si="8"/>
        <v>0</v>
      </c>
      <c r="X27" s="29">
        <f t="shared" si="9"/>
        <v>0</v>
      </c>
      <c r="Y27" s="29">
        <f t="shared" si="10"/>
        <v>0</v>
      </c>
      <c r="Z27" s="29">
        <f t="shared" si="11"/>
        <v>0</v>
      </c>
      <c r="AA27" s="29">
        <f t="shared" si="12"/>
        <v>0</v>
      </c>
    </row>
    <row r="28" spans="1:27" x14ac:dyDescent="0.3">
      <c r="A28" s="2" t="s">
        <v>167</v>
      </c>
      <c r="B28" s="2" t="s">
        <v>89</v>
      </c>
      <c r="D28" s="3" t="s">
        <v>15</v>
      </c>
      <c r="L28" s="29">
        <f>(SUMIFS(终端客户销售统计表!$K:$K,终端客户销售统计表!$L:$L,$B28,终端客户销售统计表!$H:$H,$D28,终端客户销售统计表!$G:$G,"1月")+SUMIFS(终端客户销售统计表!$K:$K,终端客户销售统计表!$L:$L,$B28,终端客户销售统计表!$H:$H,$D28,终端客户销售统计表!$G:$G,"2月")+SUMIFS(终端客户销售统计表!$K:$K,终端客户销售统计表!$L:$L,$B28,终端客户销售统计表!$H:$H,$D28,终端客户销售统计表!$G:$G,"3月"))/10000</f>
        <v>0</v>
      </c>
      <c r="M28" s="29">
        <f>(SUMIFS(终端客户销售统计表!$K:$K,终端客户销售统计表!$L:$L,$B28,终端客户销售统计表!$H:$H,$D28,终端客户销售统计表!$G:$G,"4月")+SUMIFS(终端客户销售统计表!$K:$K,终端客户销售统计表!$L:$L,$B28,终端客户销售统计表!$H:$H,$D28,终端客户销售统计表!$G:$G,"5月")+SUMIFS(终端客户销售统计表!$K:$K,终端客户销售统计表!$L:$L,$B28,终端客户销售统计表!$H:$H,$D28,终端客户销售统计表!$G:$G,"6月"))/10000</f>
        <v>0</v>
      </c>
      <c r="N28" s="29">
        <f>(SUMIFS(终端客户销售统计表!$K:$K,终端客户销售统计表!$L:$L,$B28,终端客户销售统计表!$H:$H,$D28,终端客户销售统计表!$G:$G,"7月")+SUMIFS(终端客户销售统计表!$K:$K,终端客户销售统计表!$L:$L,$B28,终端客户销售统计表!$H:$H,$D28,终端客户销售统计表!$G:$G,"8月")+SUMIFS(终端客户销售统计表!$K:$K,终端客户销售统计表!$L:$L,$B28,终端客户销售统计表!$H:$H,$D28,终端客户销售统计表!$G:$G,"9月"))/10000</f>
        <v>0</v>
      </c>
      <c r="O28" s="29">
        <f>(SUMIFS(终端客户销售统计表!$K:$K,终端客户销售统计表!$L:$L,$B28,终端客户销售统计表!$H:$H,$D28,终端客户销售统计表!$G:$G,"10月")+SUMIFS(终端客户销售统计表!$K:$K,终端客户销售统计表!$L:$L,$B28,终端客户销售统计表!$H:$H,$D28,终端客户销售统计表!$G:$G,"11月")+SUMIFS(终端客户销售统计表!$K:$K,终端客户销售统计表!$L:$L,$B28,终端客户销售统计表!$H:$H,$D28,终端客户销售统计表!$G:$G,"12月"))/10000</f>
        <v>0</v>
      </c>
      <c r="P28" s="29">
        <f>SUM(L28:O28)</f>
        <v>0</v>
      </c>
      <c r="Q28" s="44" t="str">
        <f t="shared" si="6"/>
        <v/>
      </c>
      <c r="R28" s="29">
        <f>(SUMIFS('代理商-进货明细表'!$I:$I,'代理商-进货明细表'!$B:$B,'代理商-产品进销存'!$B28,'代理商-进货明细表'!$F:$F,'代理商-产品进销存'!$D28,'代理商-进货明细表'!$E:$E,"1月")+SUMIFS('代理商-进货明细表'!$I:$I,'代理商-进货明细表'!$B:$B,'代理商-产品进销存'!$B28,'代理商-进货明细表'!$F:$F,'代理商-产品进销存'!$D28,'代理商-进货明细表'!$E:$E,"2月")+SUMIFS('代理商-进货明细表'!$I:$I,'代理商-进货明细表'!$B:$B,'代理商-产品进销存'!$B28,'代理商-进货明细表'!$F:$F,'代理商-产品进销存'!$D28,'代理商-进货明细表'!$E:$E,"3月"))/10000</f>
        <v>0</v>
      </c>
      <c r="S28" s="29">
        <f>(SUMIFS('代理商-进货明细表'!$I:$I,'代理商-进货明细表'!$B:$B,'代理商-产品进销存'!$B28,'代理商-进货明细表'!$F:$F,'代理商-产品进销存'!$D28,'代理商-进货明细表'!$E:$E,"4月")+SUMIFS('代理商-进货明细表'!$I:$I,'代理商-进货明细表'!$B:$B,'代理商-产品进销存'!$B28,'代理商-进货明细表'!$F:$F,'代理商-产品进销存'!$D28,'代理商-进货明细表'!$E:$E,"5月")+SUMIFS('代理商-进货明细表'!$I:$I,'代理商-进货明细表'!$B:$B,'代理商-产品进销存'!$B28,'代理商-进货明细表'!$F:$F,'代理商-产品进销存'!$D28,'代理商-进货明细表'!$E:$E,"6月"))/10000</f>
        <v>0</v>
      </c>
      <c r="T28" s="29">
        <f>(SUMIFS('代理商-进货明细表'!$I:$I,'代理商-进货明细表'!$B:$B,'代理商-产品进销存'!$B28,'代理商-进货明细表'!$F:$F,'代理商-产品进销存'!$D28,'代理商-进货明细表'!$E:$E,"7月")+SUMIFS('代理商-进货明细表'!$I:$I,'代理商-进货明细表'!$B:$B,'代理商-产品进销存'!$B28,'代理商-进货明细表'!$F:$F,'代理商-产品进销存'!$D28,'代理商-进货明细表'!$E:$E,"8月")+SUMIFS('代理商-进货明细表'!$I:$I,'代理商-进货明细表'!$B:$B,'代理商-产品进销存'!$B28,'代理商-进货明细表'!$F:$F,'代理商-产品进销存'!$D28,'代理商-进货明细表'!$E:$E,"9月"))/10000</f>
        <v>0</v>
      </c>
      <c r="U28" s="29">
        <f>(SUMIFS('代理商-进货明细表'!$I:$I,'代理商-进货明细表'!$B:$B,'代理商-产品进销存'!$B28,'代理商-进货明细表'!$F:$F,'代理商-产品进销存'!$D28,'代理商-进货明细表'!$E:$E,"10月")+SUMIFS('代理商-进货明细表'!$I:$I,'代理商-进货明细表'!$B:$B,'代理商-产品进销存'!$B28,'代理商-进货明细表'!$F:$F,'代理商-产品进销存'!$D28,'代理商-进货明细表'!$E:$E,"11月")+SUMIFS('代理商-进货明细表'!$I:$I,'代理商-进货明细表'!$B:$B,'代理商-产品进销存'!$B28,'代理商-进货明细表'!$F:$F,'代理商-产品进销存'!$D28,'代理商-进货明细表'!$E:$E,"12月"))/10000</f>
        <v>0</v>
      </c>
      <c r="V28" s="29">
        <f t="shared" si="7"/>
        <v>0</v>
      </c>
      <c r="W28" s="29">
        <f t="shared" si="8"/>
        <v>0</v>
      </c>
      <c r="X28" s="29">
        <f t="shared" si="9"/>
        <v>0</v>
      </c>
      <c r="Y28" s="29">
        <f t="shared" si="10"/>
        <v>0</v>
      </c>
      <c r="Z28" s="29">
        <f t="shared" si="11"/>
        <v>0</v>
      </c>
      <c r="AA28" s="29">
        <f t="shared" si="12"/>
        <v>0</v>
      </c>
    </row>
    <row r="29" spans="1:27" x14ac:dyDescent="0.3">
      <c r="A29" s="2" t="s">
        <v>167</v>
      </c>
      <c r="B29" s="2" t="s">
        <v>89</v>
      </c>
      <c r="D29" s="3" t="s">
        <v>16</v>
      </c>
      <c r="L29" s="29">
        <f>(SUMIFS(终端客户销售统计表!$K:$K,终端客户销售统计表!$L:$L,$B29,终端客户销售统计表!$H:$H,$D29,终端客户销售统计表!$G:$G,"1月")+SUMIFS(终端客户销售统计表!$K:$K,终端客户销售统计表!$L:$L,$B29,终端客户销售统计表!$H:$H,$D29,终端客户销售统计表!$G:$G,"2月")+SUMIFS(终端客户销售统计表!$K:$K,终端客户销售统计表!$L:$L,$B29,终端客户销售统计表!$H:$H,$D29,终端客户销售统计表!$G:$G,"3月"))/10000</f>
        <v>0</v>
      </c>
      <c r="M29" s="29">
        <f>(SUMIFS(终端客户销售统计表!$K:$K,终端客户销售统计表!$L:$L,$B29,终端客户销售统计表!$H:$H,$D29,终端客户销售统计表!$G:$G,"4月")+SUMIFS(终端客户销售统计表!$K:$K,终端客户销售统计表!$L:$L,$B29,终端客户销售统计表!$H:$H,$D29,终端客户销售统计表!$G:$G,"5月")+SUMIFS(终端客户销售统计表!$K:$K,终端客户销售统计表!$L:$L,$B29,终端客户销售统计表!$H:$H,$D29,终端客户销售统计表!$G:$G,"6月"))/10000</f>
        <v>0</v>
      </c>
      <c r="N29" s="29">
        <f>(SUMIFS(终端客户销售统计表!$K:$K,终端客户销售统计表!$L:$L,$B29,终端客户销售统计表!$H:$H,$D29,终端客户销售统计表!$G:$G,"7月")+SUMIFS(终端客户销售统计表!$K:$K,终端客户销售统计表!$L:$L,$B29,终端客户销售统计表!$H:$H,$D29,终端客户销售统计表!$G:$G,"8月")+SUMIFS(终端客户销售统计表!$K:$K,终端客户销售统计表!$L:$L,$B29,终端客户销售统计表!$H:$H,$D29,终端客户销售统计表!$G:$G,"9月"))/10000</f>
        <v>0</v>
      </c>
      <c r="O29" s="29">
        <f>(SUMIFS(终端客户销售统计表!$K:$K,终端客户销售统计表!$L:$L,$B29,终端客户销售统计表!$H:$H,$D29,终端客户销售统计表!$G:$G,"10月")+SUMIFS(终端客户销售统计表!$K:$K,终端客户销售统计表!$L:$L,$B29,终端客户销售统计表!$H:$H,$D29,终端客户销售统计表!$G:$G,"11月")+SUMIFS(终端客户销售统计表!$K:$K,终端客户销售统计表!$L:$L,$B29,终端客户销售统计表!$H:$H,$D29,终端客户销售统计表!$G:$G,"12月"))/10000</f>
        <v>0</v>
      </c>
      <c r="P29" s="29">
        <f>SUM(L29:O29)</f>
        <v>0</v>
      </c>
      <c r="Q29" s="44" t="str">
        <f t="shared" si="6"/>
        <v/>
      </c>
      <c r="R29" s="29">
        <f>(SUMIFS('代理商-进货明细表'!$I:$I,'代理商-进货明细表'!$B:$B,'代理商-产品进销存'!$B29,'代理商-进货明细表'!$F:$F,'代理商-产品进销存'!$D29,'代理商-进货明细表'!$E:$E,"1月")+SUMIFS('代理商-进货明细表'!$I:$I,'代理商-进货明细表'!$B:$B,'代理商-产品进销存'!$B29,'代理商-进货明细表'!$F:$F,'代理商-产品进销存'!$D29,'代理商-进货明细表'!$E:$E,"2月")+SUMIFS('代理商-进货明细表'!$I:$I,'代理商-进货明细表'!$B:$B,'代理商-产品进销存'!$B29,'代理商-进货明细表'!$F:$F,'代理商-产品进销存'!$D29,'代理商-进货明细表'!$E:$E,"3月"))/10000</f>
        <v>0</v>
      </c>
      <c r="S29" s="29">
        <f>(SUMIFS('代理商-进货明细表'!$I:$I,'代理商-进货明细表'!$B:$B,'代理商-产品进销存'!$B29,'代理商-进货明细表'!$F:$F,'代理商-产品进销存'!$D29,'代理商-进货明细表'!$E:$E,"4月")+SUMIFS('代理商-进货明细表'!$I:$I,'代理商-进货明细表'!$B:$B,'代理商-产品进销存'!$B29,'代理商-进货明细表'!$F:$F,'代理商-产品进销存'!$D29,'代理商-进货明细表'!$E:$E,"5月")+SUMIFS('代理商-进货明细表'!$I:$I,'代理商-进货明细表'!$B:$B,'代理商-产品进销存'!$B29,'代理商-进货明细表'!$F:$F,'代理商-产品进销存'!$D29,'代理商-进货明细表'!$E:$E,"6月"))/10000</f>
        <v>0</v>
      </c>
      <c r="T29" s="29">
        <f>(SUMIFS('代理商-进货明细表'!$I:$I,'代理商-进货明细表'!$B:$B,'代理商-产品进销存'!$B29,'代理商-进货明细表'!$F:$F,'代理商-产品进销存'!$D29,'代理商-进货明细表'!$E:$E,"7月")+SUMIFS('代理商-进货明细表'!$I:$I,'代理商-进货明细表'!$B:$B,'代理商-产品进销存'!$B29,'代理商-进货明细表'!$F:$F,'代理商-产品进销存'!$D29,'代理商-进货明细表'!$E:$E,"8月")+SUMIFS('代理商-进货明细表'!$I:$I,'代理商-进货明细表'!$B:$B,'代理商-产品进销存'!$B29,'代理商-进货明细表'!$F:$F,'代理商-产品进销存'!$D29,'代理商-进货明细表'!$E:$E,"9月"))/10000</f>
        <v>0</v>
      </c>
      <c r="U29" s="29">
        <f>(SUMIFS('代理商-进货明细表'!$I:$I,'代理商-进货明细表'!$B:$B,'代理商-产品进销存'!$B29,'代理商-进货明细表'!$F:$F,'代理商-产品进销存'!$D29,'代理商-进货明细表'!$E:$E,"10月")+SUMIFS('代理商-进货明细表'!$I:$I,'代理商-进货明细表'!$B:$B,'代理商-产品进销存'!$B29,'代理商-进货明细表'!$F:$F,'代理商-产品进销存'!$D29,'代理商-进货明细表'!$E:$E,"11月")+SUMIFS('代理商-进货明细表'!$I:$I,'代理商-进货明细表'!$B:$B,'代理商-产品进销存'!$B29,'代理商-进货明细表'!$F:$F,'代理商-产品进销存'!$D29,'代理商-进货明细表'!$E:$E,"12月"))/10000</f>
        <v>0</v>
      </c>
      <c r="V29" s="29">
        <f t="shared" si="7"/>
        <v>0</v>
      </c>
      <c r="W29" s="29">
        <f t="shared" si="8"/>
        <v>0</v>
      </c>
      <c r="X29" s="29">
        <f t="shared" si="9"/>
        <v>0</v>
      </c>
      <c r="Y29" s="29">
        <f t="shared" si="10"/>
        <v>0</v>
      </c>
      <c r="Z29" s="29">
        <f t="shared" si="11"/>
        <v>0</v>
      </c>
      <c r="AA29" s="29">
        <f t="shared" si="12"/>
        <v>0</v>
      </c>
    </row>
    <row r="30" spans="1:27" x14ac:dyDescent="0.3">
      <c r="A30" s="2" t="s">
        <v>167</v>
      </c>
      <c r="B30" s="2" t="s">
        <v>89</v>
      </c>
      <c r="D30" s="3" t="s">
        <v>17</v>
      </c>
      <c r="L30" s="29">
        <f>(SUMIFS(终端客户销售统计表!$K:$K,终端客户销售统计表!$L:$L,$B30,终端客户销售统计表!$H:$H,$D30,终端客户销售统计表!$G:$G,"1月")+SUMIFS(终端客户销售统计表!$K:$K,终端客户销售统计表!$L:$L,$B30,终端客户销售统计表!$H:$H,$D30,终端客户销售统计表!$G:$G,"2月")+SUMIFS(终端客户销售统计表!$K:$K,终端客户销售统计表!$L:$L,$B30,终端客户销售统计表!$H:$H,$D30,终端客户销售统计表!$G:$G,"3月"))/10000</f>
        <v>0</v>
      </c>
      <c r="M30" s="29">
        <f>(SUMIFS(终端客户销售统计表!$K:$K,终端客户销售统计表!$L:$L,$B30,终端客户销售统计表!$H:$H,$D30,终端客户销售统计表!$G:$G,"4月")+SUMIFS(终端客户销售统计表!$K:$K,终端客户销售统计表!$L:$L,$B30,终端客户销售统计表!$H:$H,$D30,终端客户销售统计表!$G:$G,"5月")+SUMIFS(终端客户销售统计表!$K:$K,终端客户销售统计表!$L:$L,$B30,终端客户销售统计表!$H:$H,$D30,终端客户销售统计表!$G:$G,"6月"))/10000</f>
        <v>0</v>
      </c>
      <c r="N30" s="29">
        <f>(SUMIFS(终端客户销售统计表!$K:$K,终端客户销售统计表!$L:$L,$B30,终端客户销售统计表!$H:$H,$D30,终端客户销售统计表!$G:$G,"7月")+SUMIFS(终端客户销售统计表!$K:$K,终端客户销售统计表!$L:$L,$B30,终端客户销售统计表!$H:$H,$D30,终端客户销售统计表!$G:$G,"8月")+SUMIFS(终端客户销售统计表!$K:$K,终端客户销售统计表!$L:$L,$B30,终端客户销售统计表!$H:$H,$D30,终端客户销售统计表!$G:$G,"9月"))/10000</f>
        <v>0</v>
      </c>
      <c r="O30" s="29">
        <f>(SUMIFS(终端客户销售统计表!$K:$K,终端客户销售统计表!$L:$L,$B30,终端客户销售统计表!$H:$H,$D30,终端客户销售统计表!$G:$G,"10月")+SUMIFS(终端客户销售统计表!$K:$K,终端客户销售统计表!$L:$L,$B30,终端客户销售统计表!$H:$H,$D30,终端客户销售统计表!$G:$G,"11月")+SUMIFS(终端客户销售统计表!$K:$K,终端客户销售统计表!$L:$L,$B30,终端客户销售统计表!$H:$H,$D30,终端客户销售统计表!$G:$G,"12月"))/10000</f>
        <v>0</v>
      </c>
      <c r="P30" s="29">
        <f>SUM(L30:O30)</f>
        <v>0</v>
      </c>
      <c r="Q30" s="44" t="str">
        <f t="shared" si="6"/>
        <v/>
      </c>
      <c r="R30" s="29">
        <f>(SUMIFS('代理商-进货明细表'!$I:$I,'代理商-进货明细表'!$B:$B,'代理商-产品进销存'!$B30,'代理商-进货明细表'!$F:$F,'代理商-产品进销存'!$D30,'代理商-进货明细表'!$E:$E,"1月")+SUMIFS('代理商-进货明细表'!$I:$I,'代理商-进货明细表'!$B:$B,'代理商-产品进销存'!$B30,'代理商-进货明细表'!$F:$F,'代理商-产品进销存'!$D30,'代理商-进货明细表'!$E:$E,"2月")+SUMIFS('代理商-进货明细表'!$I:$I,'代理商-进货明细表'!$B:$B,'代理商-产品进销存'!$B30,'代理商-进货明细表'!$F:$F,'代理商-产品进销存'!$D30,'代理商-进货明细表'!$E:$E,"3月"))/10000</f>
        <v>0</v>
      </c>
      <c r="S30" s="29">
        <f>(SUMIFS('代理商-进货明细表'!$I:$I,'代理商-进货明细表'!$B:$B,'代理商-产品进销存'!$B30,'代理商-进货明细表'!$F:$F,'代理商-产品进销存'!$D30,'代理商-进货明细表'!$E:$E,"4月")+SUMIFS('代理商-进货明细表'!$I:$I,'代理商-进货明细表'!$B:$B,'代理商-产品进销存'!$B30,'代理商-进货明细表'!$F:$F,'代理商-产品进销存'!$D30,'代理商-进货明细表'!$E:$E,"5月")+SUMIFS('代理商-进货明细表'!$I:$I,'代理商-进货明细表'!$B:$B,'代理商-产品进销存'!$B30,'代理商-进货明细表'!$F:$F,'代理商-产品进销存'!$D30,'代理商-进货明细表'!$E:$E,"6月"))/10000</f>
        <v>0</v>
      </c>
      <c r="T30" s="29">
        <f>(SUMIFS('代理商-进货明细表'!$I:$I,'代理商-进货明细表'!$B:$B,'代理商-产品进销存'!$B30,'代理商-进货明细表'!$F:$F,'代理商-产品进销存'!$D30,'代理商-进货明细表'!$E:$E,"7月")+SUMIFS('代理商-进货明细表'!$I:$I,'代理商-进货明细表'!$B:$B,'代理商-产品进销存'!$B30,'代理商-进货明细表'!$F:$F,'代理商-产品进销存'!$D30,'代理商-进货明细表'!$E:$E,"8月")+SUMIFS('代理商-进货明细表'!$I:$I,'代理商-进货明细表'!$B:$B,'代理商-产品进销存'!$B30,'代理商-进货明细表'!$F:$F,'代理商-产品进销存'!$D30,'代理商-进货明细表'!$E:$E,"9月"))/10000</f>
        <v>0</v>
      </c>
      <c r="U30" s="29">
        <f>(SUMIFS('代理商-进货明细表'!$I:$I,'代理商-进货明细表'!$B:$B,'代理商-产品进销存'!$B30,'代理商-进货明细表'!$F:$F,'代理商-产品进销存'!$D30,'代理商-进货明细表'!$E:$E,"10月")+SUMIFS('代理商-进货明细表'!$I:$I,'代理商-进货明细表'!$B:$B,'代理商-产品进销存'!$B30,'代理商-进货明细表'!$F:$F,'代理商-产品进销存'!$D30,'代理商-进货明细表'!$E:$E,"11月")+SUMIFS('代理商-进货明细表'!$I:$I,'代理商-进货明细表'!$B:$B,'代理商-产品进销存'!$B30,'代理商-进货明细表'!$F:$F,'代理商-产品进销存'!$D30,'代理商-进货明细表'!$E:$E,"12月"))/10000</f>
        <v>0</v>
      </c>
      <c r="V30" s="29">
        <f t="shared" si="7"/>
        <v>0</v>
      </c>
      <c r="W30" s="29">
        <f t="shared" si="8"/>
        <v>0</v>
      </c>
      <c r="X30" s="29">
        <f t="shared" si="9"/>
        <v>0</v>
      </c>
      <c r="Y30" s="29">
        <f t="shared" si="10"/>
        <v>0</v>
      </c>
      <c r="Z30" s="29">
        <f t="shared" si="11"/>
        <v>0</v>
      </c>
      <c r="AA30" s="29">
        <f t="shared" si="12"/>
        <v>0</v>
      </c>
    </row>
    <row r="31" spans="1:27" x14ac:dyDescent="0.3">
      <c r="A31" s="2" t="s">
        <v>168</v>
      </c>
      <c r="B31" s="2" t="s">
        <v>90</v>
      </c>
      <c r="D31" s="3" t="s">
        <v>14</v>
      </c>
      <c r="L31" s="29">
        <f>(SUMIFS(终端客户销售统计表!$K:$K,终端客户销售统计表!$L:$L,$B31,终端客户销售统计表!$H:$H,$D31,终端客户销售统计表!$G:$G,"1月")+SUMIFS(终端客户销售统计表!$K:$K,终端客户销售统计表!$L:$L,$B31,终端客户销售统计表!$H:$H,$D31,终端客户销售统计表!$G:$G,"2月")+SUMIFS(终端客户销售统计表!$K:$K,终端客户销售统计表!$L:$L,$B31,终端客户销售统计表!$H:$H,$D31,终端客户销售统计表!$G:$G,"3月"))/10000</f>
        <v>0</v>
      </c>
      <c r="M31" s="29">
        <f>(SUMIFS(终端客户销售统计表!$K:$K,终端客户销售统计表!$L:$L,$B31,终端客户销售统计表!$H:$H,$D31,终端客户销售统计表!$G:$G,"4月")+SUMIFS(终端客户销售统计表!$K:$K,终端客户销售统计表!$L:$L,$B31,终端客户销售统计表!$H:$H,$D31,终端客户销售统计表!$G:$G,"5月")+SUMIFS(终端客户销售统计表!$K:$K,终端客户销售统计表!$L:$L,$B31,终端客户销售统计表!$H:$H,$D31,终端客户销售统计表!$G:$G,"6月"))/10000</f>
        <v>0</v>
      </c>
      <c r="N31" s="29">
        <f>(SUMIFS(终端客户销售统计表!$K:$K,终端客户销售统计表!$L:$L,$B31,终端客户销售统计表!$H:$H,$D31,终端客户销售统计表!$G:$G,"7月")+SUMIFS(终端客户销售统计表!$K:$K,终端客户销售统计表!$L:$L,$B31,终端客户销售统计表!$H:$H,$D31,终端客户销售统计表!$G:$G,"8月")+SUMIFS(终端客户销售统计表!$K:$K,终端客户销售统计表!$L:$L,$B31,终端客户销售统计表!$H:$H,$D31,终端客户销售统计表!$G:$G,"9月"))/10000</f>
        <v>0</v>
      </c>
      <c r="O31" s="29">
        <f>(SUMIFS(终端客户销售统计表!$K:$K,终端客户销售统计表!$L:$L,$B31,终端客户销售统计表!$H:$H,$D31,终端客户销售统计表!$G:$G,"10月")+SUMIFS(终端客户销售统计表!$K:$K,终端客户销售统计表!$L:$L,$B31,终端客户销售统计表!$H:$H,$D31,终端客户销售统计表!$G:$G,"11月")+SUMIFS(终端客户销售统计表!$K:$K,终端客户销售统计表!$L:$L,$B31,终端客户销售统计表!$H:$H,$D31,终端客户销售统计表!$G:$G,"12月"))/10000</f>
        <v>0</v>
      </c>
      <c r="P31" s="29">
        <f>SUM(L31:O31)</f>
        <v>0</v>
      </c>
      <c r="Q31" s="44" t="str">
        <f t="shared" si="6"/>
        <v/>
      </c>
      <c r="R31" s="29">
        <f>(SUMIFS('代理商-进货明细表'!$I:$I,'代理商-进货明细表'!$B:$B,'代理商-产品进销存'!$B31,'代理商-进货明细表'!$F:$F,'代理商-产品进销存'!$D31,'代理商-进货明细表'!$E:$E,"1月")+SUMIFS('代理商-进货明细表'!$I:$I,'代理商-进货明细表'!$B:$B,'代理商-产品进销存'!$B31,'代理商-进货明细表'!$F:$F,'代理商-产品进销存'!$D31,'代理商-进货明细表'!$E:$E,"2月")+SUMIFS('代理商-进货明细表'!$I:$I,'代理商-进货明细表'!$B:$B,'代理商-产品进销存'!$B31,'代理商-进货明细表'!$F:$F,'代理商-产品进销存'!$D31,'代理商-进货明细表'!$E:$E,"3月"))/10000</f>
        <v>0</v>
      </c>
      <c r="S31" s="29">
        <f>(SUMIFS('代理商-进货明细表'!$I:$I,'代理商-进货明细表'!$B:$B,'代理商-产品进销存'!$B31,'代理商-进货明细表'!$F:$F,'代理商-产品进销存'!$D31,'代理商-进货明细表'!$E:$E,"4月")+SUMIFS('代理商-进货明细表'!$I:$I,'代理商-进货明细表'!$B:$B,'代理商-产品进销存'!$B31,'代理商-进货明细表'!$F:$F,'代理商-产品进销存'!$D31,'代理商-进货明细表'!$E:$E,"5月")+SUMIFS('代理商-进货明细表'!$I:$I,'代理商-进货明细表'!$B:$B,'代理商-产品进销存'!$B31,'代理商-进货明细表'!$F:$F,'代理商-产品进销存'!$D31,'代理商-进货明细表'!$E:$E,"6月"))/10000</f>
        <v>0</v>
      </c>
      <c r="T31" s="29">
        <f>(SUMIFS('代理商-进货明细表'!$I:$I,'代理商-进货明细表'!$B:$B,'代理商-产品进销存'!$B31,'代理商-进货明细表'!$F:$F,'代理商-产品进销存'!$D31,'代理商-进货明细表'!$E:$E,"7月")+SUMIFS('代理商-进货明细表'!$I:$I,'代理商-进货明细表'!$B:$B,'代理商-产品进销存'!$B31,'代理商-进货明细表'!$F:$F,'代理商-产品进销存'!$D31,'代理商-进货明细表'!$E:$E,"8月")+SUMIFS('代理商-进货明细表'!$I:$I,'代理商-进货明细表'!$B:$B,'代理商-产品进销存'!$B31,'代理商-进货明细表'!$F:$F,'代理商-产品进销存'!$D31,'代理商-进货明细表'!$E:$E,"9月"))/10000</f>
        <v>0</v>
      </c>
      <c r="U31" s="29">
        <f>(SUMIFS('代理商-进货明细表'!$I:$I,'代理商-进货明细表'!$B:$B,'代理商-产品进销存'!$B31,'代理商-进货明细表'!$F:$F,'代理商-产品进销存'!$D31,'代理商-进货明细表'!$E:$E,"10月")+SUMIFS('代理商-进货明细表'!$I:$I,'代理商-进货明细表'!$B:$B,'代理商-产品进销存'!$B31,'代理商-进货明细表'!$F:$F,'代理商-产品进销存'!$D31,'代理商-进货明细表'!$E:$E,"11月")+SUMIFS('代理商-进货明细表'!$I:$I,'代理商-进货明细表'!$B:$B,'代理商-产品进销存'!$B31,'代理商-进货明细表'!$F:$F,'代理商-产品进销存'!$D31,'代理商-进货明细表'!$E:$E,"12月"))/10000</f>
        <v>0</v>
      </c>
      <c r="V31" s="29">
        <f t="shared" si="7"/>
        <v>0</v>
      </c>
      <c r="W31" s="29">
        <f t="shared" si="8"/>
        <v>0</v>
      </c>
      <c r="X31" s="29">
        <f t="shared" si="9"/>
        <v>0</v>
      </c>
      <c r="Y31" s="29">
        <f t="shared" si="10"/>
        <v>0</v>
      </c>
      <c r="Z31" s="29">
        <f t="shared" si="11"/>
        <v>0</v>
      </c>
      <c r="AA31" s="29">
        <f t="shared" si="12"/>
        <v>0</v>
      </c>
    </row>
    <row r="32" spans="1:27" x14ac:dyDescent="0.3">
      <c r="A32" s="2" t="s">
        <v>168</v>
      </c>
      <c r="B32" s="2" t="s">
        <v>90</v>
      </c>
      <c r="D32" s="3" t="s">
        <v>15</v>
      </c>
      <c r="L32" s="29">
        <f>(SUMIFS(终端客户销售统计表!$K:$K,终端客户销售统计表!$L:$L,$B32,终端客户销售统计表!$H:$H,$D32,终端客户销售统计表!$G:$G,"1月")+SUMIFS(终端客户销售统计表!$K:$K,终端客户销售统计表!$L:$L,$B32,终端客户销售统计表!$H:$H,$D32,终端客户销售统计表!$G:$G,"2月")+SUMIFS(终端客户销售统计表!$K:$K,终端客户销售统计表!$L:$L,$B32,终端客户销售统计表!$H:$H,$D32,终端客户销售统计表!$G:$G,"3月"))/10000</f>
        <v>0</v>
      </c>
      <c r="M32" s="29">
        <f>(SUMIFS(终端客户销售统计表!$K:$K,终端客户销售统计表!$L:$L,$B32,终端客户销售统计表!$H:$H,$D32,终端客户销售统计表!$G:$G,"4月")+SUMIFS(终端客户销售统计表!$K:$K,终端客户销售统计表!$L:$L,$B32,终端客户销售统计表!$H:$H,$D32,终端客户销售统计表!$G:$G,"5月")+SUMIFS(终端客户销售统计表!$K:$K,终端客户销售统计表!$L:$L,$B32,终端客户销售统计表!$H:$H,$D32,终端客户销售统计表!$G:$G,"6月"))/10000</f>
        <v>0</v>
      </c>
      <c r="N32" s="29">
        <f>(SUMIFS(终端客户销售统计表!$K:$K,终端客户销售统计表!$L:$L,$B32,终端客户销售统计表!$H:$H,$D32,终端客户销售统计表!$G:$G,"7月")+SUMIFS(终端客户销售统计表!$K:$K,终端客户销售统计表!$L:$L,$B32,终端客户销售统计表!$H:$H,$D32,终端客户销售统计表!$G:$G,"8月")+SUMIFS(终端客户销售统计表!$K:$K,终端客户销售统计表!$L:$L,$B32,终端客户销售统计表!$H:$H,$D32,终端客户销售统计表!$G:$G,"9月"))/10000</f>
        <v>0</v>
      </c>
      <c r="O32" s="29">
        <f>(SUMIFS(终端客户销售统计表!$K:$K,终端客户销售统计表!$L:$L,$B32,终端客户销售统计表!$H:$H,$D32,终端客户销售统计表!$G:$G,"10月")+SUMIFS(终端客户销售统计表!$K:$K,终端客户销售统计表!$L:$L,$B32,终端客户销售统计表!$H:$H,$D32,终端客户销售统计表!$G:$G,"11月")+SUMIFS(终端客户销售统计表!$K:$K,终端客户销售统计表!$L:$L,$B32,终端客户销售统计表!$H:$H,$D32,终端客户销售统计表!$G:$G,"12月"))/10000</f>
        <v>0</v>
      </c>
      <c r="P32" s="29">
        <f>SUM(L32:O32)</f>
        <v>0</v>
      </c>
      <c r="Q32" s="44" t="str">
        <f t="shared" si="6"/>
        <v/>
      </c>
      <c r="R32" s="29">
        <f>(SUMIFS('代理商-进货明细表'!$I:$I,'代理商-进货明细表'!$B:$B,'代理商-产品进销存'!$B32,'代理商-进货明细表'!$F:$F,'代理商-产品进销存'!$D32,'代理商-进货明细表'!$E:$E,"1月")+SUMIFS('代理商-进货明细表'!$I:$I,'代理商-进货明细表'!$B:$B,'代理商-产品进销存'!$B32,'代理商-进货明细表'!$F:$F,'代理商-产品进销存'!$D32,'代理商-进货明细表'!$E:$E,"2月")+SUMIFS('代理商-进货明细表'!$I:$I,'代理商-进货明细表'!$B:$B,'代理商-产品进销存'!$B32,'代理商-进货明细表'!$F:$F,'代理商-产品进销存'!$D32,'代理商-进货明细表'!$E:$E,"3月"))/10000</f>
        <v>0</v>
      </c>
      <c r="S32" s="29">
        <f>(SUMIFS('代理商-进货明细表'!$I:$I,'代理商-进货明细表'!$B:$B,'代理商-产品进销存'!$B32,'代理商-进货明细表'!$F:$F,'代理商-产品进销存'!$D32,'代理商-进货明细表'!$E:$E,"4月")+SUMIFS('代理商-进货明细表'!$I:$I,'代理商-进货明细表'!$B:$B,'代理商-产品进销存'!$B32,'代理商-进货明细表'!$F:$F,'代理商-产品进销存'!$D32,'代理商-进货明细表'!$E:$E,"5月")+SUMIFS('代理商-进货明细表'!$I:$I,'代理商-进货明细表'!$B:$B,'代理商-产品进销存'!$B32,'代理商-进货明细表'!$F:$F,'代理商-产品进销存'!$D32,'代理商-进货明细表'!$E:$E,"6月"))/10000</f>
        <v>0</v>
      </c>
      <c r="T32" s="29">
        <f>(SUMIFS('代理商-进货明细表'!$I:$I,'代理商-进货明细表'!$B:$B,'代理商-产品进销存'!$B32,'代理商-进货明细表'!$F:$F,'代理商-产品进销存'!$D32,'代理商-进货明细表'!$E:$E,"7月")+SUMIFS('代理商-进货明细表'!$I:$I,'代理商-进货明细表'!$B:$B,'代理商-产品进销存'!$B32,'代理商-进货明细表'!$F:$F,'代理商-产品进销存'!$D32,'代理商-进货明细表'!$E:$E,"8月")+SUMIFS('代理商-进货明细表'!$I:$I,'代理商-进货明细表'!$B:$B,'代理商-产品进销存'!$B32,'代理商-进货明细表'!$F:$F,'代理商-产品进销存'!$D32,'代理商-进货明细表'!$E:$E,"9月"))/10000</f>
        <v>0</v>
      </c>
      <c r="U32" s="29">
        <f>(SUMIFS('代理商-进货明细表'!$I:$I,'代理商-进货明细表'!$B:$B,'代理商-产品进销存'!$B32,'代理商-进货明细表'!$F:$F,'代理商-产品进销存'!$D32,'代理商-进货明细表'!$E:$E,"10月")+SUMIFS('代理商-进货明细表'!$I:$I,'代理商-进货明细表'!$B:$B,'代理商-产品进销存'!$B32,'代理商-进货明细表'!$F:$F,'代理商-产品进销存'!$D32,'代理商-进货明细表'!$E:$E,"11月")+SUMIFS('代理商-进货明细表'!$I:$I,'代理商-进货明细表'!$B:$B,'代理商-产品进销存'!$B32,'代理商-进货明细表'!$F:$F,'代理商-产品进销存'!$D32,'代理商-进货明细表'!$E:$E,"12月"))/10000</f>
        <v>0</v>
      </c>
      <c r="V32" s="29">
        <f t="shared" si="7"/>
        <v>0</v>
      </c>
      <c r="W32" s="29">
        <f t="shared" si="8"/>
        <v>0</v>
      </c>
      <c r="X32" s="29">
        <f t="shared" si="9"/>
        <v>0</v>
      </c>
      <c r="Y32" s="29">
        <f t="shared" si="10"/>
        <v>0</v>
      </c>
      <c r="Z32" s="29">
        <f t="shared" si="11"/>
        <v>0</v>
      </c>
      <c r="AA32" s="29">
        <f t="shared" si="12"/>
        <v>0</v>
      </c>
    </row>
    <row r="33" spans="1:27" x14ac:dyDescent="0.3">
      <c r="A33" s="2" t="s">
        <v>168</v>
      </c>
      <c r="B33" s="2" t="s">
        <v>90</v>
      </c>
      <c r="D33" s="3" t="s">
        <v>16</v>
      </c>
      <c r="L33" s="29">
        <f>(SUMIFS(终端客户销售统计表!$K:$K,终端客户销售统计表!$L:$L,$B33,终端客户销售统计表!$H:$H,$D33,终端客户销售统计表!$G:$G,"1月")+SUMIFS(终端客户销售统计表!$K:$K,终端客户销售统计表!$L:$L,$B33,终端客户销售统计表!$H:$H,$D33,终端客户销售统计表!$G:$G,"2月")+SUMIFS(终端客户销售统计表!$K:$K,终端客户销售统计表!$L:$L,$B33,终端客户销售统计表!$H:$H,$D33,终端客户销售统计表!$G:$G,"3月"))/10000</f>
        <v>0</v>
      </c>
      <c r="M33" s="29">
        <f>(SUMIFS(终端客户销售统计表!$K:$K,终端客户销售统计表!$L:$L,$B33,终端客户销售统计表!$H:$H,$D33,终端客户销售统计表!$G:$G,"4月")+SUMIFS(终端客户销售统计表!$K:$K,终端客户销售统计表!$L:$L,$B33,终端客户销售统计表!$H:$H,$D33,终端客户销售统计表!$G:$G,"5月")+SUMIFS(终端客户销售统计表!$K:$K,终端客户销售统计表!$L:$L,$B33,终端客户销售统计表!$H:$H,$D33,终端客户销售统计表!$G:$G,"6月"))/10000</f>
        <v>0</v>
      </c>
      <c r="N33" s="29">
        <f>(SUMIFS(终端客户销售统计表!$K:$K,终端客户销售统计表!$L:$L,$B33,终端客户销售统计表!$H:$H,$D33,终端客户销售统计表!$G:$G,"7月")+SUMIFS(终端客户销售统计表!$K:$K,终端客户销售统计表!$L:$L,$B33,终端客户销售统计表!$H:$H,$D33,终端客户销售统计表!$G:$G,"8月")+SUMIFS(终端客户销售统计表!$K:$K,终端客户销售统计表!$L:$L,$B33,终端客户销售统计表!$H:$H,$D33,终端客户销售统计表!$G:$G,"9月"))/10000</f>
        <v>0</v>
      </c>
      <c r="O33" s="29">
        <f>(SUMIFS(终端客户销售统计表!$K:$K,终端客户销售统计表!$L:$L,$B33,终端客户销售统计表!$H:$H,$D33,终端客户销售统计表!$G:$G,"10月")+SUMIFS(终端客户销售统计表!$K:$K,终端客户销售统计表!$L:$L,$B33,终端客户销售统计表!$H:$H,$D33,终端客户销售统计表!$G:$G,"11月")+SUMIFS(终端客户销售统计表!$K:$K,终端客户销售统计表!$L:$L,$B33,终端客户销售统计表!$H:$H,$D33,终端客户销售统计表!$G:$G,"12月"))/10000</f>
        <v>0</v>
      </c>
      <c r="P33" s="29">
        <f>SUM(L33:O33)</f>
        <v>0</v>
      </c>
      <c r="Q33" s="44" t="str">
        <f t="shared" si="6"/>
        <v/>
      </c>
      <c r="R33" s="29">
        <f>(SUMIFS('代理商-进货明细表'!$I:$I,'代理商-进货明细表'!$B:$B,'代理商-产品进销存'!$B33,'代理商-进货明细表'!$F:$F,'代理商-产品进销存'!$D33,'代理商-进货明细表'!$E:$E,"1月")+SUMIFS('代理商-进货明细表'!$I:$I,'代理商-进货明细表'!$B:$B,'代理商-产品进销存'!$B33,'代理商-进货明细表'!$F:$F,'代理商-产品进销存'!$D33,'代理商-进货明细表'!$E:$E,"2月")+SUMIFS('代理商-进货明细表'!$I:$I,'代理商-进货明细表'!$B:$B,'代理商-产品进销存'!$B33,'代理商-进货明细表'!$F:$F,'代理商-产品进销存'!$D33,'代理商-进货明细表'!$E:$E,"3月"))/10000</f>
        <v>0</v>
      </c>
      <c r="S33" s="29">
        <f>(SUMIFS('代理商-进货明细表'!$I:$I,'代理商-进货明细表'!$B:$B,'代理商-产品进销存'!$B33,'代理商-进货明细表'!$F:$F,'代理商-产品进销存'!$D33,'代理商-进货明细表'!$E:$E,"4月")+SUMIFS('代理商-进货明细表'!$I:$I,'代理商-进货明细表'!$B:$B,'代理商-产品进销存'!$B33,'代理商-进货明细表'!$F:$F,'代理商-产品进销存'!$D33,'代理商-进货明细表'!$E:$E,"5月")+SUMIFS('代理商-进货明细表'!$I:$I,'代理商-进货明细表'!$B:$B,'代理商-产品进销存'!$B33,'代理商-进货明细表'!$F:$F,'代理商-产品进销存'!$D33,'代理商-进货明细表'!$E:$E,"6月"))/10000</f>
        <v>0</v>
      </c>
      <c r="T33" s="29">
        <f>(SUMIFS('代理商-进货明细表'!$I:$I,'代理商-进货明细表'!$B:$B,'代理商-产品进销存'!$B33,'代理商-进货明细表'!$F:$F,'代理商-产品进销存'!$D33,'代理商-进货明细表'!$E:$E,"7月")+SUMIFS('代理商-进货明细表'!$I:$I,'代理商-进货明细表'!$B:$B,'代理商-产品进销存'!$B33,'代理商-进货明细表'!$F:$F,'代理商-产品进销存'!$D33,'代理商-进货明细表'!$E:$E,"8月")+SUMIFS('代理商-进货明细表'!$I:$I,'代理商-进货明细表'!$B:$B,'代理商-产品进销存'!$B33,'代理商-进货明细表'!$F:$F,'代理商-产品进销存'!$D33,'代理商-进货明细表'!$E:$E,"9月"))/10000</f>
        <v>0</v>
      </c>
      <c r="U33" s="29">
        <f>(SUMIFS('代理商-进货明细表'!$I:$I,'代理商-进货明细表'!$B:$B,'代理商-产品进销存'!$B33,'代理商-进货明细表'!$F:$F,'代理商-产品进销存'!$D33,'代理商-进货明细表'!$E:$E,"10月")+SUMIFS('代理商-进货明细表'!$I:$I,'代理商-进货明细表'!$B:$B,'代理商-产品进销存'!$B33,'代理商-进货明细表'!$F:$F,'代理商-产品进销存'!$D33,'代理商-进货明细表'!$E:$E,"11月")+SUMIFS('代理商-进货明细表'!$I:$I,'代理商-进货明细表'!$B:$B,'代理商-产品进销存'!$B33,'代理商-进货明细表'!$F:$F,'代理商-产品进销存'!$D33,'代理商-进货明细表'!$E:$E,"12月"))/10000</f>
        <v>0</v>
      </c>
      <c r="V33" s="29">
        <f t="shared" si="7"/>
        <v>0</v>
      </c>
      <c r="W33" s="29">
        <f t="shared" si="8"/>
        <v>0</v>
      </c>
      <c r="X33" s="29">
        <f t="shared" si="9"/>
        <v>0</v>
      </c>
      <c r="Y33" s="29">
        <f t="shared" si="10"/>
        <v>0</v>
      </c>
      <c r="Z33" s="29">
        <f t="shared" si="11"/>
        <v>0</v>
      </c>
      <c r="AA33" s="29">
        <f t="shared" si="12"/>
        <v>0</v>
      </c>
    </row>
    <row r="34" spans="1:27" x14ac:dyDescent="0.3">
      <c r="A34" s="2" t="s">
        <v>168</v>
      </c>
      <c r="B34" s="2" t="s">
        <v>90</v>
      </c>
      <c r="D34" s="3" t="s">
        <v>17</v>
      </c>
      <c r="L34" s="29">
        <f>(SUMIFS(终端客户销售统计表!$K:$K,终端客户销售统计表!$L:$L,$B34,终端客户销售统计表!$H:$H,$D34,终端客户销售统计表!$G:$G,"1月")+SUMIFS(终端客户销售统计表!$K:$K,终端客户销售统计表!$L:$L,$B34,终端客户销售统计表!$H:$H,$D34,终端客户销售统计表!$G:$G,"2月")+SUMIFS(终端客户销售统计表!$K:$K,终端客户销售统计表!$L:$L,$B34,终端客户销售统计表!$H:$H,$D34,终端客户销售统计表!$G:$G,"3月"))/10000</f>
        <v>0</v>
      </c>
      <c r="M34" s="29">
        <f>(SUMIFS(终端客户销售统计表!$K:$K,终端客户销售统计表!$L:$L,$B34,终端客户销售统计表!$H:$H,$D34,终端客户销售统计表!$G:$G,"4月")+SUMIFS(终端客户销售统计表!$K:$K,终端客户销售统计表!$L:$L,$B34,终端客户销售统计表!$H:$H,$D34,终端客户销售统计表!$G:$G,"5月")+SUMIFS(终端客户销售统计表!$K:$K,终端客户销售统计表!$L:$L,$B34,终端客户销售统计表!$H:$H,$D34,终端客户销售统计表!$G:$G,"6月"))/10000</f>
        <v>0</v>
      </c>
      <c r="N34" s="29">
        <f>(SUMIFS(终端客户销售统计表!$K:$K,终端客户销售统计表!$L:$L,$B34,终端客户销售统计表!$H:$H,$D34,终端客户销售统计表!$G:$G,"7月")+SUMIFS(终端客户销售统计表!$K:$K,终端客户销售统计表!$L:$L,$B34,终端客户销售统计表!$H:$H,$D34,终端客户销售统计表!$G:$G,"8月")+SUMIFS(终端客户销售统计表!$K:$K,终端客户销售统计表!$L:$L,$B34,终端客户销售统计表!$H:$H,$D34,终端客户销售统计表!$G:$G,"9月"))/10000</f>
        <v>0</v>
      </c>
      <c r="O34" s="29">
        <f>(SUMIFS(终端客户销售统计表!$K:$K,终端客户销售统计表!$L:$L,$B34,终端客户销售统计表!$H:$H,$D34,终端客户销售统计表!$G:$G,"10月")+SUMIFS(终端客户销售统计表!$K:$K,终端客户销售统计表!$L:$L,$B34,终端客户销售统计表!$H:$H,$D34,终端客户销售统计表!$G:$G,"11月")+SUMIFS(终端客户销售统计表!$K:$K,终端客户销售统计表!$L:$L,$B34,终端客户销售统计表!$H:$H,$D34,终端客户销售统计表!$G:$G,"12月"))/10000</f>
        <v>0</v>
      </c>
      <c r="P34" s="29">
        <f>SUM(L34:O34)</f>
        <v>0</v>
      </c>
      <c r="Q34" s="44" t="str">
        <f t="shared" si="6"/>
        <v/>
      </c>
      <c r="R34" s="29">
        <f>(SUMIFS('代理商-进货明细表'!$I:$I,'代理商-进货明细表'!$B:$B,'代理商-产品进销存'!$B34,'代理商-进货明细表'!$F:$F,'代理商-产品进销存'!$D34,'代理商-进货明细表'!$E:$E,"1月")+SUMIFS('代理商-进货明细表'!$I:$I,'代理商-进货明细表'!$B:$B,'代理商-产品进销存'!$B34,'代理商-进货明细表'!$F:$F,'代理商-产品进销存'!$D34,'代理商-进货明细表'!$E:$E,"2月")+SUMIFS('代理商-进货明细表'!$I:$I,'代理商-进货明细表'!$B:$B,'代理商-产品进销存'!$B34,'代理商-进货明细表'!$F:$F,'代理商-产品进销存'!$D34,'代理商-进货明细表'!$E:$E,"3月"))/10000</f>
        <v>0</v>
      </c>
      <c r="S34" s="29">
        <f>(SUMIFS('代理商-进货明细表'!$I:$I,'代理商-进货明细表'!$B:$B,'代理商-产品进销存'!$B34,'代理商-进货明细表'!$F:$F,'代理商-产品进销存'!$D34,'代理商-进货明细表'!$E:$E,"4月")+SUMIFS('代理商-进货明细表'!$I:$I,'代理商-进货明细表'!$B:$B,'代理商-产品进销存'!$B34,'代理商-进货明细表'!$F:$F,'代理商-产品进销存'!$D34,'代理商-进货明细表'!$E:$E,"5月")+SUMIFS('代理商-进货明细表'!$I:$I,'代理商-进货明细表'!$B:$B,'代理商-产品进销存'!$B34,'代理商-进货明细表'!$F:$F,'代理商-产品进销存'!$D34,'代理商-进货明细表'!$E:$E,"6月"))/10000</f>
        <v>0</v>
      </c>
      <c r="T34" s="29">
        <f>(SUMIFS('代理商-进货明细表'!$I:$I,'代理商-进货明细表'!$B:$B,'代理商-产品进销存'!$B34,'代理商-进货明细表'!$F:$F,'代理商-产品进销存'!$D34,'代理商-进货明细表'!$E:$E,"7月")+SUMIFS('代理商-进货明细表'!$I:$I,'代理商-进货明细表'!$B:$B,'代理商-产品进销存'!$B34,'代理商-进货明细表'!$F:$F,'代理商-产品进销存'!$D34,'代理商-进货明细表'!$E:$E,"8月")+SUMIFS('代理商-进货明细表'!$I:$I,'代理商-进货明细表'!$B:$B,'代理商-产品进销存'!$B34,'代理商-进货明细表'!$F:$F,'代理商-产品进销存'!$D34,'代理商-进货明细表'!$E:$E,"9月"))/10000</f>
        <v>0</v>
      </c>
      <c r="U34" s="29">
        <f>(SUMIFS('代理商-进货明细表'!$I:$I,'代理商-进货明细表'!$B:$B,'代理商-产品进销存'!$B34,'代理商-进货明细表'!$F:$F,'代理商-产品进销存'!$D34,'代理商-进货明细表'!$E:$E,"10月")+SUMIFS('代理商-进货明细表'!$I:$I,'代理商-进货明细表'!$B:$B,'代理商-产品进销存'!$B34,'代理商-进货明细表'!$F:$F,'代理商-产品进销存'!$D34,'代理商-进货明细表'!$E:$E,"11月")+SUMIFS('代理商-进货明细表'!$I:$I,'代理商-进货明细表'!$B:$B,'代理商-产品进销存'!$B34,'代理商-进货明细表'!$F:$F,'代理商-产品进销存'!$D34,'代理商-进货明细表'!$E:$E,"12月"))/10000</f>
        <v>0</v>
      </c>
      <c r="V34" s="29">
        <f t="shared" si="7"/>
        <v>0</v>
      </c>
      <c r="W34" s="29">
        <f t="shared" si="8"/>
        <v>0</v>
      </c>
      <c r="X34" s="29">
        <f t="shared" si="9"/>
        <v>0</v>
      </c>
      <c r="Y34" s="29">
        <f t="shared" si="10"/>
        <v>0</v>
      </c>
      <c r="Z34" s="29">
        <f t="shared" si="11"/>
        <v>0</v>
      </c>
      <c r="AA34" s="29">
        <f t="shared" si="12"/>
        <v>0</v>
      </c>
    </row>
    <row r="35" spans="1:27" x14ac:dyDescent="0.3">
      <c r="A35" s="2" t="s">
        <v>169</v>
      </c>
      <c r="B35" s="2" t="s">
        <v>91</v>
      </c>
      <c r="D35" s="3" t="s">
        <v>14</v>
      </c>
      <c r="L35" s="29">
        <f>(SUMIFS(终端客户销售统计表!$K:$K,终端客户销售统计表!$L:$L,$B35,终端客户销售统计表!$H:$H,$D35,终端客户销售统计表!$G:$G,"1月")+SUMIFS(终端客户销售统计表!$K:$K,终端客户销售统计表!$L:$L,$B35,终端客户销售统计表!$H:$H,$D35,终端客户销售统计表!$G:$G,"2月")+SUMIFS(终端客户销售统计表!$K:$K,终端客户销售统计表!$L:$L,$B35,终端客户销售统计表!$H:$H,$D35,终端客户销售统计表!$G:$G,"3月"))/10000</f>
        <v>0</v>
      </c>
      <c r="M35" s="29">
        <f>(SUMIFS(终端客户销售统计表!$K:$K,终端客户销售统计表!$L:$L,$B35,终端客户销售统计表!$H:$H,$D35,终端客户销售统计表!$G:$G,"4月")+SUMIFS(终端客户销售统计表!$K:$K,终端客户销售统计表!$L:$L,$B35,终端客户销售统计表!$H:$H,$D35,终端客户销售统计表!$G:$G,"5月")+SUMIFS(终端客户销售统计表!$K:$K,终端客户销售统计表!$L:$L,$B35,终端客户销售统计表!$H:$H,$D35,终端客户销售统计表!$G:$G,"6月"))/10000</f>
        <v>0</v>
      </c>
      <c r="N35" s="29">
        <f>(SUMIFS(终端客户销售统计表!$K:$K,终端客户销售统计表!$L:$L,$B35,终端客户销售统计表!$H:$H,$D35,终端客户销售统计表!$G:$G,"7月")+SUMIFS(终端客户销售统计表!$K:$K,终端客户销售统计表!$L:$L,$B35,终端客户销售统计表!$H:$H,$D35,终端客户销售统计表!$G:$G,"8月")+SUMIFS(终端客户销售统计表!$K:$K,终端客户销售统计表!$L:$L,$B35,终端客户销售统计表!$H:$H,$D35,终端客户销售统计表!$G:$G,"9月"))/10000</f>
        <v>0</v>
      </c>
      <c r="O35" s="29">
        <f>(SUMIFS(终端客户销售统计表!$K:$K,终端客户销售统计表!$L:$L,$B35,终端客户销售统计表!$H:$H,$D35,终端客户销售统计表!$G:$G,"10月")+SUMIFS(终端客户销售统计表!$K:$K,终端客户销售统计表!$L:$L,$B35,终端客户销售统计表!$H:$H,$D35,终端客户销售统计表!$G:$G,"11月")+SUMIFS(终端客户销售统计表!$K:$K,终端客户销售统计表!$L:$L,$B35,终端客户销售统计表!$H:$H,$D35,终端客户销售统计表!$G:$G,"12月"))/10000</f>
        <v>0</v>
      </c>
      <c r="P35" s="29">
        <f>SUM(L35:O35)</f>
        <v>0</v>
      </c>
      <c r="Q35" s="44" t="str">
        <f t="shared" si="6"/>
        <v/>
      </c>
      <c r="R35" s="29">
        <f>(SUMIFS('代理商-进货明细表'!$I:$I,'代理商-进货明细表'!$B:$B,'代理商-产品进销存'!$B35,'代理商-进货明细表'!$F:$F,'代理商-产品进销存'!$D35,'代理商-进货明细表'!$E:$E,"1月")+SUMIFS('代理商-进货明细表'!$I:$I,'代理商-进货明细表'!$B:$B,'代理商-产品进销存'!$B35,'代理商-进货明细表'!$F:$F,'代理商-产品进销存'!$D35,'代理商-进货明细表'!$E:$E,"2月")+SUMIFS('代理商-进货明细表'!$I:$I,'代理商-进货明细表'!$B:$B,'代理商-产品进销存'!$B35,'代理商-进货明细表'!$F:$F,'代理商-产品进销存'!$D35,'代理商-进货明细表'!$E:$E,"3月"))/10000</f>
        <v>0</v>
      </c>
      <c r="S35" s="29">
        <f>(SUMIFS('代理商-进货明细表'!$I:$I,'代理商-进货明细表'!$B:$B,'代理商-产品进销存'!$B35,'代理商-进货明细表'!$F:$F,'代理商-产品进销存'!$D35,'代理商-进货明细表'!$E:$E,"4月")+SUMIFS('代理商-进货明细表'!$I:$I,'代理商-进货明细表'!$B:$B,'代理商-产品进销存'!$B35,'代理商-进货明细表'!$F:$F,'代理商-产品进销存'!$D35,'代理商-进货明细表'!$E:$E,"5月")+SUMIFS('代理商-进货明细表'!$I:$I,'代理商-进货明细表'!$B:$B,'代理商-产品进销存'!$B35,'代理商-进货明细表'!$F:$F,'代理商-产品进销存'!$D35,'代理商-进货明细表'!$E:$E,"6月"))/10000</f>
        <v>0</v>
      </c>
      <c r="T35" s="29">
        <f>(SUMIFS('代理商-进货明细表'!$I:$I,'代理商-进货明细表'!$B:$B,'代理商-产品进销存'!$B35,'代理商-进货明细表'!$F:$F,'代理商-产品进销存'!$D35,'代理商-进货明细表'!$E:$E,"7月")+SUMIFS('代理商-进货明细表'!$I:$I,'代理商-进货明细表'!$B:$B,'代理商-产品进销存'!$B35,'代理商-进货明细表'!$F:$F,'代理商-产品进销存'!$D35,'代理商-进货明细表'!$E:$E,"8月")+SUMIFS('代理商-进货明细表'!$I:$I,'代理商-进货明细表'!$B:$B,'代理商-产品进销存'!$B35,'代理商-进货明细表'!$F:$F,'代理商-产品进销存'!$D35,'代理商-进货明细表'!$E:$E,"9月"))/10000</f>
        <v>0</v>
      </c>
      <c r="U35" s="29">
        <f>(SUMIFS('代理商-进货明细表'!$I:$I,'代理商-进货明细表'!$B:$B,'代理商-产品进销存'!$B35,'代理商-进货明细表'!$F:$F,'代理商-产品进销存'!$D35,'代理商-进货明细表'!$E:$E,"10月")+SUMIFS('代理商-进货明细表'!$I:$I,'代理商-进货明细表'!$B:$B,'代理商-产品进销存'!$B35,'代理商-进货明细表'!$F:$F,'代理商-产品进销存'!$D35,'代理商-进货明细表'!$E:$E,"11月")+SUMIFS('代理商-进货明细表'!$I:$I,'代理商-进货明细表'!$B:$B,'代理商-产品进销存'!$B35,'代理商-进货明细表'!$F:$F,'代理商-产品进销存'!$D35,'代理商-进货明细表'!$E:$E,"12月"))/10000</f>
        <v>0</v>
      </c>
      <c r="V35" s="29">
        <f t="shared" si="7"/>
        <v>0</v>
      </c>
      <c r="W35" s="29">
        <f t="shared" si="8"/>
        <v>0</v>
      </c>
      <c r="X35" s="29">
        <f t="shared" si="9"/>
        <v>0</v>
      </c>
      <c r="Y35" s="29">
        <f t="shared" si="10"/>
        <v>0</v>
      </c>
      <c r="Z35" s="29">
        <f t="shared" si="11"/>
        <v>0</v>
      </c>
      <c r="AA35" s="29">
        <f t="shared" si="12"/>
        <v>0</v>
      </c>
    </row>
    <row r="36" spans="1:27" x14ac:dyDescent="0.3">
      <c r="A36" s="2" t="s">
        <v>169</v>
      </c>
      <c r="B36" s="2" t="s">
        <v>91</v>
      </c>
      <c r="D36" s="3" t="s">
        <v>15</v>
      </c>
      <c r="L36" s="29">
        <f>(SUMIFS(终端客户销售统计表!$K:$K,终端客户销售统计表!$L:$L,$B36,终端客户销售统计表!$H:$H,$D36,终端客户销售统计表!$G:$G,"1月")+SUMIFS(终端客户销售统计表!$K:$K,终端客户销售统计表!$L:$L,$B36,终端客户销售统计表!$H:$H,$D36,终端客户销售统计表!$G:$G,"2月")+SUMIFS(终端客户销售统计表!$K:$K,终端客户销售统计表!$L:$L,$B36,终端客户销售统计表!$H:$H,$D36,终端客户销售统计表!$G:$G,"3月"))/10000</f>
        <v>0</v>
      </c>
      <c r="M36" s="29">
        <f>(SUMIFS(终端客户销售统计表!$K:$K,终端客户销售统计表!$L:$L,$B36,终端客户销售统计表!$H:$H,$D36,终端客户销售统计表!$G:$G,"4月")+SUMIFS(终端客户销售统计表!$K:$K,终端客户销售统计表!$L:$L,$B36,终端客户销售统计表!$H:$H,$D36,终端客户销售统计表!$G:$G,"5月")+SUMIFS(终端客户销售统计表!$K:$K,终端客户销售统计表!$L:$L,$B36,终端客户销售统计表!$H:$H,$D36,终端客户销售统计表!$G:$G,"6月"))/10000</f>
        <v>0</v>
      </c>
      <c r="N36" s="29">
        <f>(SUMIFS(终端客户销售统计表!$K:$K,终端客户销售统计表!$L:$L,$B36,终端客户销售统计表!$H:$H,$D36,终端客户销售统计表!$G:$G,"7月")+SUMIFS(终端客户销售统计表!$K:$K,终端客户销售统计表!$L:$L,$B36,终端客户销售统计表!$H:$H,$D36,终端客户销售统计表!$G:$G,"8月")+SUMIFS(终端客户销售统计表!$K:$K,终端客户销售统计表!$L:$L,$B36,终端客户销售统计表!$H:$H,$D36,终端客户销售统计表!$G:$G,"9月"))/10000</f>
        <v>0</v>
      </c>
      <c r="O36" s="29">
        <f>(SUMIFS(终端客户销售统计表!$K:$K,终端客户销售统计表!$L:$L,$B36,终端客户销售统计表!$H:$H,$D36,终端客户销售统计表!$G:$G,"10月")+SUMIFS(终端客户销售统计表!$K:$K,终端客户销售统计表!$L:$L,$B36,终端客户销售统计表!$H:$H,$D36,终端客户销售统计表!$G:$G,"11月")+SUMIFS(终端客户销售统计表!$K:$K,终端客户销售统计表!$L:$L,$B36,终端客户销售统计表!$H:$H,$D36,终端客户销售统计表!$G:$G,"12月"))/10000</f>
        <v>0</v>
      </c>
      <c r="P36" s="29">
        <f>SUM(L36:O36)</f>
        <v>0</v>
      </c>
      <c r="Q36" s="44" t="str">
        <f t="shared" si="6"/>
        <v/>
      </c>
      <c r="R36" s="29">
        <f>(SUMIFS('代理商-进货明细表'!$I:$I,'代理商-进货明细表'!$B:$B,'代理商-产品进销存'!$B36,'代理商-进货明细表'!$F:$F,'代理商-产品进销存'!$D36,'代理商-进货明细表'!$E:$E,"1月")+SUMIFS('代理商-进货明细表'!$I:$I,'代理商-进货明细表'!$B:$B,'代理商-产品进销存'!$B36,'代理商-进货明细表'!$F:$F,'代理商-产品进销存'!$D36,'代理商-进货明细表'!$E:$E,"2月")+SUMIFS('代理商-进货明细表'!$I:$I,'代理商-进货明细表'!$B:$B,'代理商-产品进销存'!$B36,'代理商-进货明细表'!$F:$F,'代理商-产品进销存'!$D36,'代理商-进货明细表'!$E:$E,"3月"))/10000</f>
        <v>0</v>
      </c>
      <c r="S36" s="29">
        <f>(SUMIFS('代理商-进货明细表'!$I:$I,'代理商-进货明细表'!$B:$B,'代理商-产品进销存'!$B36,'代理商-进货明细表'!$F:$F,'代理商-产品进销存'!$D36,'代理商-进货明细表'!$E:$E,"4月")+SUMIFS('代理商-进货明细表'!$I:$I,'代理商-进货明细表'!$B:$B,'代理商-产品进销存'!$B36,'代理商-进货明细表'!$F:$F,'代理商-产品进销存'!$D36,'代理商-进货明细表'!$E:$E,"5月")+SUMIFS('代理商-进货明细表'!$I:$I,'代理商-进货明细表'!$B:$B,'代理商-产品进销存'!$B36,'代理商-进货明细表'!$F:$F,'代理商-产品进销存'!$D36,'代理商-进货明细表'!$E:$E,"6月"))/10000</f>
        <v>0</v>
      </c>
      <c r="T36" s="29">
        <f>(SUMIFS('代理商-进货明细表'!$I:$I,'代理商-进货明细表'!$B:$B,'代理商-产品进销存'!$B36,'代理商-进货明细表'!$F:$F,'代理商-产品进销存'!$D36,'代理商-进货明细表'!$E:$E,"7月")+SUMIFS('代理商-进货明细表'!$I:$I,'代理商-进货明细表'!$B:$B,'代理商-产品进销存'!$B36,'代理商-进货明细表'!$F:$F,'代理商-产品进销存'!$D36,'代理商-进货明细表'!$E:$E,"8月")+SUMIFS('代理商-进货明细表'!$I:$I,'代理商-进货明细表'!$B:$B,'代理商-产品进销存'!$B36,'代理商-进货明细表'!$F:$F,'代理商-产品进销存'!$D36,'代理商-进货明细表'!$E:$E,"9月"))/10000</f>
        <v>0</v>
      </c>
      <c r="U36" s="29">
        <f>(SUMIFS('代理商-进货明细表'!$I:$I,'代理商-进货明细表'!$B:$B,'代理商-产品进销存'!$B36,'代理商-进货明细表'!$F:$F,'代理商-产品进销存'!$D36,'代理商-进货明细表'!$E:$E,"10月")+SUMIFS('代理商-进货明细表'!$I:$I,'代理商-进货明细表'!$B:$B,'代理商-产品进销存'!$B36,'代理商-进货明细表'!$F:$F,'代理商-产品进销存'!$D36,'代理商-进货明细表'!$E:$E,"11月")+SUMIFS('代理商-进货明细表'!$I:$I,'代理商-进货明细表'!$B:$B,'代理商-产品进销存'!$B36,'代理商-进货明细表'!$F:$F,'代理商-产品进销存'!$D36,'代理商-进货明细表'!$E:$E,"12月"))/10000</f>
        <v>0</v>
      </c>
      <c r="V36" s="29">
        <f t="shared" si="7"/>
        <v>0</v>
      </c>
      <c r="W36" s="29">
        <f t="shared" si="8"/>
        <v>0</v>
      </c>
      <c r="X36" s="29">
        <f t="shared" si="9"/>
        <v>0</v>
      </c>
      <c r="Y36" s="29">
        <f t="shared" si="10"/>
        <v>0</v>
      </c>
      <c r="Z36" s="29">
        <f t="shared" si="11"/>
        <v>0</v>
      </c>
      <c r="AA36" s="29">
        <f t="shared" si="12"/>
        <v>0</v>
      </c>
    </row>
    <row r="37" spans="1:27" x14ac:dyDescent="0.3">
      <c r="A37" s="2" t="s">
        <v>169</v>
      </c>
      <c r="B37" s="2" t="s">
        <v>91</v>
      </c>
      <c r="D37" s="3" t="s">
        <v>16</v>
      </c>
      <c r="L37" s="29">
        <f>(SUMIFS(终端客户销售统计表!$K:$K,终端客户销售统计表!$L:$L,$B37,终端客户销售统计表!$H:$H,$D37,终端客户销售统计表!$G:$G,"1月")+SUMIFS(终端客户销售统计表!$K:$K,终端客户销售统计表!$L:$L,$B37,终端客户销售统计表!$H:$H,$D37,终端客户销售统计表!$G:$G,"2月")+SUMIFS(终端客户销售统计表!$K:$K,终端客户销售统计表!$L:$L,$B37,终端客户销售统计表!$H:$H,$D37,终端客户销售统计表!$G:$G,"3月"))/10000</f>
        <v>0</v>
      </c>
      <c r="M37" s="29">
        <f>(SUMIFS(终端客户销售统计表!$K:$K,终端客户销售统计表!$L:$L,$B37,终端客户销售统计表!$H:$H,$D37,终端客户销售统计表!$G:$G,"4月")+SUMIFS(终端客户销售统计表!$K:$K,终端客户销售统计表!$L:$L,$B37,终端客户销售统计表!$H:$H,$D37,终端客户销售统计表!$G:$G,"5月")+SUMIFS(终端客户销售统计表!$K:$K,终端客户销售统计表!$L:$L,$B37,终端客户销售统计表!$H:$H,$D37,终端客户销售统计表!$G:$G,"6月"))/10000</f>
        <v>0</v>
      </c>
      <c r="N37" s="29">
        <f>(SUMIFS(终端客户销售统计表!$K:$K,终端客户销售统计表!$L:$L,$B37,终端客户销售统计表!$H:$H,$D37,终端客户销售统计表!$G:$G,"7月")+SUMIFS(终端客户销售统计表!$K:$K,终端客户销售统计表!$L:$L,$B37,终端客户销售统计表!$H:$H,$D37,终端客户销售统计表!$G:$G,"8月")+SUMIFS(终端客户销售统计表!$K:$K,终端客户销售统计表!$L:$L,$B37,终端客户销售统计表!$H:$H,$D37,终端客户销售统计表!$G:$G,"9月"))/10000</f>
        <v>0</v>
      </c>
      <c r="O37" s="29">
        <f>(SUMIFS(终端客户销售统计表!$K:$K,终端客户销售统计表!$L:$L,$B37,终端客户销售统计表!$H:$H,$D37,终端客户销售统计表!$G:$G,"10月")+SUMIFS(终端客户销售统计表!$K:$K,终端客户销售统计表!$L:$L,$B37,终端客户销售统计表!$H:$H,$D37,终端客户销售统计表!$G:$G,"11月")+SUMIFS(终端客户销售统计表!$K:$K,终端客户销售统计表!$L:$L,$B37,终端客户销售统计表!$H:$H,$D37,终端客户销售统计表!$G:$G,"12月"))/10000</f>
        <v>0</v>
      </c>
      <c r="P37" s="29">
        <f>SUM(L37:O37)</f>
        <v>0</v>
      </c>
      <c r="Q37" s="44" t="str">
        <f t="shared" si="6"/>
        <v/>
      </c>
      <c r="R37" s="29">
        <f>(SUMIFS('代理商-进货明细表'!$I:$I,'代理商-进货明细表'!$B:$B,'代理商-产品进销存'!$B37,'代理商-进货明细表'!$F:$F,'代理商-产品进销存'!$D37,'代理商-进货明细表'!$E:$E,"1月")+SUMIFS('代理商-进货明细表'!$I:$I,'代理商-进货明细表'!$B:$B,'代理商-产品进销存'!$B37,'代理商-进货明细表'!$F:$F,'代理商-产品进销存'!$D37,'代理商-进货明细表'!$E:$E,"2月")+SUMIFS('代理商-进货明细表'!$I:$I,'代理商-进货明细表'!$B:$B,'代理商-产品进销存'!$B37,'代理商-进货明细表'!$F:$F,'代理商-产品进销存'!$D37,'代理商-进货明细表'!$E:$E,"3月"))/10000</f>
        <v>0</v>
      </c>
      <c r="S37" s="29">
        <f>(SUMIFS('代理商-进货明细表'!$I:$I,'代理商-进货明细表'!$B:$B,'代理商-产品进销存'!$B37,'代理商-进货明细表'!$F:$F,'代理商-产品进销存'!$D37,'代理商-进货明细表'!$E:$E,"4月")+SUMIFS('代理商-进货明细表'!$I:$I,'代理商-进货明细表'!$B:$B,'代理商-产品进销存'!$B37,'代理商-进货明细表'!$F:$F,'代理商-产品进销存'!$D37,'代理商-进货明细表'!$E:$E,"5月")+SUMIFS('代理商-进货明细表'!$I:$I,'代理商-进货明细表'!$B:$B,'代理商-产品进销存'!$B37,'代理商-进货明细表'!$F:$F,'代理商-产品进销存'!$D37,'代理商-进货明细表'!$E:$E,"6月"))/10000</f>
        <v>0</v>
      </c>
      <c r="T37" s="29">
        <f>(SUMIFS('代理商-进货明细表'!$I:$I,'代理商-进货明细表'!$B:$B,'代理商-产品进销存'!$B37,'代理商-进货明细表'!$F:$F,'代理商-产品进销存'!$D37,'代理商-进货明细表'!$E:$E,"7月")+SUMIFS('代理商-进货明细表'!$I:$I,'代理商-进货明细表'!$B:$B,'代理商-产品进销存'!$B37,'代理商-进货明细表'!$F:$F,'代理商-产品进销存'!$D37,'代理商-进货明细表'!$E:$E,"8月")+SUMIFS('代理商-进货明细表'!$I:$I,'代理商-进货明细表'!$B:$B,'代理商-产品进销存'!$B37,'代理商-进货明细表'!$F:$F,'代理商-产品进销存'!$D37,'代理商-进货明细表'!$E:$E,"9月"))/10000</f>
        <v>0</v>
      </c>
      <c r="U37" s="29">
        <f>(SUMIFS('代理商-进货明细表'!$I:$I,'代理商-进货明细表'!$B:$B,'代理商-产品进销存'!$B37,'代理商-进货明细表'!$F:$F,'代理商-产品进销存'!$D37,'代理商-进货明细表'!$E:$E,"10月")+SUMIFS('代理商-进货明细表'!$I:$I,'代理商-进货明细表'!$B:$B,'代理商-产品进销存'!$B37,'代理商-进货明细表'!$F:$F,'代理商-产品进销存'!$D37,'代理商-进货明细表'!$E:$E,"11月")+SUMIFS('代理商-进货明细表'!$I:$I,'代理商-进货明细表'!$B:$B,'代理商-产品进销存'!$B37,'代理商-进货明细表'!$F:$F,'代理商-产品进销存'!$D37,'代理商-进货明细表'!$E:$E,"12月"))/10000</f>
        <v>0</v>
      </c>
      <c r="V37" s="29">
        <f t="shared" si="7"/>
        <v>0</v>
      </c>
      <c r="W37" s="29">
        <f t="shared" si="8"/>
        <v>0</v>
      </c>
      <c r="X37" s="29">
        <f t="shared" si="9"/>
        <v>0</v>
      </c>
      <c r="Y37" s="29">
        <f t="shared" si="10"/>
        <v>0</v>
      </c>
      <c r="Z37" s="29">
        <f t="shared" si="11"/>
        <v>0</v>
      </c>
      <c r="AA37" s="29">
        <f t="shared" si="12"/>
        <v>0</v>
      </c>
    </row>
    <row r="38" spans="1:27" x14ac:dyDescent="0.3">
      <c r="A38" s="2" t="s">
        <v>169</v>
      </c>
      <c r="B38" s="2" t="s">
        <v>91</v>
      </c>
      <c r="D38" s="3" t="s">
        <v>17</v>
      </c>
      <c r="L38" s="29">
        <f>(SUMIFS(终端客户销售统计表!$K:$K,终端客户销售统计表!$L:$L,$B38,终端客户销售统计表!$H:$H,$D38,终端客户销售统计表!$G:$G,"1月")+SUMIFS(终端客户销售统计表!$K:$K,终端客户销售统计表!$L:$L,$B38,终端客户销售统计表!$H:$H,$D38,终端客户销售统计表!$G:$G,"2月")+SUMIFS(终端客户销售统计表!$K:$K,终端客户销售统计表!$L:$L,$B38,终端客户销售统计表!$H:$H,$D38,终端客户销售统计表!$G:$G,"3月"))/10000</f>
        <v>0</v>
      </c>
      <c r="M38" s="29">
        <f>(SUMIFS(终端客户销售统计表!$K:$K,终端客户销售统计表!$L:$L,$B38,终端客户销售统计表!$H:$H,$D38,终端客户销售统计表!$G:$G,"4月")+SUMIFS(终端客户销售统计表!$K:$K,终端客户销售统计表!$L:$L,$B38,终端客户销售统计表!$H:$H,$D38,终端客户销售统计表!$G:$G,"5月")+SUMIFS(终端客户销售统计表!$K:$K,终端客户销售统计表!$L:$L,$B38,终端客户销售统计表!$H:$H,$D38,终端客户销售统计表!$G:$G,"6月"))/10000</f>
        <v>0</v>
      </c>
      <c r="N38" s="29">
        <f>(SUMIFS(终端客户销售统计表!$K:$K,终端客户销售统计表!$L:$L,$B38,终端客户销售统计表!$H:$H,$D38,终端客户销售统计表!$G:$G,"7月")+SUMIFS(终端客户销售统计表!$K:$K,终端客户销售统计表!$L:$L,$B38,终端客户销售统计表!$H:$H,$D38,终端客户销售统计表!$G:$G,"8月")+SUMIFS(终端客户销售统计表!$K:$K,终端客户销售统计表!$L:$L,$B38,终端客户销售统计表!$H:$H,$D38,终端客户销售统计表!$G:$G,"9月"))/10000</f>
        <v>0</v>
      </c>
      <c r="O38" s="29">
        <f>(SUMIFS(终端客户销售统计表!$K:$K,终端客户销售统计表!$L:$L,$B38,终端客户销售统计表!$H:$H,$D38,终端客户销售统计表!$G:$G,"10月")+SUMIFS(终端客户销售统计表!$K:$K,终端客户销售统计表!$L:$L,$B38,终端客户销售统计表!$H:$H,$D38,终端客户销售统计表!$G:$G,"11月")+SUMIFS(终端客户销售统计表!$K:$K,终端客户销售统计表!$L:$L,$B38,终端客户销售统计表!$H:$H,$D38,终端客户销售统计表!$G:$G,"12月"))/10000</f>
        <v>0</v>
      </c>
      <c r="P38" s="29">
        <f>SUM(L38:O38)</f>
        <v>0</v>
      </c>
      <c r="Q38" s="44" t="str">
        <f t="shared" si="6"/>
        <v/>
      </c>
      <c r="R38" s="29">
        <f>(SUMIFS('代理商-进货明细表'!$I:$I,'代理商-进货明细表'!$B:$B,'代理商-产品进销存'!$B38,'代理商-进货明细表'!$F:$F,'代理商-产品进销存'!$D38,'代理商-进货明细表'!$E:$E,"1月")+SUMIFS('代理商-进货明细表'!$I:$I,'代理商-进货明细表'!$B:$B,'代理商-产品进销存'!$B38,'代理商-进货明细表'!$F:$F,'代理商-产品进销存'!$D38,'代理商-进货明细表'!$E:$E,"2月")+SUMIFS('代理商-进货明细表'!$I:$I,'代理商-进货明细表'!$B:$B,'代理商-产品进销存'!$B38,'代理商-进货明细表'!$F:$F,'代理商-产品进销存'!$D38,'代理商-进货明细表'!$E:$E,"3月"))/10000</f>
        <v>0</v>
      </c>
      <c r="S38" s="29">
        <f>(SUMIFS('代理商-进货明细表'!$I:$I,'代理商-进货明细表'!$B:$B,'代理商-产品进销存'!$B38,'代理商-进货明细表'!$F:$F,'代理商-产品进销存'!$D38,'代理商-进货明细表'!$E:$E,"4月")+SUMIFS('代理商-进货明细表'!$I:$I,'代理商-进货明细表'!$B:$B,'代理商-产品进销存'!$B38,'代理商-进货明细表'!$F:$F,'代理商-产品进销存'!$D38,'代理商-进货明细表'!$E:$E,"5月")+SUMIFS('代理商-进货明细表'!$I:$I,'代理商-进货明细表'!$B:$B,'代理商-产品进销存'!$B38,'代理商-进货明细表'!$F:$F,'代理商-产品进销存'!$D38,'代理商-进货明细表'!$E:$E,"6月"))/10000</f>
        <v>0</v>
      </c>
      <c r="T38" s="29">
        <f>(SUMIFS('代理商-进货明细表'!$I:$I,'代理商-进货明细表'!$B:$B,'代理商-产品进销存'!$B38,'代理商-进货明细表'!$F:$F,'代理商-产品进销存'!$D38,'代理商-进货明细表'!$E:$E,"7月")+SUMIFS('代理商-进货明细表'!$I:$I,'代理商-进货明细表'!$B:$B,'代理商-产品进销存'!$B38,'代理商-进货明细表'!$F:$F,'代理商-产品进销存'!$D38,'代理商-进货明细表'!$E:$E,"8月")+SUMIFS('代理商-进货明细表'!$I:$I,'代理商-进货明细表'!$B:$B,'代理商-产品进销存'!$B38,'代理商-进货明细表'!$F:$F,'代理商-产品进销存'!$D38,'代理商-进货明细表'!$E:$E,"9月"))/10000</f>
        <v>0</v>
      </c>
      <c r="U38" s="29">
        <f>(SUMIFS('代理商-进货明细表'!$I:$I,'代理商-进货明细表'!$B:$B,'代理商-产品进销存'!$B38,'代理商-进货明细表'!$F:$F,'代理商-产品进销存'!$D38,'代理商-进货明细表'!$E:$E,"10月")+SUMIFS('代理商-进货明细表'!$I:$I,'代理商-进货明细表'!$B:$B,'代理商-产品进销存'!$B38,'代理商-进货明细表'!$F:$F,'代理商-产品进销存'!$D38,'代理商-进货明细表'!$E:$E,"11月")+SUMIFS('代理商-进货明细表'!$I:$I,'代理商-进货明细表'!$B:$B,'代理商-产品进销存'!$B38,'代理商-进货明细表'!$F:$F,'代理商-产品进销存'!$D38,'代理商-进货明细表'!$E:$E,"12月"))/10000</f>
        <v>0</v>
      </c>
      <c r="V38" s="29">
        <f t="shared" si="7"/>
        <v>0</v>
      </c>
      <c r="W38" s="29">
        <f t="shared" si="8"/>
        <v>0</v>
      </c>
      <c r="X38" s="29">
        <f t="shared" si="9"/>
        <v>0</v>
      </c>
      <c r="Y38" s="29">
        <f t="shared" si="10"/>
        <v>0</v>
      </c>
      <c r="Z38" s="29">
        <f t="shared" si="11"/>
        <v>0</v>
      </c>
      <c r="AA38" s="29">
        <f t="shared" si="12"/>
        <v>0</v>
      </c>
    </row>
    <row r="39" spans="1:27" x14ac:dyDescent="0.3">
      <c r="A39" s="2" t="s">
        <v>170</v>
      </c>
      <c r="B39" s="2" t="s">
        <v>92</v>
      </c>
      <c r="D39" s="3" t="s">
        <v>14</v>
      </c>
      <c r="L39" s="29">
        <f>(SUMIFS(终端客户销售统计表!$K:$K,终端客户销售统计表!$L:$L,$B39,终端客户销售统计表!$H:$H,$D39,终端客户销售统计表!$G:$G,"1月")+SUMIFS(终端客户销售统计表!$K:$K,终端客户销售统计表!$L:$L,$B39,终端客户销售统计表!$H:$H,$D39,终端客户销售统计表!$G:$G,"2月")+SUMIFS(终端客户销售统计表!$K:$K,终端客户销售统计表!$L:$L,$B39,终端客户销售统计表!$H:$H,$D39,终端客户销售统计表!$G:$G,"3月"))/10000</f>
        <v>0</v>
      </c>
      <c r="M39" s="29">
        <f>(SUMIFS(终端客户销售统计表!$K:$K,终端客户销售统计表!$L:$L,$B39,终端客户销售统计表!$H:$H,$D39,终端客户销售统计表!$G:$G,"4月")+SUMIFS(终端客户销售统计表!$K:$K,终端客户销售统计表!$L:$L,$B39,终端客户销售统计表!$H:$H,$D39,终端客户销售统计表!$G:$G,"5月")+SUMIFS(终端客户销售统计表!$K:$K,终端客户销售统计表!$L:$L,$B39,终端客户销售统计表!$H:$H,$D39,终端客户销售统计表!$G:$G,"6月"))/10000</f>
        <v>0</v>
      </c>
      <c r="N39" s="29">
        <f>(SUMIFS(终端客户销售统计表!$K:$K,终端客户销售统计表!$L:$L,$B39,终端客户销售统计表!$H:$H,$D39,终端客户销售统计表!$G:$G,"7月")+SUMIFS(终端客户销售统计表!$K:$K,终端客户销售统计表!$L:$L,$B39,终端客户销售统计表!$H:$H,$D39,终端客户销售统计表!$G:$G,"8月")+SUMIFS(终端客户销售统计表!$K:$K,终端客户销售统计表!$L:$L,$B39,终端客户销售统计表!$H:$H,$D39,终端客户销售统计表!$G:$G,"9月"))/10000</f>
        <v>0</v>
      </c>
      <c r="O39" s="29">
        <f>(SUMIFS(终端客户销售统计表!$K:$K,终端客户销售统计表!$L:$L,$B39,终端客户销售统计表!$H:$H,$D39,终端客户销售统计表!$G:$G,"10月")+SUMIFS(终端客户销售统计表!$K:$K,终端客户销售统计表!$L:$L,$B39,终端客户销售统计表!$H:$H,$D39,终端客户销售统计表!$G:$G,"11月")+SUMIFS(终端客户销售统计表!$K:$K,终端客户销售统计表!$L:$L,$B39,终端客户销售统计表!$H:$H,$D39,终端客户销售统计表!$G:$G,"12月"))/10000</f>
        <v>0</v>
      </c>
      <c r="P39" s="29">
        <f>SUM(L39:O39)</f>
        <v>0</v>
      </c>
      <c r="Q39" s="44" t="str">
        <f t="shared" si="6"/>
        <v/>
      </c>
      <c r="R39" s="29">
        <f>(SUMIFS('代理商-进货明细表'!$I:$I,'代理商-进货明细表'!$B:$B,'代理商-产品进销存'!$B39,'代理商-进货明细表'!$F:$F,'代理商-产品进销存'!$D39,'代理商-进货明细表'!$E:$E,"1月")+SUMIFS('代理商-进货明细表'!$I:$I,'代理商-进货明细表'!$B:$B,'代理商-产品进销存'!$B39,'代理商-进货明细表'!$F:$F,'代理商-产品进销存'!$D39,'代理商-进货明细表'!$E:$E,"2月")+SUMIFS('代理商-进货明细表'!$I:$I,'代理商-进货明细表'!$B:$B,'代理商-产品进销存'!$B39,'代理商-进货明细表'!$F:$F,'代理商-产品进销存'!$D39,'代理商-进货明细表'!$E:$E,"3月"))/10000</f>
        <v>0</v>
      </c>
      <c r="S39" s="29">
        <f>(SUMIFS('代理商-进货明细表'!$I:$I,'代理商-进货明细表'!$B:$B,'代理商-产品进销存'!$B39,'代理商-进货明细表'!$F:$F,'代理商-产品进销存'!$D39,'代理商-进货明细表'!$E:$E,"4月")+SUMIFS('代理商-进货明细表'!$I:$I,'代理商-进货明细表'!$B:$B,'代理商-产品进销存'!$B39,'代理商-进货明细表'!$F:$F,'代理商-产品进销存'!$D39,'代理商-进货明细表'!$E:$E,"5月")+SUMIFS('代理商-进货明细表'!$I:$I,'代理商-进货明细表'!$B:$B,'代理商-产品进销存'!$B39,'代理商-进货明细表'!$F:$F,'代理商-产品进销存'!$D39,'代理商-进货明细表'!$E:$E,"6月"))/10000</f>
        <v>0</v>
      </c>
      <c r="T39" s="29">
        <f>(SUMIFS('代理商-进货明细表'!$I:$I,'代理商-进货明细表'!$B:$B,'代理商-产品进销存'!$B39,'代理商-进货明细表'!$F:$F,'代理商-产品进销存'!$D39,'代理商-进货明细表'!$E:$E,"7月")+SUMIFS('代理商-进货明细表'!$I:$I,'代理商-进货明细表'!$B:$B,'代理商-产品进销存'!$B39,'代理商-进货明细表'!$F:$F,'代理商-产品进销存'!$D39,'代理商-进货明细表'!$E:$E,"8月")+SUMIFS('代理商-进货明细表'!$I:$I,'代理商-进货明细表'!$B:$B,'代理商-产品进销存'!$B39,'代理商-进货明细表'!$F:$F,'代理商-产品进销存'!$D39,'代理商-进货明细表'!$E:$E,"9月"))/10000</f>
        <v>0</v>
      </c>
      <c r="U39" s="29">
        <f>(SUMIFS('代理商-进货明细表'!$I:$I,'代理商-进货明细表'!$B:$B,'代理商-产品进销存'!$B39,'代理商-进货明细表'!$F:$F,'代理商-产品进销存'!$D39,'代理商-进货明细表'!$E:$E,"10月")+SUMIFS('代理商-进货明细表'!$I:$I,'代理商-进货明细表'!$B:$B,'代理商-产品进销存'!$B39,'代理商-进货明细表'!$F:$F,'代理商-产品进销存'!$D39,'代理商-进货明细表'!$E:$E,"11月")+SUMIFS('代理商-进货明细表'!$I:$I,'代理商-进货明细表'!$B:$B,'代理商-产品进销存'!$B39,'代理商-进货明细表'!$F:$F,'代理商-产品进销存'!$D39,'代理商-进货明细表'!$E:$E,"12月"))/10000</f>
        <v>0</v>
      </c>
      <c r="V39" s="29">
        <f t="shared" si="7"/>
        <v>0</v>
      </c>
      <c r="W39" s="29">
        <f t="shared" si="8"/>
        <v>0</v>
      </c>
      <c r="X39" s="29">
        <f t="shared" si="9"/>
        <v>0</v>
      </c>
      <c r="Y39" s="29">
        <f t="shared" si="10"/>
        <v>0</v>
      </c>
      <c r="Z39" s="29">
        <f t="shared" si="11"/>
        <v>0</v>
      </c>
      <c r="AA39" s="29">
        <f t="shared" si="12"/>
        <v>0</v>
      </c>
    </row>
    <row r="40" spans="1:27" x14ac:dyDescent="0.3">
      <c r="A40" s="2" t="s">
        <v>170</v>
      </c>
      <c r="B40" s="2" t="s">
        <v>92</v>
      </c>
      <c r="D40" s="3" t="s">
        <v>15</v>
      </c>
      <c r="L40" s="29">
        <f>(SUMIFS(终端客户销售统计表!$K:$K,终端客户销售统计表!$L:$L,$B40,终端客户销售统计表!$H:$H,$D40,终端客户销售统计表!$G:$G,"1月")+SUMIFS(终端客户销售统计表!$K:$K,终端客户销售统计表!$L:$L,$B40,终端客户销售统计表!$H:$H,$D40,终端客户销售统计表!$G:$G,"2月")+SUMIFS(终端客户销售统计表!$K:$K,终端客户销售统计表!$L:$L,$B40,终端客户销售统计表!$H:$H,$D40,终端客户销售统计表!$G:$G,"3月"))/10000</f>
        <v>0</v>
      </c>
      <c r="M40" s="29">
        <f>(SUMIFS(终端客户销售统计表!$K:$K,终端客户销售统计表!$L:$L,$B40,终端客户销售统计表!$H:$H,$D40,终端客户销售统计表!$G:$G,"4月")+SUMIFS(终端客户销售统计表!$K:$K,终端客户销售统计表!$L:$L,$B40,终端客户销售统计表!$H:$H,$D40,终端客户销售统计表!$G:$G,"5月")+SUMIFS(终端客户销售统计表!$K:$K,终端客户销售统计表!$L:$L,$B40,终端客户销售统计表!$H:$H,$D40,终端客户销售统计表!$G:$G,"6月"))/10000</f>
        <v>0</v>
      </c>
      <c r="N40" s="29">
        <f>(SUMIFS(终端客户销售统计表!$K:$K,终端客户销售统计表!$L:$L,$B40,终端客户销售统计表!$H:$H,$D40,终端客户销售统计表!$G:$G,"7月")+SUMIFS(终端客户销售统计表!$K:$K,终端客户销售统计表!$L:$L,$B40,终端客户销售统计表!$H:$H,$D40,终端客户销售统计表!$G:$G,"8月")+SUMIFS(终端客户销售统计表!$K:$K,终端客户销售统计表!$L:$L,$B40,终端客户销售统计表!$H:$H,$D40,终端客户销售统计表!$G:$G,"9月"))/10000</f>
        <v>0</v>
      </c>
      <c r="O40" s="29">
        <f>(SUMIFS(终端客户销售统计表!$K:$K,终端客户销售统计表!$L:$L,$B40,终端客户销售统计表!$H:$H,$D40,终端客户销售统计表!$G:$G,"10月")+SUMIFS(终端客户销售统计表!$K:$K,终端客户销售统计表!$L:$L,$B40,终端客户销售统计表!$H:$H,$D40,终端客户销售统计表!$G:$G,"11月")+SUMIFS(终端客户销售统计表!$K:$K,终端客户销售统计表!$L:$L,$B40,终端客户销售统计表!$H:$H,$D40,终端客户销售统计表!$G:$G,"12月"))/10000</f>
        <v>0</v>
      </c>
      <c r="P40" s="29">
        <f>SUM(L40:O40)</f>
        <v>0</v>
      </c>
      <c r="Q40" s="44" t="str">
        <f t="shared" si="6"/>
        <v/>
      </c>
      <c r="R40" s="29">
        <f>(SUMIFS('代理商-进货明细表'!$I:$I,'代理商-进货明细表'!$B:$B,'代理商-产品进销存'!$B40,'代理商-进货明细表'!$F:$F,'代理商-产品进销存'!$D40,'代理商-进货明细表'!$E:$E,"1月")+SUMIFS('代理商-进货明细表'!$I:$I,'代理商-进货明细表'!$B:$B,'代理商-产品进销存'!$B40,'代理商-进货明细表'!$F:$F,'代理商-产品进销存'!$D40,'代理商-进货明细表'!$E:$E,"2月")+SUMIFS('代理商-进货明细表'!$I:$I,'代理商-进货明细表'!$B:$B,'代理商-产品进销存'!$B40,'代理商-进货明细表'!$F:$F,'代理商-产品进销存'!$D40,'代理商-进货明细表'!$E:$E,"3月"))/10000</f>
        <v>0</v>
      </c>
      <c r="S40" s="29">
        <f>(SUMIFS('代理商-进货明细表'!$I:$I,'代理商-进货明细表'!$B:$B,'代理商-产品进销存'!$B40,'代理商-进货明细表'!$F:$F,'代理商-产品进销存'!$D40,'代理商-进货明细表'!$E:$E,"4月")+SUMIFS('代理商-进货明细表'!$I:$I,'代理商-进货明细表'!$B:$B,'代理商-产品进销存'!$B40,'代理商-进货明细表'!$F:$F,'代理商-产品进销存'!$D40,'代理商-进货明细表'!$E:$E,"5月")+SUMIFS('代理商-进货明细表'!$I:$I,'代理商-进货明细表'!$B:$B,'代理商-产品进销存'!$B40,'代理商-进货明细表'!$F:$F,'代理商-产品进销存'!$D40,'代理商-进货明细表'!$E:$E,"6月"))/10000</f>
        <v>0</v>
      </c>
      <c r="T40" s="29">
        <f>(SUMIFS('代理商-进货明细表'!$I:$I,'代理商-进货明细表'!$B:$B,'代理商-产品进销存'!$B40,'代理商-进货明细表'!$F:$F,'代理商-产品进销存'!$D40,'代理商-进货明细表'!$E:$E,"7月")+SUMIFS('代理商-进货明细表'!$I:$I,'代理商-进货明细表'!$B:$B,'代理商-产品进销存'!$B40,'代理商-进货明细表'!$F:$F,'代理商-产品进销存'!$D40,'代理商-进货明细表'!$E:$E,"8月")+SUMIFS('代理商-进货明细表'!$I:$I,'代理商-进货明细表'!$B:$B,'代理商-产品进销存'!$B40,'代理商-进货明细表'!$F:$F,'代理商-产品进销存'!$D40,'代理商-进货明细表'!$E:$E,"9月"))/10000</f>
        <v>0</v>
      </c>
      <c r="U40" s="29">
        <f>(SUMIFS('代理商-进货明细表'!$I:$I,'代理商-进货明细表'!$B:$B,'代理商-产品进销存'!$B40,'代理商-进货明细表'!$F:$F,'代理商-产品进销存'!$D40,'代理商-进货明细表'!$E:$E,"10月")+SUMIFS('代理商-进货明细表'!$I:$I,'代理商-进货明细表'!$B:$B,'代理商-产品进销存'!$B40,'代理商-进货明细表'!$F:$F,'代理商-产品进销存'!$D40,'代理商-进货明细表'!$E:$E,"11月")+SUMIFS('代理商-进货明细表'!$I:$I,'代理商-进货明细表'!$B:$B,'代理商-产品进销存'!$B40,'代理商-进货明细表'!$F:$F,'代理商-产品进销存'!$D40,'代理商-进货明细表'!$E:$E,"12月"))/10000</f>
        <v>0</v>
      </c>
      <c r="V40" s="29">
        <f t="shared" si="7"/>
        <v>0</v>
      </c>
      <c r="W40" s="29">
        <f t="shared" si="8"/>
        <v>0</v>
      </c>
      <c r="X40" s="29">
        <f t="shared" si="9"/>
        <v>0</v>
      </c>
      <c r="Y40" s="29">
        <f t="shared" si="10"/>
        <v>0</v>
      </c>
      <c r="Z40" s="29">
        <f t="shared" si="11"/>
        <v>0</v>
      </c>
      <c r="AA40" s="29">
        <f t="shared" si="12"/>
        <v>0</v>
      </c>
    </row>
    <row r="41" spans="1:27" x14ac:dyDescent="0.3">
      <c r="A41" s="2" t="s">
        <v>170</v>
      </c>
      <c r="B41" s="2" t="s">
        <v>92</v>
      </c>
      <c r="D41" s="3" t="s">
        <v>16</v>
      </c>
      <c r="L41" s="29">
        <f>(SUMIFS(终端客户销售统计表!$K:$K,终端客户销售统计表!$L:$L,$B41,终端客户销售统计表!$H:$H,$D41,终端客户销售统计表!$G:$G,"1月")+SUMIFS(终端客户销售统计表!$K:$K,终端客户销售统计表!$L:$L,$B41,终端客户销售统计表!$H:$H,$D41,终端客户销售统计表!$G:$G,"2月")+SUMIFS(终端客户销售统计表!$K:$K,终端客户销售统计表!$L:$L,$B41,终端客户销售统计表!$H:$H,$D41,终端客户销售统计表!$G:$G,"3月"))/10000</f>
        <v>0</v>
      </c>
      <c r="M41" s="29">
        <f>(SUMIFS(终端客户销售统计表!$K:$K,终端客户销售统计表!$L:$L,$B41,终端客户销售统计表!$H:$H,$D41,终端客户销售统计表!$G:$G,"4月")+SUMIFS(终端客户销售统计表!$K:$K,终端客户销售统计表!$L:$L,$B41,终端客户销售统计表!$H:$H,$D41,终端客户销售统计表!$G:$G,"5月")+SUMIFS(终端客户销售统计表!$K:$K,终端客户销售统计表!$L:$L,$B41,终端客户销售统计表!$H:$H,$D41,终端客户销售统计表!$G:$G,"6月"))/10000</f>
        <v>0</v>
      </c>
      <c r="N41" s="29">
        <f>(SUMIFS(终端客户销售统计表!$K:$K,终端客户销售统计表!$L:$L,$B41,终端客户销售统计表!$H:$H,$D41,终端客户销售统计表!$G:$G,"7月")+SUMIFS(终端客户销售统计表!$K:$K,终端客户销售统计表!$L:$L,$B41,终端客户销售统计表!$H:$H,$D41,终端客户销售统计表!$G:$G,"8月")+SUMIFS(终端客户销售统计表!$K:$K,终端客户销售统计表!$L:$L,$B41,终端客户销售统计表!$H:$H,$D41,终端客户销售统计表!$G:$G,"9月"))/10000</f>
        <v>0</v>
      </c>
      <c r="O41" s="29">
        <f>(SUMIFS(终端客户销售统计表!$K:$K,终端客户销售统计表!$L:$L,$B41,终端客户销售统计表!$H:$H,$D41,终端客户销售统计表!$G:$G,"10月")+SUMIFS(终端客户销售统计表!$K:$K,终端客户销售统计表!$L:$L,$B41,终端客户销售统计表!$H:$H,$D41,终端客户销售统计表!$G:$G,"11月")+SUMIFS(终端客户销售统计表!$K:$K,终端客户销售统计表!$L:$L,$B41,终端客户销售统计表!$H:$H,$D41,终端客户销售统计表!$G:$G,"12月"))/10000</f>
        <v>0</v>
      </c>
      <c r="P41" s="29">
        <f>SUM(L41:O41)</f>
        <v>0</v>
      </c>
      <c r="Q41" s="44" t="str">
        <f t="shared" si="6"/>
        <v/>
      </c>
      <c r="R41" s="29">
        <f>(SUMIFS('代理商-进货明细表'!$I:$I,'代理商-进货明细表'!$B:$B,'代理商-产品进销存'!$B41,'代理商-进货明细表'!$F:$F,'代理商-产品进销存'!$D41,'代理商-进货明细表'!$E:$E,"1月")+SUMIFS('代理商-进货明细表'!$I:$I,'代理商-进货明细表'!$B:$B,'代理商-产品进销存'!$B41,'代理商-进货明细表'!$F:$F,'代理商-产品进销存'!$D41,'代理商-进货明细表'!$E:$E,"2月")+SUMIFS('代理商-进货明细表'!$I:$I,'代理商-进货明细表'!$B:$B,'代理商-产品进销存'!$B41,'代理商-进货明细表'!$F:$F,'代理商-产品进销存'!$D41,'代理商-进货明细表'!$E:$E,"3月"))/10000</f>
        <v>0</v>
      </c>
      <c r="S41" s="29">
        <f>(SUMIFS('代理商-进货明细表'!$I:$I,'代理商-进货明细表'!$B:$B,'代理商-产品进销存'!$B41,'代理商-进货明细表'!$F:$F,'代理商-产品进销存'!$D41,'代理商-进货明细表'!$E:$E,"4月")+SUMIFS('代理商-进货明细表'!$I:$I,'代理商-进货明细表'!$B:$B,'代理商-产品进销存'!$B41,'代理商-进货明细表'!$F:$F,'代理商-产品进销存'!$D41,'代理商-进货明细表'!$E:$E,"5月")+SUMIFS('代理商-进货明细表'!$I:$I,'代理商-进货明细表'!$B:$B,'代理商-产品进销存'!$B41,'代理商-进货明细表'!$F:$F,'代理商-产品进销存'!$D41,'代理商-进货明细表'!$E:$E,"6月"))/10000</f>
        <v>0</v>
      </c>
      <c r="T41" s="29">
        <f>(SUMIFS('代理商-进货明细表'!$I:$I,'代理商-进货明细表'!$B:$B,'代理商-产品进销存'!$B41,'代理商-进货明细表'!$F:$F,'代理商-产品进销存'!$D41,'代理商-进货明细表'!$E:$E,"7月")+SUMIFS('代理商-进货明细表'!$I:$I,'代理商-进货明细表'!$B:$B,'代理商-产品进销存'!$B41,'代理商-进货明细表'!$F:$F,'代理商-产品进销存'!$D41,'代理商-进货明细表'!$E:$E,"8月")+SUMIFS('代理商-进货明细表'!$I:$I,'代理商-进货明细表'!$B:$B,'代理商-产品进销存'!$B41,'代理商-进货明细表'!$F:$F,'代理商-产品进销存'!$D41,'代理商-进货明细表'!$E:$E,"9月"))/10000</f>
        <v>0</v>
      </c>
      <c r="U41" s="29">
        <f>(SUMIFS('代理商-进货明细表'!$I:$I,'代理商-进货明细表'!$B:$B,'代理商-产品进销存'!$B41,'代理商-进货明细表'!$F:$F,'代理商-产品进销存'!$D41,'代理商-进货明细表'!$E:$E,"10月")+SUMIFS('代理商-进货明细表'!$I:$I,'代理商-进货明细表'!$B:$B,'代理商-产品进销存'!$B41,'代理商-进货明细表'!$F:$F,'代理商-产品进销存'!$D41,'代理商-进货明细表'!$E:$E,"11月")+SUMIFS('代理商-进货明细表'!$I:$I,'代理商-进货明细表'!$B:$B,'代理商-产品进销存'!$B41,'代理商-进货明细表'!$F:$F,'代理商-产品进销存'!$D41,'代理商-进货明细表'!$E:$E,"12月"))/10000</f>
        <v>0</v>
      </c>
      <c r="V41" s="29">
        <f t="shared" si="7"/>
        <v>0</v>
      </c>
      <c r="W41" s="29">
        <f t="shared" si="8"/>
        <v>0</v>
      </c>
      <c r="X41" s="29">
        <f t="shared" si="9"/>
        <v>0</v>
      </c>
      <c r="Y41" s="29">
        <f t="shared" si="10"/>
        <v>0</v>
      </c>
      <c r="Z41" s="29">
        <f t="shared" si="11"/>
        <v>0</v>
      </c>
      <c r="AA41" s="29">
        <f t="shared" si="12"/>
        <v>0</v>
      </c>
    </row>
    <row r="42" spans="1:27" x14ac:dyDescent="0.3">
      <c r="A42" s="2" t="s">
        <v>170</v>
      </c>
      <c r="B42" s="2" t="s">
        <v>92</v>
      </c>
      <c r="D42" s="3" t="s">
        <v>17</v>
      </c>
      <c r="L42" s="29">
        <f>(SUMIFS(终端客户销售统计表!$K:$K,终端客户销售统计表!$L:$L,$B42,终端客户销售统计表!$H:$H,$D42,终端客户销售统计表!$G:$G,"1月")+SUMIFS(终端客户销售统计表!$K:$K,终端客户销售统计表!$L:$L,$B42,终端客户销售统计表!$H:$H,$D42,终端客户销售统计表!$G:$G,"2月")+SUMIFS(终端客户销售统计表!$K:$K,终端客户销售统计表!$L:$L,$B42,终端客户销售统计表!$H:$H,$D42,终端客户销售统计表!$G:$G,"3月"))/10000</f>
        <v>0</v>
      </c>
      <c r="M42" s="29">
        <f>(SUMIFS(终端客户销售统计表!$K:$K,终端客户销售统计表!$L:$L,$B42,终端客户销售统计表!$H:$H,$D42,终端客户销售统计表!$G:$G,"4月")+SUMIFS(终端客户销售统计表!$K:$K,终端客户销售统计表!$L:$L,$B42,终端客户销售统计表!$H:$H,$D42,终端客户销售统计表!$G:$G,"5月")+SUMIFS(终端客户销售统计表!$K:$K,终端客户销售统计表!$L:$L,$B42,终端客户销售统计表!$H:$H,$D42,终端客户销售统计表!$G:$G,"6月"))/10000</f>
        <v>0</v>
      </c>
      <c r="N42" s="29">
        <f>(SUMIFS(终端客户销售统计表!$K:$K,终端客户销售统计表!$L:$L,$B42,终端客户销售统计表!$H:$H,$D42,终端客户销售统计表!$G:$G,"7月")+SUMIFS(终端客户销售统计表!$K:$K,终端客户销售统计表!$L:$L,$B42,终端客户销售统计表!$H:$H,$D42,终端客户销售统计表!$G:$G,"8月")+SUMIFS(终端客户销售统计表!$K:$K,终端客户销售统计表!$L:$L,$B42,终端客户销售统计表!$H:$H,$D42,终端客户销售统计表!$G:$G,"9月"))/10000</f>
        <v>0</v>
      </c>
      <c r="O42" s="29">
        <f>(SUMIFS(终端客户销售统计表!$K:$K,终端客户销售统计表!$L:$L,$B42,终端客户销售统计表!$H:$H,$D42,终端客户销售统计表!$G:$G,"10月")+SUMIFS(终端客户销售统计表!$K:$K,终端客户销售统计表!$L:$L,$B42,终端客户销售统计表!$H:$H,$D42,终端客户销售统计表!$G:$G,"11月")+SUMIFS(终端客户销售统计表!$K:$K,终端客户销售统计表!$L:$L,$B42,终端客户销售统计表!$H:$H,$D42,终端客户销售统计表!$G:$G,"12月"))/10000</f>
        <v>0</v>
      </c>
      <c r="P42" s="29">
        <f>SUM(L42:O42)</f>
        <v>0</v>
      </c>
      <c r="Q42" s="44" t="str">
        <f t="shared" si="6"/>
        <v/>
      </c>
      <c r="R42" s="29">
        <f>(SUMIFS('代理商-进货明细表'!$I:$I,'代理商-进货明细表'!$B:$B,'代理商-产品进销存'!$B42,'代理商-进货明细表'!$F:$F,'代理商-产品进销存'!$D42,'代理商-进货明细表'!$E:$E,"1月")+SUMIFS('代理商-进货明细表'!$I:$I,'代理商-进货明细表'!$B:$B,'代理商-产品进销存'!$B42,'代理商-进货明细表'!$F:$F,'代理商-产品进销存'!$D42,'代理商-进货明细表'!$E:$E,"2月")+SUMIFS('代理商-进货明细表'!$I:$I,'代理商-进货明细表'!$B:$B,'代理商-产品进销存'!$B42,'代理商-进货明细表'!$F:$F,'代理商-产品进销存'!$D42,'代理商-进货明细表'!$E:$E,"3月"))/10000</f>
        <v>0</v>
      </c>
      <c r="S42" s="29">
        <f>(SUMIFS('代理商-进货明细表'!$I:$I,'代理商-进货明细表'!$B:$B,'代理商-产品进销存'!$B42,'代理商-进货明细表'!$F:$F,'代理商-产品进销存'!$D42,'代理商-进货明细表'!$E:$E,"4月")+SUMIFS('代理商-进货明细表'!$I:$I,'代理商-进货明细表'!$B:$B,'代理商-产品进销存'!$B42,'代理商-进货明细表'!$F:$F,'代理商-产品进销存'!$D42,'代理商-进货明细表'!$E:$E,"5月")+SUMIFS('代理商-进货明细表'!$I:$I,'代理商-进货明细表'!$B:$B,'代理商-产品进销存'!$B42,'代理商-进货明细表'!$F:$F,'代理商-产品进销存'!$D42,'代理商-进货明细表'!$E:$E,"6月"))/10000</f>
        <v>0</v>
      </c>
      <c r="T42" s="29">
        <f>(SUMIFS('代理商-进货明细表'!$I:$I,'代理商-进货明细表'!$B:$B,'代理商-产品进销存'!$B42,'代理商-进货明细表'!$F:$F,'代理商-产品进销存'!$D42,'代理商-进货明细表'!$E:$E,"7月")+SUMIFS('代理商-进货明细表'!$I:$I,'代理商-进货明细表'!$B:$B,'代理商-产品进销存'!$B42,'代理商-进货明细表'!$F:$F,'代理商-产品进销存'!$D42,'代理商-进货明细表'!$E:$E,"8月")+SUMIFS('代理商-进货明细表'!$I:$I,'代理商-进货明细表'!$B:$B,'代理商-产品进销存'!$B42,'代理商-进货明细表'!$F:$F,'代理商-产品进销存'!$D42,'代理商-进货明细表'!$E:$E,"9月"))/10000</f>
        <v>0</v>
      </c>
      <c r="U42" s="29">
        <f>(SUMIFS('代理商-进货明细表'!$I:$I,'代理商-进货明细表'!$B:$B,'代理商-产品进销存'!$B42,'代理商-进货明细表'!$F:$F,'代理商-产品进销存'!$D42,'代理商-进货明细表'!$E:$E,"10月")+SUMIFS('代理商-进货明细表'!$I:$I,'代理商-进货明细表'!$B:$B,'代理商-产品进销存'!$B42,'代理商-进货明细表'!$F:$F,'代理商-产品进销存'!$D42,'代理商-进货明细表'!$E:$E,"11月")+SUMIFS('代理商-进货明细表'!$I:$I,'代理商-进货明细表'!$B:$B,'代理商-产品进销存'!$B42,'代理商-进货明细表'!$F:$F,'代理商-产品进销存'!$D42,'代理商-进货明细表'!$E:$E,"12月"))/10000</f>
        <v>0</v>
      </c>
      <c r="V42" s="29">
        <f t="shared" si="7"/>
        <v>0</v>
      </c>
      <c r="W42" s="29">
        <f t="shared" si="8"/>
        <v>0</v>
      </c>
      <c r="X42" s="29">
        <f t="shared" si="9"/>
        <v>0</v>
      </c>
      <c r="Y42" s="29">
        <f t="shared" si="10"/>
        <v>0</v>
      </c>
      <c r="Z42" s="29">
        <f t="shared" si="11"/>
        <v>0</v>
      </c>
      <c r="AA42" s="29">
        <f t="shared" si="12"/>
        <v>0</v>
      </c>
    </row>
    <row r="43" spans="1:27" x14ac:dyDescent="0.3">
      <c r="A43" s="2" t="s">
        <v>171</v>
      </c>
      <c r="B43" s="2" t="s">
        <v>93</v>
      </c>
      <c r="D43" s="3" t="s">
        <v>14</v>
      </c>
      <c r="L43" s="29">
        <f>(SUMIFS(终端客户销售统计表!$K:$K,终端客户销售统计表!$L:$L,$B43,终端客户销售统计表!$H:$H,$D43,终端客户销售统计表!$G:$G,"1月")+SUMIFS(终端客户销售统计表!$K:$K,终端客户销售统计表!$L:$L,$B43,终端客户销售统计表!$H:$H,$D43,终端客户销售统计表!$G:$G,"2月")+SUMIFS(终端客户销售统计表!$K:$K,终端客户销售统计表!$L:$L,$B43,终端客户销售统计表!$H:$H,$D43,终端客户销售统计表!$G:$G,"3月"))/10000</f>
        <v>0</v>
      </c>
      <c r="M43" s="29">
        <f>(SUMIFS(终端客户销售统计表!$K:$K,终端客户销售统计表!$L:$L,$B43,终端客户销售统计表!$H:$H,$D43,终端客户销售统计表!$G:$G,"4月")+SUMIFS(终端客户销售统计表!$K:$K,终端客户销售统计表!$L:$L,$B43,终端客户销售统计表!$H:$H,$D43,终端客户销售统计表!$G:$G,"5月")+SUMIFS(终端客户销售统计表!$K:$K,终端客户销售统计表!$L:$L,$B43,终端客户销售统计表!$H:$H,$D43,终端客户销售统计表!$G:$G,"6月"))/10000</f>
        <v>0</v>
      </c>
      <c r="N43" s="29">
        <f>(SUMIFS(终端客户销售统计表!$K:$K,终端客户销售统计表!$L:$L,$B43,终端客户销售统计表!$H:$H,$D43,终端客户销售统计表!$G:$G,"7月")+SUMIFS(终端客户销售统计表!$K:$K,终端客户销售统计表!$L:$L,$B43,终端客户销售统计表!$H:$H,$D43,终端客户销售统计表!$G:$G,"8月")+SUMIFS(终端客户销售统计表!$K:$K,终端客户销售统计表!$L:$L,$B43,终端客户销售统计表!$H:$H,$D43,终端客户销售统计表!$G:$G,"9月"))/10000</f>
        <v>0</v>
      </c>
      <c r="O43" s="29">
        <f>(SUMIFS(终端客户销售统计表!$K:$K,终端客户销售统计表!$L:$L,$B43,终端客户销售统计表!$H:$H,$D43,终端客户销售统计表!$G:$G,"10月")+SUMIFS(终端客户销售统计表!$K:$K,终端客户销售统计表!$L:$L,$B43,终端客户销售统计表!$H:$H,$D43,终端客户销售统计表!$G:$G,"11月")+SUMIFS(终端客户销售统计表!$K:$K,终端客户销售统计表!$L:$L,$B43,终端客户销售统计表!$H:$H,$D43,终端客户销售统计表!$G:$G,"12月"))/10000</f>
        <v>0</v>
      </c>
      <c r="P43" s="29">
        <f>SUM(L43:O43)</f>
        <v>0</v>
      </c>
      <c r="Q43" s="44" t="str">
        <f t="shared" si="6"/>
        <v/>
      </c>
      <c r="R43" s="29">
        <f>(SUMIFS('代理商-进货明细表'!$I:$I,'代理商-进货明细表'!$B:$B,'代理商-产品进销存'!$B43,'代理商-进货明细表'!$F:$F,'代理商-产品进销存'!$D43,'代理商-进货明细表'!$E:$E,"1月")+SUMIFS('代理商-进货明细表'!$I:$I,'代理商-进货明细表'!$B:$B,'代理商-产品进销存'!$B43,'代理商-进货明细表'!$F:$F,'代理商-产品进销存'!$D43,'代理商-进货明细表'!$E:$E,"2月")+SUMIFS('代理商-进货明细表'!$I:$I,'代理商-进货明细表'!$B:$B,'代理商-产品进销存'!$B43,'代理商-进货明细表'!$F:$F,'代理商-产品进销存'!$D43,'代理商-进货明细表'!$E:$E,"3月"))/10000</f>
        <v>0</v>
      </c>
      <c r="S43" s="29">
        <f>(SUMIFS('代理商-进货明细表'!$I:$I,'代理商-进货明细表'!$B:$B,'代理商-产品进销存'!$B43,'代理商-进货明细表'!$F:$F,'代理商-产品进销存'!$D43,'代理商-进货明细表'!$E:$E,"4月")+SUMIFS('代理商-进货明细表'!$I:$I,'代理商-进货明细表'!$B:$B,'代理商-产品进销存'!$B43,'代理商-进货明细表'!$F:$F,'代理商-产品进销存'!$D43,'代理商-进货明细表'!$E:$E,"5月")+SUMIFS('代理商-进货明细表'!$I:$I,'代理商-进货明细表'!$B:$B,'代理商-产品进销存'!$B43,'代理商-进货明细表'!$F:$F,'代理商-产品进销存'!$D43,'代理商-进货明细表'!$E:$E,"6月"))/10000</f>
        <v>0</v>
      </c>
      <c r="T43" s="29">
        <f>(SUMIFS('代理商-进货明细表'!$I:$I,'代理商-进货明细表'!$B:$B,'代理商-产品进销存'!$B43,'代理商-进货明细表'!$F:$F,'代理商-产品进销存'!$D43,'代理商-进货明细表'!$E:$E,"7月")+SUMIFS('代理商-进货明细表'!$I:$I,'代理商-进货明细表'!$B:$B,'代理商-产品进销存'!$B43,'代理商-进货明细表'!$F:$F,'代理商-产品进销存'!$D43,'代理商-进货明细表'!$E:$E,"8月")+SUMIFS('代理商-进货明细表'!$I:$I,'代理商-进货明细表'!$B:$B,'代理商-产品进销存'!$B43,'代理商-进货明细表'!$F:$F,'代理商-产品进销存'!$D43,'代理商-进货明细表'!$E:$E,"9月"))/10000</f>
        <v>0</v>
      </c>
      <c r="U43" s="29">
        <f>(SUMIFS('代理商-进货明细表'!$I:$I,'代理商-进货明细表'!$B:$B,'代理商-产品进销存'!$B43,'代理商-进货明细表'!$F:$F,'代理商-产品进销存'!$D43,'代理商-进货明细表'!$E:$E,"10月")+SUMIFS('代理商-进货明细表'!$I:$I,'代理商-进货明细表'!$B:$B,'代理商-产品进销存'!$B43,'代理商-进货明细表'!$F:$F,'代理商-产品进销存'!$D43,'代理商-进货明细表'!$E:$E,"11月")+SUMIFS('代理商-进货明细表'!$I:$I,'代理商-进货明细表'!$B:$B,'代理商-产品进销存'!$B43,'代理商-进货明细表'!$F:$F,'代理商-产品进销存'!$D43,'代理商-进货明细表'!$E:$E,"12月"))/10000</f>
        <v>0</v>
      </c>
      <c r="V43" s="29">
        <f t="shared" si="7"/>
        <v>0</v>
      </c>
      <c r="W43" s="29">
        <f t="shared" si="8"/>
        <v>0</v>
      </c>
      <c r="X43" s="29">
        <f t="shared" si="9"/>
        <v>0</v>
      </c>
      <c r="Y43" s="29">
        <f t="shared" si="10"/>
        <v>0</v>
      </c>
      <c r="Z43" s="29">
        <f t="shared" si="11"/>
        <v>0</v>
      </c>
      <c r="AA43" s="29">
        <f t="shared" si="12"/>
        <v>0</v>
      </c>
    </row>
    <row r="44" spans="1:27" x14ac:dyDescent="0.3">
      <c r="A44" s="2" t="s">
        <v>171</v>
      </c>
      <c r="B44" s="2" t="s">
        <v>93</v>
      </c>
      <c r="D44" s="3" t="s">
        <v>15</v>
      </c>
      <c r="L44" s="29">
        <f>(SUMIFS(终端客户销售统计表!$K:$K,终端客户销售统计表!$L:$L,$B44,终端客户销售统计表!$H:$H,$D44,终端客户销售统计表!$G:$G,"1月")+SUMIFS(终端客户销售统计表!$K:$K,终端客户销售统计表!$L:$L,$B44,终端客户销售统计表!$H:$H,$D44,终端客户销售统计表!$G:$G,"2月")+SUMIFS(终端客户销售统计表!$K:$K,终端客户销售统计表!$L:$L,$B44,终端客户销售统计表!$H:$H,$D44,终端客户销售统计表!$G:$G,"3月"))/10000</f>
        <v>0</v>
      </c>
      <c r="M44" s="29">
        <f>(SUMIFS(终端客户销售统计表!$K:$K,终端客户销售统计表!$L:$L,$B44,终端客户销售统计表!$H:$H,$D44,终端客户销售统计表!$G:$G,"4月")+SUMIFS(终端客户销售统计表!$K:$K,终端客户销售统计表!$L:$L,$B44,终端客户销售统计表!$H:$H,$D44,终端客户销售统计表!$G:$G,"5月")+SUMIFS(终端客户销售统计表!$K:$K,终端客户销售统计表!$L:$L,$B44,终端客户销售统计表!$H:$H,$D44,终端客户销售统计表!$G:$G,"6月"))/10000</f>
        <v>0</v>
      </c>
      <c r="N44" s="29">
        <f>(SUMIFS(终端客户销售统计表!$K:$K,终端客户销售统计表!$L:$L,$B44,终端客户销售统计表!$H:$H,$D44,终端客户销售统计表!$G:$G,"7月")+SUMIFS(终端客户销售统计表!$K:$K,终端客户销售统计表!$L:$L,$B44,终端客户销售统计表!$H:$H,$D44,终端客户销售统计表!$G:$G,"8月")+SUMIFS(终端客户销售统计表!$K:$K,终端客户销售统计表!$L:$L,$B44,终端客户销售统计表!$H:$H,$D44,终端客户销售统计表!$G:$G,"9月"))/10000</f>
        <v>0</v>
      </c>
      <c r="O44" s="29">
        <f>(SUMIFS(终端客户销售统计表!$K:$K,终端客户销售统计表!$L:$L,$B44,终端客户销售统计表!$H:$H,$D44,终端客户销售统计表!$G:$G,"10月")+SUMIFS(终端客户销售统计表!$K:$K,终端客户销售统计表!$L:$L,$B44,终端客户销售统计表!$H:$H,$D44,终端客户销售统计表!$G:$G,"11月")+SUMIFS(终端客户销售统计表!$K:$K,终端客户销售统计表!$L:$L,$B44,终端客户销售统计表!$H:$H,$D44,终端客户销售统计表!$G:$G,"12月"))/10000</f>
        <v>0</v>
      </c>
      <c r="P44" s="29">
        <f>SUM(L44:O44)</f>
        <v>0</v>
      </c>
      <c r="Q44" s="44" t="str">
        <f t="shared" si="6"/>
        <v/>
      </c>
      <c r="R44" s="29">
        <f>(SUMIFS('代理商-进货明细表'!$I:$I,'代理商-进货明细表'!$B:$B,'代理商-产品进销存'!$B44,'代理商-进货明细表'!$F:$F,'代理商-产品进销存'!$D44,'代理商-进货明细表'!$E:$E,"1月")+SUMIFS('代理商-进货明细表'!$I:$I,'代理商-进货明细表'!$B:$B,'代理商-产品进销存'!$B44,'代理商-进货明细表'!$F:$F,'代理商-产品进销存'!$D44,'代理商-进货明细表'!$E:$E,"2月")+SUMIFS('代理商-进货明细表'!$I:$I,'代理商-进货明细表'!$B:$B,'代理商-产品进销存'!$B44,'代理商-进货明细表'!$F:$F,'代理商-产品进销存'!$D44,'代理商-进货明细表'!$E:$E,"3月"))/10000</f>
        <v>0</v>
      </c>
      <c r="S44" s="29">
        <f>(SUMIFS('代理商-进货明细表'!$I:$I,'代理商-进货明细表'!$B:$B,'代理商-产品进销存'!$B44,'代理商-进货明细表'!$F:$F,'代理商-产品进销存'!$D44,'代理商-进货明细表'!$E:$E,"4月")+SUMIFS('代理商-进货明细表'!$I:$I,'代理商-进货明细表'!$B:$B,'代理商-产品进销存'!$B44,'代理商-进货明细表'!$F:$F,'代理商-产品进销存'!$D44,'代理商-进货明细表'!$E:$E,"5月")+SUMIFS('代理商-进货明细表'!$I:$I,'代理商-进货明细表'!$B:$B,'代理商-产品进销存'!$B44,'代理商-进货明细表'!$F:$F,'代理商-产品进销存'!$D44,'代理商-进货明细表'!$E:$E,"6月"))/10000</f>
        <v>0</v>
      </c>
      <c r="T44" s="29">
        <f>(SUMIFS('代理商-进货明细表'!$I:$I,'代理商-进货明细表'!$B:$B,'代理商-产品进销存'!$B44,'代理商-进货明细表'!$F:$F,'代理商-产品进销存'!$D44,'代理商-进货明细表'!$E:$E,"7月")+SUMIFS('代理商-进货明细表'!$I:$I,'代理商-进货明细表'!$B:$B,'代理商-产品进销存'!$B44,'代理商-进货明细表'!$F:$F,'代理商-产品进销存'!$D44,'代理商-进货明细表'!$E:$E,"8月")+SUMIFS('代理商-进货明细表'!$I:$I,'代理商-进货明细表'!$B:$B,'代理商-产品进销存'!$B44,'代理商-进货明细表'!$F:$F,'代理商-产品进销存'!$D44,'代理商-进货明细表'!$E:$E,"9月"))/10000</f>
        <v>0</v>
      </c>
      <c r="U44" s="29">
        <f>(SUMIFS('代理商-进货明细表'!$I:$I,'代理商-进货明细表'!$B:$B,'代理商-产品进销存'!$B44,'代理商-进货明细表'!$F:$F,'代理商-产品进销存'!$D44,'代理商-进货明细表'!$E:$E,"10月")+SUMIFS('代理商-进货明细表'!$I:$I,'代理商-进货明细表'!$B:$B,'代理商-产品进销存'!$B44,'代理商-进货明细表'!$F:$F,'代理商-产品进销存'!$D44,'代理商-进货明细表'!$E:$E,"11月")+SUMIFS('代理商-进货明细表'!$I:$I,'代理商-进货明细表'!$B:$B,'代理商-产品进销存'!$B44,'代理商-进货明细表'!$F:$F,'代理商-产品进销存'!$D44,'代理商-进货明细表'!$E:$E,"12月"))/10000</f>
        <v>0</v>
      </c>
      <c r="V44" s="29">
        <f t="shared" si="7"/>
        <v>0</v>
      </c>
      <c r="W44" s="29">
        <f t="shared" si="8"/>
        <v>0</v>
      </c>
      <c r="X44" s="29">
        <f t="shared" si="9"/>
        <v>0</v>
      </c>
      <c r="Y44" s="29">
        <f t="shared" si="10"/>
        <v>0</v>
      </c>
      <c r="Z44" s="29">
        <f t="shared" si="11"/>
        <v>0</v>
      </c>
      <c r="AA44" s="29">
        <f t="shared" si="12"/>
        <v>0</v>
      </c>
    </row>
    <row r="45" spans="1:27" x14ac:dyDescent="0.3">
      <c r="A45" s="2" t="s">
        <v>171</v>
      </c>
      <c r="B45" s="2" t="s">
        <v>93</v>
      </c>
      <c r="D45" s="3" t="s">
        <v>16</v>
      </c>
      <c r="L45" s="29">
        <f>(SUMIFS(终端客户销售统计表!$K:$K,终端客户销售统计表!$L:$L,$B45,终端客户销售统计表!$H:$H,$D45,终端客户销售统计表!$G:$G,"1月")+SUMIFS(终端客户销售统计表!$K:$K,终端客户销售统计表!$L:$L,$B45,终端客户销售统计表!$H:$H,$D45,终端客户销售统计表!$G:$G,"2月")+SUMIFS(终端客户销售统计表!$K:$K,终端客户销售统计表!$L:$L,$B45,终端客户销售统计表!$H:$H,$D45,终端客户销售统计表!$G:$G,"3月"))/10000</f>
        <v>0</v>
      </c>
      <c r="M45" s="29">
        <f>(SUMIFS(终端客户销售统计表!$K:$K,终端客户销售统计表!$L:$L,$B45,终端客户销售统计表!$H:$H,$D45,终端客户销售统计表!$G:$G,"4月")+SUMIFS(终端客户销售统计表!$K:$K,终端客户销售统计表!$L:$L,$B45,终端客户销售统计表!$H:$H,$D45,终端客户销售统计表!$G:$G,"5月")+SUMIFS(终端客户销售统计表!$K:$K,终端客户销售统计表!$L:$L,$B45,终端客户销售统计表!$H:$H,$D45,终端客户销售统计表!$G:$G,"6月"))/10000</f>
        <v>0</v>
      </c>
      <c r="N45" s="29">
        <f>(SUMIFS(终端客户销售统计表!$K:$K,终端客户销售统计表!$L:$L,$B45,终端客户销售统计表!$H:$H,$D45,终端客户销售统计表!$G:$G,"7月")+SUMIFS(终端客户销售统计表!$K:$K,终端客户销售统计表!$L:$L,$B45,终端客户销售统计表!$H:$H,$D45,终端客户销售统计表!$G:$G,"8月")+SUMIFS(终端客户销售统计表!$K:$K,终端客户销售统计表!$L:$L,$B45,终端客户销售统计表!$H:$H,$D45,终端客户销售统计表!$G:$G,"9月"))/10000</f>
        <v>0</v>
      </c>
      <c r="O45" s="29">
        <f>(SUMIFS(终端客户销售统计表!$K:$K,终端客户销售统计表!$L:$L,$B45,终端客户销售统计表!$H:$H,$D45,终端客户销售统计表!$G:$G,"10月")+SUMIFS(终端客户销售统计表!$K:$K,终端客户销售统计表!$L:$L,$B45,终端客户销售统计表!$H:$H,$D45,终端客户销售统计表!$G:$G,"11月")+SUMIFS(终端客户销售统计表!$K:$K,终端客户销售统计表!$L:$L,$B45,终端客户销售统计表!$H:$H,$D45,终端客户销售统计表!$G:$G,"12月"))/10000</f>
        <v>0</v>
      </c>
      <c r="P45" s="29">
        <f>SUM(L45:O45)</f>
        <v>0</v>
      </c>
      <c r="Q45" s="44" t="str">
        <f t="shared" si="6"/>
        <v/>
      </c>
      <c r="R45" s="29">
        <f>(SUMIFS('代理商-进货明细表'!$I:$I,'代理商-进货明细表'!$B:$B,'代理商-产品进销存'!$B45,'代理商-进货明细表'!$F:$F,'代理商-产品进销存'!$D45,'代理商-进货明细表'!$E:$E,"1月")+SUMIFS('代理商-进货明细表'!$I:$I,'代理商-进货明细表'!$B:$B,'代理商-产品进销存'!$B45,'代理商-进货明细表'!$F:$F,'代理商-产品进销存'!$D45,'代理商-进货明细表'!$E:$E,"2月")+SUMIFS('代理商-进货明细表'!$I:$I,'代理商-进货明细表'!$B:$B,'代理商-产品进销存'!$B45,'代理商-进货明细表'!$F:$F,'代理商-产品进销存'!$D45,'代理商-进货明细表'!$E:$E,"3月"))/10000</f>
        <v>0</v>
      </c>
      <c r="S45" s="29">
        <f>(SUMIFS('代理商-进货明细表'!$I:$I,'代理商-进货明细表'!$B:$B,'代理商-产品进销存'!$B45,'代理商-进货明细表'!$F:$F,'代理商-产品进销存'!$D45,'代理商-进货明细表'!$E:$E,"4月")+SUMIFS('代理商-进货明细表'!$I:$I,'代理商-进货明细表'!$B:$B,'代理商-产品进销存'!$B45,'代理商-进货明细表'!$F:$F,'代理商-产品进销存'!$D45,'代理商-进货明细表'!$E:$E,"5月")+SUMIFS('代理商-进货明细表'!$I:$I,'代理商-进货明细表'!$B:$B,'代理商-产品进销存'!$B45,'代理商-进货明细表'!$F:$F,'代理商-产品进销存'!$D45,'代理商-进货明细表'!$E:$E,"6月"))/10000</f>
        <v>0</v>
      </c>
      <c r="T45" s="29">
        <f>(SUMIFS('代理商-进货明细表'!$I:$I,'代理商-进货明细表'!$B:$B,'代理商-产品进销存'!$B45,'代理商-进货明细表'!$F:$F,'代理商-产品进销存'!$D45,'代理商-进货明细表'!$E:$E,"7月")+SUMIFS('代理商-进货明细表'!$I:$I,'代理商-进货明细表'!$B:$B,'代理商-产品进销存'!$B45,'代理商-进货明细表'!$F:$F,'代理商-产品进销存'!$D45,'代理商-进货明细表'!$E:$E,"8月")+SUMIFS('代理商-进货明细表'!$I:$I,'代理商-进货明细表'!$B:$B,'代理商-产品进销存'!$B45,'代理商-进货明细表'!$F:$F,'代理商-产品进销存'!$D45,'代理商-进货明细表'!$E:$E,"9月"))/10000</f>
        <v>0</v>
      </c>
      <c r="U45" s="29">
        <f>(SUMIFS('代理商-进货明细表'!$I:$I,'代理商-进货明细表'!$B:$B,'代理商-产品进销存'!$B45,'代理商-进货明细表'!$F:$F,'代理商-产品进销存'!$D45,'代理商-进货明细表'!$E:$E,"10月")+SUMIFS('代理商-进货明细表'!$I:$I,'代理商-进货明细表'!$B:$B,'代理商-产品进销存'!$B45,'代理商-进货明细表'!$F:$F,'代理商-产品进销存'!$D45,'代理商-进货明细表'!$E:$E,"11月")+SUMIFS('代理商-进货明细表'!$I:$I,'代理商-进货明细表'!$B:$B,'代理商-产品进销存'!$B45,'代理商-进货明细表'!$F:$F,'代理商-产品进销存'!$D45,'代理商-进货明细表'!$E:$E,"12月"))/10000</f>
        <v>0</v>
      </c>
      <c r="V45" s="29">
        <f t="shared" si="7"/>
        <v>0</v>
      </c>
      <c r="W45" s="29">
        <f t="shared" si="8"/>
        <v>0</v>
      </c>
      <c r="X45" s="29">
        <f t="shared" si="9"/>
        <v>0</v>
      </c>
      <c r="Y45" s="29">
        <f t="shared" si="10"/>
        <v>0</v>
      </c>
      <c r="Z45" s="29">
        <f t="shared" si="11"/>
        <v>0</v>
      </c>
      <c r="AA45" s="29">
        <f t="shared" si="12"/>
        <v>0</v>
      </c>
    </row>
    <row r="46" spans="1:27" x14ac:dyDescent="0.3">
      <c r="A46" s="2" t="s">
        <v>171</v>
      </c>
      <c r="B46" s="2" t="s">
        <v>93</v>
      </c>
      <c r="D46" s="3" t="s">
        <v>17</v>
      </c>
      <c r="L46" s="29">
        <f>(SUMIFS(终端客户销售统计表!$K:$K,终端客户销售统计表!$L:$L,$B46,终端客户销售统计表!$H:$H,$D46,终端客户销售统计表!$G:$G,"1月")+SUMIFS(终端客户销售统计表!$K:$K,终端客户销售统计表!$L:$L,$B46,终端客户销售统计表!$H:$H,$D46,终端客户销售统计表!$G:$G,"2月")+SUMIFS(终端客户销售统计表!$K:$K,终端客户销售统计表!$L:$L,$B46,终端客户销售统计表!$H:$H,$D46,终端客户销售统计表!$G:$G,"3月"))/10000</f>
        <v>0</v>
      </c>
      <c r="M46" s="29">
        <f>(SUMIFS(终端客户销售统计表!$K:$K,终端客户销售统计表!$L:$L,$B46,终端客户销售统计表!$H:$H,$D46,终端客户销售统计表!$G:$G,"4月")+SUMIFS(终端客户销售统计表!$K:$K,终端客户销售统计表!$L:$L,$B46,终端客户销售统计表!$H:$H,$D46,终端客户销售统计表!$G:$G,"5月")+SUMIFS(终端客户销售统计表!$K:$K,终端客户销售统计表!$L:$L,$B46,终端客户销售统计表!$H:$H,$D46,终端客户销售统计表!$G:$G,"6月"))/10000</f>
        <v>0</v>
      </c>
      <c r="N46" s="29">
        <f>(SUMIFS(终端客户销售统计表!$K:$K,终端客户销售统计表!$L:$L,$B46,终端客户销售统计表!$H:$H,$D46,终端客户销售统计表!$G:$G,"7月")+SUMIFS(终端客户销售统计表!$K:$K,终端客户销售统计表!$L:$L,$B46,终端客户销售统计表!$H:$H,$D46,终端客户销售统计表!$G:$G,"8月")+SUMIFS(终端客户销售统计表!$K:$K,终端客户销售统计表!$L:$L,$B46,终端客户销售统计表!$H:$H,$D46,终端客户销售统计表!$G:$G,"9月"))/10000</f>
        <v>0</v>
      </c>
      <c r="O46" s="29">
        <f>(SUMIFS(终端客户销售统计表!$K:$K,终端客户销售统计表!$L:$L,$B46,终端客户销售统计表!$H:$H,$D46,终端客户销售统计表!$G:$G,"10月")+SUMIFS(终端客户销售统计表!$K:$K,终端客户销售统计表!$L:$L,$B46,终端客户销售统计表!$H:$H,$D46,终端客户销售统计表!$G:$G,"11月")+SUMIFS(终端客户销售统计表!$K:$K,终端客户销售统计表!$L:$L,$B46,终端客户销售统计表!$H:$H,$D46,终端客户销售统计表!$G:$G,"12月"))/10000</f>
        <v>0</v>
      </c>
      <c r="P46" s="29">
        <f>SUM(L46:O46)</f>
        <v>0</v>
      </c>
      <c r="Q46" s="44" t="str">
        <f t="shared" si="6"/>
        <v/>
      </c>
      <c r="R46" s="29">
        <f>(SUMIFS('代理商-进货明细表'!$I:$I,'代理商-进货明细表'!$B:$B,'代理商-产品进销存'!$B46,'代理商-进货明细表'!$F:$F,'代理商-产品进销存'!$D46,'代理商-进货明细表'!$E:$E,"1月")+SUMIFS('代理商-进货明细表'!$I:$I,'代理商-进货明细表'!$B:$B,'代理商-产品进销存'!$B46,'代理商-进货明细表'!$F:$F,'代理商-产品进销存'!$D46,'代理商-进货明细表'!$E:$E,"2月")+SUMIFS('代理商-进货明细表'!$I:$I,'代理商-进货明细表'!$B:$B,'代理商-产品进销存'!$B46,'代理商-进货明细表'!$F:$F,'代理商-产品进销存'!$D46,'代理商-进货明细表'!$E:$E,"3月"))/10000</f>
        <v>0</v>
      </c>
      <c r="S46" s="29">
        <f>(SUMIFS('代理商-进货明细表'!$I:$I,'代理商-进货明细表'!$B:$B,'代理商-产品进销存'!$B46,'代理商-进货明细表'!$F:$F,'代理商-产品进销存'!$D46,'代理商-进货明细表'!$E:$E,"4月")+SUMIFS('代理商-进货明细表'!$I:$I,'代理商-进货明细表'!$B:$B,'代理商-产品进销存'!$B46,'代理商-进货明细表'!$F:$F,'代理商-产品进销存'!$D46,'代理商-进货明细表'!$E:$E,"5月")+SUMIFS('代理商-进货明细表'!$I:$I,'代理商-进货明细表'!$B:$B,'代理商-产品进销存'!$B46,'代理商-进货明细表'!$F:$F,'代理商-产品进销存'!$D46,'代理商-进货明细表'!$E:$E,"6月"))/10000</f>
        <v>0</v>
      </c>
      <c r="T46" s="29">
        <f>(SUMIFS('代理商-进货明细表'!$I:$I,'代理商-进货明细表'!$B:$B,'代理商-产品进销存'!$B46,'代理商-进货明细表'!$F:$F,'代理商-产品进销存'!$D46,'代理商-进货明细表'!$E:$E,"7月")+SUMIFS('代理商-进货明细表'!$I:$I,'代理商-进货明细表'!$B:$B,'代理商-产品进销存'!$B46,'代理商-进货明细表'!$F:$F,'代理商-产品进销存'!$D46,'代理商-进货明细表'!$E:$E,"8月")+SUMIFS('代理商-进货明细表'!$I:$I,'代理商-进货明细表'!$B:$B,'代理商-产品进销存'!$B46,'代理商-进货明细表'!$F:$F,'代理商-产品进销存'!$D46,'代理商-进货明细表'!$E:$E,"9月"))/10000</f>
        <v>0</v>
      </c>
      <c r="U46" s="29">
        <f>(SUMIFS('代理商-进货明细表'!$I:$I,'代理商-进货明细表'!$B:$B,'代理商-产品进销存'!$B46,'代理商-进货明细表'!$F:$F,'代理商-产品进销存'!$D46,'代理商-进货明细表'!$E:$E,"10月")+SUMIFS('代理商-进货明细表'!$I:$I,'代理商-进货明细表'!$B:$B,'代理商-产品进销存'!$B46,'代理商-进货明细表'!$F:$F,'代理商-产品进销存'!$D46,'代理商-进货明细表'!$E:$E,"11月")+SUMIFS('代理商-进货明细表'!$I:$I,'代理商-进货明细表'!$B:$B,'代理商-产品进销存'!$B46,'代理商-进货明细表'!$F:$F,'代理商-产品进销存'!$D46,'代理商-进货明细表'!$E:$E,"12月"))/10000</f>
        <v>0</v>
      </c>
      <c r="V46" s="29">
        <f t="shared" si="7"/>
        <v>0</v>
      </c>
      <c r="W46" s="29">
        <f t="shared" si="8"/>
        <v>0</v>
      </c>
      <c r="X46" s="29">
        <f t="shared" si="9"/>
        <v>0</v>
      </c>
      <c r="Y46" s="29">
        <f t="shared" si="10"/>
        <v>0</v>
      </c>
      <c r="Z46" s="29">
        <f t="shared" si="11"/>
        <v>0</v>
      </c>
      <c r="AA46" s="29">
        <f t="shared" si="12"/>
        <v>0</v>
      </c>
    </row>
    <row r="47" spans="1:27" x14ac:dyDescent="0.3">
      <c r="A47" s="2" t="s">
        <v>172</v>
      </c>
      <c r="B47" s="2" t="s">
        <v>94</v>
      </c>
      <c r="D47" s="3" t="s">
        <v>14</v>
      </c>
      <c r="L47" s="29">
        <f>(SUMIFS(终端客户销售统计表!$K:$K,终端客户销售统计表!$L:$L,$B47,终端客户销售统计表!$H:$H,$D47,终端客户销售统计表!$G:$G,"1月")+SUMIFS(终端客户销售统计表!$K:$K,终端客户销售统计表!$L:$L,$B47,终端客户销售统计表!$H:$H,$D47,终端客户销售统计表!$G:$G,"2月")+SUMIFS(终端客户销售统计表!$K:$K,终端客户销售统计表!$L:$L,$B47,终端客户销售统计表!$H:$H,$D47,终端客户销售统计表!$G:$G,"3月"))/10000</f>
        <v>0</v>
      </c>
      <c r="M47" s="29">
        <f>(SUMIFS(终端客户销售统计表!$K:$K,终端客户销售统计表!$L:$L,$B47,终端客户销售统计表!$H:$H,$D47,终端客户销售统计表!$G:$G,"4月")+SUMIFS(终端客户销售统计表!$K:$K,终端客户销售统计表!$L:$L,$B47,终端客户销售统计表!$H:$H,$D47,终端客户销售统计表!$G:$G,"5月")+SUMIFS(终端客户销售统计表!$K:$K,终端客户销售统计表!$L:$L,$B47,终端客户销售统计表!$H:$H,$D47,终端客户销售统计表!$G:$G,"6月"))/10000</f>
        <v>0</v>
      </c>
      <c r="N47" s="29">
        <f>(SUMIFS(终端客户销售统计表!$K:$K,终端客户销售统计表!$L:$L,$B47,终端客户销售统计表!$H:$H,$D47,终端客户销售统计表!$G:$G,"7月")+SUMIFS(终端客户销售统计表!$K:$K,终端客户销售统计表!$L:$L,$B47,终端客户销售统计表!$H:$H,$D47,终端客户销售统计表!$G:$G,"8月")+SUMIFS(终端客户销售统计表!$K:$K,终端客户销售统计表!$L:$L,$B47,终端客户销售统计表!$H:$H,$D47,终端客户销售统计表!$G:$G,"9月"))/10000</f>
        <v>0</v>
      </c>
      <c r="O47" s="29">
        <f>(SUMIFS(终端客户销售统计表!$K:$K,终端客户销售统计表!$L:$L,$B47,终端客户销售统计表!$H:$H,$D47,终端客户销售统计表!$G:$G,"10月")+SUMIFS(终端客户销售统计表!$K:$K,终端客户销售统计表!$L:$L,$B47,终端客户销售统计表!$H:$H,$D47,终端客户销售统计表!$G:$G,"11月")+SUMIFS(终端客户销售统计表!$K:$K,终端客户销售统计表!$L:$L,$B47,终端客户销售统计表!$H:$H,$D47,终端客户销售统计表!$G:$G,"12月"))/10000</f>
        <v>0</v>
      </c>
      <c r="P47" s="29">
        <f>SUM(L47:O47)</f>
        <v>0</v>
      </c>
      <c r="Q47" s="44" t="str">
        <f t="shared" si="6"/>
        <v/>
      </c>
      <c r="R47" s="29">
        <f>(SUMIFS('代理商-进货明细表'!$I:$I,'代理商-进货明细表'!$B:$B,'代理商-产品进销存'!$B47,'代理商-进货明细表'!$F:$F,'代理商-产品进销存'!$D47,'代理商-进货明细表'!$E:$E,"1月")+SUMIFS('代理商-进货明细表'!$I:$I,'代理商-进货明细表'!$B:$B,'代理商-产品进销存'!$B47,'代理商-进货明细表'!$F:$F,'代理商-产品进销存'!$D47,'代理商-进货明细表'!$E:$E,"2月")+SUMIFS('代理商-进货明细表'!$I:$I,'代理商-进货明细表'!$B:$B,'代理商-产品进销存'!$B47,'代理商-进货明细表'!$F:$F,'代理商-产品进销存'!$D47,'代理商-进货明细表'!$E:$E,"3月"))/10000</f>
        <v>0</v>
      </c>
      <c r="S47" s="29">
        <f>(SUMIFS('代理商-进货明细表'!$I:$I,'代理商-进货明细表'!$B:$B,'代理商-产品进销存'!$B47,'代理商-进货明细表'!$F:$F,'代理商-产品进销存'!$D47,'代理商-进货明细表'!$E:$E,"4月")+SUMIFS('代理商-进货明细表'!$I:$I,'代理商-进货明细表'!$B:$B,'代理商-产品进销存'!$B47,'代理商-进货明细表'!$F:$F,'代理商-产品进销存'!$D47,'代理商-进货明细表'!$E:$E,"5月")+SUMIFS('代理商-进货明细表'!$I:$I,'代理商-进货明细表'!$B:$B,'代理商-产品进销存'!$B47,'代理商-进货明细表'!$F:$F,'代理商-产品进销存'!$D47,'代理商-进货明细表'!$E:$E,"6月"))/10000</f>
        <v>0</v>
      </c>
      <c r="T47" s="29">
        <f>(SUMIFS('代理商-进货明细表'!$I:$I,'代理商-进货明细表'!$B:$B,'代理商-产品进销存'!$B47,'代理商-进货明细表'!$F:$F,'代理商-产品进销存'!$D47,'代理商-进货明细表'!$E:$E,"7月")+SUMIFS('代理商-进货明细表'!$I:$I,'代理商-进货明细表'!$B:$B,'代理商-产品进销存'!$B47,'代理商-进货明细表'!$F:$F,'代理商-产品进销存'!$D47,'代理商-进货明细表'!$E:$E,"8月")+SUMIFS('代理商-进货明细表'!$I:$I,'代理商-进货明细表'!$B:$B,'代理商-产品进销存'!$B47,'代理商-进货明细表'!$F:$F,'代理商-产品进销存'!$D47,'代理商-进货明细表'!$E:$E,"9月"))/10000</f>
        <v>0</v>
      </c>
      <c r="U47" s="29">
        <f>(SUMIFS('代理商-进货明细表'!$I:$I,'代理商-进货明细表'!$B:$B,'代理商-产品进销存'!$B47,'代理商-进货明细表'!$F:$F,'代理商-产品进销存'!$D47,'代理商-进货明细表'!$E:$E,"10月")+SUMIFS('代理商-进货明细表'!$I:$I,'代理商-进货明细表'!$B:$B,'代理商-产品进销存'!$B47,'代理商-进货明细表'!$F:$F,'代理商-产品进销存'!$D47,'代理商-进货明细表'!$E:$E,"11月")+SUMIFS('代理商-进货明细表'!$I:$I,'代理商-进货明细表'!$B:$B,'代理商-产品进销存'!$B47,'代理商-进货明细表'!$F:$F,'代理商-产品进销存'!$D47,'代理商-进货明细表'!$E:$E,"12月"))/10000</f>
        <v>0</v>
      </c>
      <c r="V47" s="29">
        <f t="shared" si="7"/>
        <v>0</v>
      </c>
      <c r="W47" s="29">
        <f t="shared" si="8"/>
        <v>0</v>
      </c>
      <c r="X47" s="29">
        <f t="shared" si="9"/>
        <v>0</v>
      </c>
      <c r="Y47" s="29">
        <f t="shared" si="10"/>
        <v>0</v>
      </c>
      <c r="Z47" s="29">
        <f t="shared" si="11"/>
        <v>0</v>
      </c>
      <c r="AA47" s="29">
        <f t="shared" si="12"/>
        <v>0</v>
      </c>
    </row>
    <row r="48" spans="1:27" x14ac:dyDescent="0.3">
      <c r="A48" s="2" t="s">
        <v>172</v>
      </c>
      <c r="B48" s="2" t="s">
        <v>94</v>
      </c>
      <c r="D48" s="3" t="s">
        <v>15</v>
      </c>
      <c r="L48" s="29">
        <f>(SUMIFS(终端客户销售统计表!$K:$K,终端客户销售统计表!$L:$L,$B48,终端客户销售统计表!$H:$H,$D48,终端客户销售统计表!$G:$G,"1月")+SUMIFS(终端客户销售统计表!$K:$K,终端客户销售统计表!$L:$L,$B48,终端客户销售统计表!$H:$H,$D48,终端客户销售统计表!$G:$G,"2月")+SUMIFS(终端客户销售统计表!$K:$K,终端客户销售统计表!$L:$L,$B48,终端客户销售统计表!$H:$H,$D48,终端客户销售统计表!$G:$G,"3月"))/10000</f>
        <v>0</v>
      </c>
      <c r="M48" s="29">
        <f>(SUMIFS(终端客户销售统计表!$K:$K,终端客户销售统计表!$L:$L,$B48,终端客户销售统计表!$H:$H,$D48,终端客户销售统计表!$G:$G,"4月")+SUMIFS(终端客户销售统计表!$K:$K,终端客户销售统计表!$L:$L,$B48,终端客户销售统计表!$H:$H,$D48,终端客户销售统计表!$G:$G,"5月")+SUMIFS(终端客户销售统计表!$K:$K,终端客户销售统计表!$L:$L,$B48,终端客户销售统计表!$H:$H,$D48,终端客户销售统计表!$G:$G,"6月"))/10000</f>
        <v>0</v>
      </c>
      <c r="N48" s="29">
        <f>(SUMIFS(终端客户销售统计表!$K:$K,终端客户销售统计表!$L:$L,$B48,终端客户销售统计表!$H:$H,$D48,终端客户销售统计表!$G:$G,"7月")+SUMIFS(终端客户销售统计表!$K:$K,终端客户销售统计表!$L:$L,$B48,终端客户销售统计表!$H:$H,$D48,终端客户销售统计表!$G:$G,"8月")+SUMIFS(终端客户销售统计表!$K:$K,终端客户销售统计表!$L:$L,$B48,终端客户销售统计表!$H:$H,$D48,终端客户销售统计表!$G:$G,"9月"))/10000</f>
        <v>0</v>
      </c>
      <c r="O48" s="29">
        <f>(SUMIFS(终端客户销售统计表!$K:$K,终端客户销售统计表!$L:$L,$B48,终端客户销售统计表!$H:$H,$D48,终端客户销售统计表!$G:$G,"10月")+SUMIFS(终端客户销售统计表!$K:$K,终端客户销售统计表!$L:$L,$B48,终端客户销售统计表!$H:$H,$D48,终端客户销售统计表!$G:$G,"11月")+SUMIFS(终端客户销售统计表!$K:$K,终端客户销售统计表!$L:$L,$B48,终端客户销售统计表!$H:$H,$D48,终端客户销售统计表!$G:$G,"12月"))/10000</f>
        <v>0</v>
      </c>
      <c r="P48" s="29">
        <f>SUM(L48:O48)</f>
        <v>0</v>
      </c>
      <c r="Q48" s="44" t="str">
        <f t="shared" si="6"/>
        <v/>
      </c>
      <c r="R48" s="29">
        <f>(SUMIFS('代理商-进货明细表'!$I:$I,'代理商-进货明细表'!$B:$B,'代理商-产品进销存'!$B48,'代理商-进货明细表'!$F:$F,'代理商-产品进销存'!$D48,'代理商-进货明细表'!$E:$E,"1月")+SUMIFS('代理商-进货明细表'!$I:$I,'代理商-进货明细表'!$B:$B,'代理商-产品进销存'!$B48,'代理商-进货明细表'!$F:$F,'代理商-产品进销存'!$D48,'代理商-进货明细表'!$E:$E,"2月")+SUMIFS('代理商-进货明细表'!$I:$I,'代理商-进货明细表'!$B:$B,'代理商-产品进销存'!$B48,'代理商-进货明细表'!$F:$F,'代理商-产品进销存'!$D48,'代理商-进货明细表'!$E:$E,"3月"))/10000</f>
        <v>0</v>
      </c>
      <c r="S48" s="29">
        <f>(SUMIFS('代理商-进货明细表'!$I:$I,'代理商-进货明细表'!$B:$B,'代理商-产品进销存'!$B48,'代理商-进货明细表'!$F:$F,'代理商-产品进销存'!$D48,'代理商-进货明细表'!$E:$E,"4月")+SUMIFS('代理商-进货明细表'!$I:$I,'代理商-进货明细表'!$B:$B,'代理商-产品进销存'!$B48,'代理商-进货明细表'!$F:$F,'代理商-产品进销存'!$D48,'代理商-进货明细表'!$E:$E,"5月")+SUMIFS('代理商-进货明细表'!$I:$I,'代理商-进货明细表'!$B:$B,'代理商-产品进销存'!$B48,'代理商-进货明细表'!$F:$F,'代理商-产品进销存'!$D48,'代理商-进货明细表'!$E:$E,"6月"))/10000</f>
        <v>0</v>
      </c>
      <c r="T48" s="29">
        <f>(SUMIFS('代理商-进货明细表'!$I:$I,'代理商-进货明细表'!$B:$B,'代理商-产品进销存'!$B48,'代理商-进货明细表'!$F:$F,'代理商-产品进销存'!$D48,'代理商-进货明细表'!$E:$E,"7月")+SUMIFS('代理商-进货明细表'!$I:$I,'代理商-进货明细表'!$B:$B,'代理商-产品进销存'!$B48,'代理商-进货明细表'!$F:$F,'代理商-产品进销存'!$D48,'代理商-进货明细表'!$E:$E,"8月")+SUMIFS('代理商-进货明细表'!$I:$I,'代理商-进货明细表'!$B:$B,'代理商-产品进销存'!$B48,'代理商-进货明细表'!$F:$F,'代理商-产品进销存'!$D48,'代理商-进货明细表'!$E:$E,"9月"))/10000</f>
        <v>0</v>
      </c>
      <c r="U48" s="29">
        <f>(SUMIFS('代理商-进货明细表'!$I:$I,'代理商-进货明细表'!$B:$B,'代理商-产品进销存'!$B48,'代理商-进货明细表'!$F:$F,'代理商-产品进销存'!$D48,'代理商-进货明细表'!$E:$E,"10月")+SUMIFS('代理商-进货明细表'!$I:$I,'代理商-进货明细表'!$B:$B,'代理商-产品进销存'!$B48,'代理商-进货明细表'!$F:$F,'代理商-产品进销存'!$D48,'代理商-进货明细表'!$E:$E,"11月")+SUMIFS('代理商-进货明细表'!$I:$I,'代理商-进货明细表'!$B:$B,'代理商-产品进销存'!$B48,'代理商-进货明细表'!$F:$F,'代理商-产品进销存'!$D48,'代理商-进货明细表'!$E:$E,"12月"))/10000</f>
        <v>0</v>
      </c>
      <c r="V48" s="29">
        <f t="shared" si="7"/>
        <v>0</v>
      </c>
      <c r="W48" s="29">
        <f t="shared" si="8"/>
        <v>0</v>
      </c>
      <c r="X48" s="29">
        <f t="shared" si="9"/>
        <v>0</v>
      </c>
      <c r="Y48" s="29">
        <f t="shared" si="10"/>
        <v>0</v>
      </c>
      <c r="Z48" s="29">
        <f t="shared" si="11"/>
        <v>0</v>
      </c>
      <c r="AA48" s="29">
        <f t="shared" si="12"/>
        <v>0</v>
      </c>
    </row>
    <row r="49" spans="1:27" x14ac:dyDescent="0.3">
      <c r="A49" s="2" t="s">
        <v>172</v>
      </c>
      <c r="B49" s="2" t="s">
        <v>94</v>
      </c>
      <c r="D49" s="3" t="s">
        <v>16</v>
      </c>
      <c r="L49" s="29">
        <f>(SUMIFS(终端客户销售统计表!$K:$K,终端客户销售统计表!$L:$L,$B49,终端客户销售统计表!$H:$H,$D49,终端客户销售统计表!$G:$G,"1月")+SUMIFS(终端客户销售统计表!$K:$K,终端客户销售统计表!$L:$L,$B49,终端客户销售统计表!$H:$H,$D49,终端客户销售统计表!$G:$G,"2月")+SUMIFS(终端客户销售统计表!$K:$K,终端客户销售统计表!$L:$L,$B49,终端客户销售统计表!$H:$H,$D49,终端客户销售统计表!$G:$G,"3月"))/10000</f>
        <v>0</v>
      </c>
      <c r="M49" s="29">
        <f>(SUMIFS(终端客户销售统计表!$K:$K,终端客户销售统计表!$L:$L,$B49,终端客户销售统计表!$H:$H,$D49,终端客户销售统计表!$G:$G,"4月")+SUMIFS(终端客户销售统计表!$K:$K,终端客户销售统计表!$L:$L,$B49,终端客户销售统计表!$H:$H,$D49,终端客户销售统计表!$G:$G,"5月")+SUMIFS(终端客户销售统计表!$K:$K,终端客户销售统计表!$L:$L,$B49,终端客户销售统计表!$H:$H,$D49,终端客户销售统计表!$G:$G,"6月"))/10000</f>
        <v>0</v>
      </c>
      <c r="N49" s="29">
        <f>(SUMIFS(终端客户销售统计表!$K:$K,终端客户销售统计表!$L:$L,$B49,终端客户销售统计表!$H:$H,$D49,终端客户销售统计表!$G:$G,"7月")+SUMIFS(终端客户销售统计表!$K:$K,终端客户销售统计表!$L:$L,$B49,终端客户销售统计表!$H:$H,$D49,终端客户销售统计表!$G:$G,"8月")+SUMIFS(终端客户销售统计表!$K:$K,终端客户销售统计表!$L:$L,$B49,终端客户销售统计表!$H:$H,$D49,终端客户销售统计表!$G:$G,"9月"))/10000</f>
        <v>0</v>
      </c>
      <c r="O49" s="29">
        <f>(SUMIFS(终端客户销售统计表!$K:$K,终端客户销售统计表!$L:$L,$B49,终端客户销售统计表!$H:$H,$D49,终端客户销售统计表!$G:$G,"10月")+SUMIFS(终端客户销售统计表!$K:$K,终端客户销售统计表!$L:$L,$B49,终端客户销售统计表!$H:$H,$D49,终端客户销售统计表!$G:$G,"11月")+SUMIFS(终端客户销售统计表!$K:$K,终端客户销售统计表!$L:$L,$B49,终端客户销售统计表!$H:$H,$D49,终端客户销售统计表!$G:$G,"12月"))/10000</f>
        <v>0</v>
      </c>
      <c r="P49" s="29">
        <f>SUM(L49:O49)</f>
        <v>0</v>
      </c>
      <c r="Q49" s="44" t="str">
        <f t="shared" si="6"/>
        <v/>
      </c>
      <c r="R49" s="29">
        <f>(SUMIFS('代理商-进货明细表'!$I:$I,'代理商-进货明细表'!$B:$B,'代理商-产品进销存'!$B49,'代理商-进货明细表'!$F:$F,'代理商-产品进销存'!$D49,'代理商-进货明细表'!$E:$E,"1月")+SUMIFS('代理商-进货明细表'!$I:$I,'代理商-进货明细表'!$B:$B,'代理商-产品进销存'!$B49,'代理商-进货明细表'!$F:$F,'代理商-产品进销存'!$D49,'代理商-进货明细表'!$E:$E,"2月")+SUMIFS('代理商-进货明细表'!$I:$I,'代理商-进货明细表'!$B:$B,'代理商-产品进销存'!$B49,'代理商-进货明细表'!$F:$F,'代理商-产品进销存'!$D49,'代理商-进货明细表'!$E:$E,"3月"))/10000</f>
        <v>0</v>
      </c>
      <c r="S49" s="29">
        <f>(SUMIFS('代理商-进货明细表'!$I:$I,'代理商-进货明细表'!$B:$B,'代理商-产品进销存'!$B49,'代理商-进货明细表'!$F:$F,'代理商-产品进销存'!$D49,'代理商-进货明细表'!$E:$E,"4月")+SUMIFS('代理商-进货明细表'!$I:$I,'代理商-进货明细表'!$B:$B,'代理商-产品进销存'!$B49,'代理商-进货明细表'!$F:$F,'代理商-产品进销存'!$D49,'代理商-进货明细表'!$E:$E,"5月")+SUMIFS('代理商-进货明细表'!$I:$I,'代理商-进货明细表'!$B:$B,'代理商-产品进销存'!$B49,'代理商-进货明细表'!$F:$F,'代理商-产品进销存'!$D49,'代理商-进货明细表'!$E:$E,"6月"))/10000</f>
        <v>0</v>
      </c>
      <c r="T49" s="29">
        <f>(SUMIFS('代理商-进货明细表'!$I:$I,'代理商-进货明细表'!$B:$B,'代理商-产品进销存'!$B49,'代理商-进货明细表'!$F:$F,'代理商-产品进销存'!$D49,'代理商-进货明细表'!$E:$E,"7月")+SUMIFS('代理商-进货明细表'!$I:$I,'代理商-进货明细表'!$B:$B,'代理商-产品进销存'!$B49,'代理商-进货明细表'!$F:$F,'代理商-产品进销存'!$D49,'代理商-进货明细表'!$E:$E,"8月")+SUMIFS('代理商-进货明细表'!$I:$I,'代理商-进货明细表'!$B:$B,'代理商-产品进销存'!$B49,'代理商-进货明细表'!$F:$F,'代理商-产品进销存'!$D49,'代理商-进货明细表'!$E:$E,"9月"))/10000</f>
        <v>0</v>
      </c>
      <c r="U49" s="29">
        <f>(SUMIFS('代理商-进货明细表'!$I:$I,'代理商-进货明细表'!$B:$B,'代理商-产品进销存'!$B49,'代理商-进货明细表'!$F:$F,'代理商-产品进销存'!$D49,'代理商-进货明细表'!$E:$E,"10月")+SUMIFS('代理商-进货明细表'!$I:$I,'代理商-进货明细表'!$B:$B,'代理商-产品进销存'!$B49,'代理商-进货明细表'!$F:$F,'代理商-产品进销存'!$D49,'代理商-进货明细表'!$E:$E,"11月")+SUMIFS('代理商-进货明细表'!$I:$I,'代理商-进货明细表'!$B:$B,'代理商-产品进销存'!$B49,'代理商-进货明细表'!$F:$F,'代理商-产品进销存'!$D49,'代理商-进货明细表'!$E:$E,"12月"))/10000</f>
        <v>0</v>
      </c>
      <c r="V49" s="29">
        <f t="shared" si="7"/>
        <v>0</v>
      </c>
      <c r="W49" s="29">
        <f t="shared" si="8"/>
        <v>0</v>
      </c>
      <c r="X49" s="29">
        <f t="shared" si="9"/>
        <v>0</v>
      </c>
      <c r="Y49" s="29">
        <f t="shared" si="10"/>
        <v>0</v>
      </c>
      <c r="Z49" s="29">
        <f t="shared" si="11"/>
        <v>0</v>
      </c>
      <c r="AA49" s="29">
        <f t="shared" si="12"/>
        <v>0</v>
      </c>
    </row>
    <row r="50" spans="1:27" x14ac:dyDescent="0.3">
      <c r="A50" s="2" t="s">
        <v>172</v>
      </c>
      <c r="B50" s="2" t="s">
        <v>94</v>
      </c>
      <c r="D50" s="3" t="s">
        <v>17</v>
      </c>
      <c r="L50" s="29">
        <f>(SUMIFS(终端客户销售统计表!$K:$K,终端客户销售统计表!$L:$L,$B50,终端客户销售统计表!$H:$H,$D50,终端客户销售统计表!$G:$G,"1月")+SUMIFS(终端客户销售统计表!$K:$K,终端客户销售统计表!$L:$L,$B50,终端客户销售统计表!$H:$H,$D50,终端客户销售统计表!$G:$G,"2月")+SUMIFS(终端客户销售统计表!$K:$K,终端客户销售统计表!$L:$L,$B50,终端客户销售统计表!$H:$H,$D50,终端客户销售统计表!$G:$G,"3月"))/10000</f>
        <v>0</v>
      </c>
      <c r="M50" s="29">
        <f>(SUMIFS(终端客户销售统计表!$K:$K,终端客户销售统计表!$L:$L,$B50,终端客户销售统计表!$H:$H,$D50,终端客户销售统计表!$G:$G,"4月")+SUMIFS(终端客户销售统计表!$K:$K,终端客户销售统计表!$L:$L,$B50,终端客户销售统计表!$H:$H,$D50,终端客户销售统计表!$G:$G,"5月")+SUMIFS(终端客户销售统计表!$K:$K,终端客户销售统计表!$L:$L,$B50,终端客户销售统计表!$H:$H,$D50,终端客户销售统计表!$G:$G,"6月"))/10000</f>
        <v>0</v>
      </c>
      <c r="N50" s="29">
        <f>(SUMIFS(终端客户销售统计表!$K:$K,终端客户销售统计表!$L:$L,$B50,终端客户销售统计表!$H:$H,$D50,终端客户销售统计表!$G:$G,"7月")+SUMIFS(终端客户销售统计表!$K:$K,终端客户销售统计表!$L:$L,$B50,终端客户销售统计表!$H:$H,$D50,终端客户销售统计表!$G:$G,"8月")+SUMIFS(终端客户销售统计表!$K:$K,终端客户销售统计表!$L:$L,$B50,终端客户销售统计表!$H:$H,$D50,终端客户销售统计表!$G:$G,"9月"))/10000</f>
        <v>0</v>
      </c>
      <c r="O50" s="29">
        <f>(SUMIFS(终端客户销售统计表!$K:$K,终端客户销售统计表!$L:$L,$B50,终端客户销售统计表!$H:$H,$D50,终端客户销售统计表!$G:$G,"10月")+SUMIFS(终端客户销售统计表!$K:$K,终端客户销售统计表!$L:$L,$B50,终端客户销售统计表!$H:$H,$D50,终端客户销售统计表!$G:$G,"11月")+SUMIFS(终端客户销售统计表!$K:$K,终端客户销售统计表!$L:$L,$B50,终端客户销售统计表!$H:$H,$D50,终端客户销售统计表!$G:$G,"12月"))/10000</f>
        <v>0</v>
      </c>
      <c r="P50" s="29">
        <f>SUM(L50:O50)</f>
        <v>0</v>
      </c>
      <c r="Q50" s="44" t="str">
        <f t="shared" si="6"/>
        <v/>
      </c>
      <c r="R50" s="29">
        <f>(SUMIFS('代理商-进货明细表'!$I:$I,'代理商-进货明细表'!$B:$B,'代理商-产品进销存'!$B50,'代理商-进货明细表'!$F:$F,'代理商-产品进销存'!$D50,'代理商-进货明细表'!$E:$E,"1月")+SUMIFS('代理商-进货明细表'!$I:$I,'代理商-进货明细表'!$B:$B,'代理商-产品进销存'!$B50,'代理商-进货明细表'!$F:$F,'代理商-产品进销存'!$D50,'代理商-进货明细表'!$E:$E,"2月")+SUMIFS('代理商-进货明细表'!$I:$I,'代理商-进货明细表'!$B:$B,'代理商-产品进销存'!$B50,'代理商-进货明细表'!$F:$F,'代理商-产品进销存'!$D50,'代理商-进货明细表'!$E:$E,"3月"))/10000</f>
        <v>0</v>
      </c>
      <c r="S50" s="29">
        <f>(SUMIFS('代理商-进货明细表'!$I:$I,'代理商-进货明细表'!$B:$B,'代理商-产品进销存'!$B50,'代理商-进货明细表'!$F:$F,'代理商-产品进销存'!$D50,'代理商-进货明细表'!$E:$E,"4月")+SUMIFS('代理商-进货明细表'!$I:$I,'代理商-进货明细表'!$B:$B,'代理商-产品进销存'!$B50,'代理商-进货明细表'!$F:$F,'代理商-产品进销存'!$D50,'代理商-进货明细表'!$E:$E,"5月")+SUMIFS('代理商-进货明细表'!$I:$I,'代理商-进货明细表'!$B:$B,'代理商-产品进销存'!$B50,'代理商-进货明细表'!$F:$F,'代理商-产品进销存'!$D50,'代理商-进货明细表'!$E:$E,"6月"))/10000</f>
        <v>0</v>
      </c>
      <c r="T50" s="29">
        <f>(SUMIFS('代理商-进货明细表'!$I:$I,'代理商-进货明细表'!$B:$B,'代理商-产品进销存'!$B50,'代理商-进货明细表'!$F:$F,'代理商-产品进销存'!$D50,'代理商-进货明细表'!$E:$E,"7月")+SUMIFS('代理商-进货明细表'!$I:$I,'代理商-进货明细表'!$B:$B,'代理商-产品进销存'!$B50,'代理商-进货明细表'!$F:$F,'代理商-产品进销存'!$D50,'代理商-进货明细表'!$E:$E,"8月")+SUMIFS('代理商-进货明细表'!$I:$I,'代理商-进货明细表'!$B:$B,'代理商-产品进销存'!$B50,'代理商-进货明细表'!$F:$F,'代理商-产品进销存'!$D50,'代理商-进货明细表'!$E:$E,"9月"))/10000</f>
        <v>0</v>
      </c>
      <c r="U50" s="29">
        <f>(SUMIFS('代理商-进货明细表'!$I:$I,'代理商-进货明细表'!$B:$B,'代理商-产品进销存'!$B50,'代理商-进货明细表'!$F:$F,'代理商-产品进销存'!$D50,'代理商-进货明细表'!$E:$E,"10月")+SUMIFS('代理商-进货明细表'!$I:$I,'代理商-进货明细表'!$B:$B,'代理商-产品进销存'!$B50,'代理商-进货明细表'!$F:$F,'代理商-产品进销存'!$D50,'代理商-进货明细表'!$E:$E,"11月")+SUMIFS('代理商-进货明细表'!$I:$I,'代理商-进货明细表'!$B:$B,'代理商-产品进销存'!$B50,'代理商-进货明细表'!$F:$F,'代理商-产品进销存'!$D50,'代理商-进货明细表'!$E:$E,"12月"))/10000</f>
        <v>0</v>
      </c>
      <c r="V50" s="29">
        <f t="shared" si="7"/>
        <v>0</v>
      </c>
      <c r="W50" s="29">
        <f t="shared" si="8"/>
        <v>0</v>
      </c>
      <c r="X50" s="29">
        <f t="shared" si="9"/>
        <v>0</v>
      </c>
      <c r="Y50" s="29">
        <f t="shared" si="10"/>
        <v>0</v>
      </c>
      <c r="Z50" s="29">
        <f t="shared" si="11"/>
        <v>0</v>
      </c>
      <c r="AA50" s="29">
        <f t="shared" si="12"/>
        <v>0</v>
      </c>
    </row>
    <row r="51" spans="1:27" x14ac:dyDescent="0.3">
      <c r="A51" s="2" t="s">
        <v>173</v>
      </c>
      <c r="B51" s="2" t="s">
        <v>95</v>
      </c>
      <c r="D51" s="3" t="s">
        <v>14</v>
      </c>
      <c r="L51" s="29">
        <f>(SUMIFS(终端客户销售统计表!$K:$K,终端客户销售统计表!$L:$L,$B51,终端客户销售统计表!$H:$H,$D51,终端客户销售统计表!$G:$G,"1月")+SUMIFS(终端客户销售统计表!$K:$K,终端客户销售统计表!$L:$L,$B51,终端客户销售统计表!$H:$H,$D51,终端客户销售统计表!$G:$G,"2月")+SUMIFS(终端客户销售统计表!$K:$K,终端客户销售统计表!$L:$L,$B51,终端客户销售统计表!$H:$H,$D51,终端客户销售统计表!$G:$G,"3月"))/10000</f>
        <v>0</v>
      </c>
      <c r="M51" s="29">
        <f>(SUMIFS(终端客户销售统计表!$K:$K,终端客户销售统计表!$L:$L,$B51,终端客户销售统计表!$H:$H,$D51,终端客户销售统计表!$G:$G,"4月")+SUMIFS(终端客户销售统计表!$K:$K,终端客户销售统计表!$L:$L,$B51,终端客户销售统计表!$H:$H,$D51,终端客户销售统计表!$G:$G,"5月")+SUMIFS(终端客户销售统计表!$K:$K,终端客户销售统计表!$L:$L,$B51,终端客户销售统计表!$H:$H,$D51,终端客户销售统计表!$G:$G,"6月"))/10000</f>
        <v>0</v>
      </c>
      <c r="N51" s="29">
        <f>(SUMIFS(终端客户销售统计表!$K:$K,终端客户销售统计表!$L:$L,$B51,终端客户销售统计表!$H:$H,$D51,终端客户销售统计表!$G:$G,"7月")+SUMIFS(终端客户销售统计表!$K:$K,终端客户销售统计表!$L:$L,$B51,终端客户销售统计表!$H:$H,$D51,终端客户销售统计表!$G:$G,"8月")+SUMIFS(终端客户销售统计表!$K:$K,终端客户销售统计表!$L:$L,$B51,终端客户销售统计表!$H:$H,$D51,终端客户销售统计表!$G:$G,"9月"))/10000</f>
        <v>0</v>
      </c>
      <c r="O51" s="29">
        <f>(SUMIFS(终端客户销售统计表!$K:$K,终端客户销售统计表!$L:$L,$B51,终端客户销售统计表!$H:$H,$D51,终端客户销售统计表!$G:$G,"10月")+SUMIFS(终端客户销售统计表!$K:$K,终端客户销售统计表!$L:$L,$B51,终端客户销售统计表!$H:$H,$D51,终端客户销售统计表!$G:$G,"11月")+SUMIFS(终端客户销售统计表!$K:$K,终端客户销售统计表!$L:$L,$B51,终端客户销售统计表!$H:$H,$D51,终端客户销售统计表!$G:$G,"12月"))/10000</f>
        <v>0</v>
      </c>
      <c r="P51" s="29">
        <f>SUM(L51:O51)</f>
        <v>0</v>
      </c>
      <c r="Q51" s="44" t="str">
        <f t="shared" si="6"/>
        <v/>
      </c>
      <c r="R51" s="29">
        <f>(SUMIFS('代理商-进货明细表'!$I:$I,'代理商-进货明细表'!$B:$B,'代理商-产品进销存'!$B51,'代理商-进货明细表'!$F:$F,'代理商-产品进销存'!$D51,'代理商-进货明细表'!$E:$E,"1月")+SUMIFS('代理商-进货明细表'!$I:$I,'代理商-进货明细表'!$B:$B,'代理商-产品进销存'!$B51,'代理商-进货明细表'!$F:$F,'代理商-产品进销存'!$D51,'代理商-进货明细表'!$E:$E,"2月")+SUMIFS('代理商-进货明细表'!$I:$I,'代理商-进货明细表'!$B:$B,'代理商-产品进销存'!$B51,'代理商-进货明细表'!$F:$F,'代理商-产品进销存'!$D51,'代理商-进货明细表'!$E:$E,"3月"))/10000</f>
        <v>0</v>
      </c>
      <c r="S51" s="29">
        <f>(SUMIFS('代理商-进货明细表'!$I:$I,'代理商-进货明细表'!$B:$B,'代理商-产品进销存'!$B51,'代理商-进货明细表'!$F:$F,'代理商-产品进销存'!$D51,'代理商-进货明细表'!$E:$E,"4月")+SUMIFS('代理商-进货明细表'!$I:$I,'代理商-进货明细表'!$B:$B,'代理商-产品进销存'!$B51,'代理商-进货明细表'!$F:$F,'代理商-产品进销存'!$D51,'代理商-进货明细表'!$E:$E,"5月")+SUMIFS('代理商-进货明细表'!$I:$I,'代理商-进货明细表'!$B:$B,'代理商-产品进销存'!$B51,'代理商-进货明细表'!$F:$F,'代理商-产品进销存'!$D51,'代理商-进货明细表'!$E:$E,"6月"))/10000</f>
        <v>0</v>
      </c>
      <c r="T51" s="29">
        <f>(SUMIFS('代理商-进货明细表'!$I:$I,'代理商-进货明细表'!$B:$B,'代理商-产品进销存'!$B51,'代理商-进货明细表'!$F:$F,'代理商-产品进销存'!$D51,'代理商-进货明细表'!$E:$E,"7月")+SUMIFS('代理商-进货明细表'!$I:$I,'代理商-进货明细表'!$B:$B,'代理商-产品进销存'!$B51,'代理商-进货明细表'!$F:$F,'代理商-产品进销存'!$D51,'代理商-进货明细表'!$E:$E,"8月")+SUMIFS('代理商-进货明细表'!$I:$I,'代理商-进货明细表'!$B:$B,'代理商-产品进销存'!$B51,'代理商-进货明细表'!$F:$F,'代理商-产品进销存'!$D51,'代理商-进货明细表'!$E:$E,"9月"))/10000</f>
        <v>0</v>
      </c>
      <c r="U51" s="29">
        <f>(SUMIFS('代理商-进货明细表'!$I:$I,'代理商-进货明细表'!$B:$B,'代理商-产品进销存'!$B51,'代理商-进货明细表'!$F:$F,'代理商-产品进销存'!$D51,'代理商-进货明细表'!$E:$E,"10月")+SUMIFS('代理商-进货明细表'!$I:$I,'代理商-进货明细表'!$B:$B,'代理商-产品进销存'!$B51,'代理商-进货明细表'!$F:$F,'代理商-产品进销存'!$D51,'代理商-进货明细表'!$E:$E,"11月")+SUMIFS('代理商-进货明细表'!$I:$I,'代理商-进货明细表'!$B:$B,'代理商-产品进销存'!$B51,'代理商-进货明细表'!$F:$F,'代理商-产品进销存'!$D51,'代理商-进货明细表'!$E:$E,"12月"))/10000</f>
        <v>0</v>
      </c>
      <c r="V51" s="29">
        <f t="shared" si="7"/>
        <v>0</v>
      </c>
      <c r="W51" s="29">
        <f t="shared" si="8"/>
        <v>0</v>
      </c>
      <c r="X51" s="29">
        <f t="shared" si="9"/>
        <v>0</v>
      </c>
      <c r="Y51" s="29">
        <f t="shared" si="10"/>
        <v>0</v>
      </c>
      <c r="Z51" s="29">
        <f t="shared" si="11"/>
        <v>0</v>
      </c>
      <c r="AA51" s="29">
        <f t="shared" si="12"/>
        <v>0</v>
      </c>
    </row>
    <row r="52" spans="1:27" x14ac:dyDescent="0.3">
      <c r="A52" s="2" t="s">
        <v>173</v>
      </c>
      <c r="B52" s="2" t="s">
        <v>95</v>
      </c>
      <c r="D52" s="3" t="s">
        <v>15</v>
      </c>
      <c r="L52" s="29">
        <f>(SUMIFS(终端客户销售统计表!$K:$K,终端客户销售统计表!$L:$L,$B52,终端客户销售统计表!$H:$H,$D52,终端客户销售统计表!$G:$G,"1月")+SUMIFS(终端客户销售统计表!$K:$K,终端客户销售统计表!$L:$L,$B52,终端客户销售统计表!$H:$H,$D52,终端客户销售统计表!$G:$G,"2月")+SUMIFS(终端客户销售统计表!$K:$K,终端客户销售统计表!$L:$L,$B52,终端客户销售统计表!$H:$H,$D52,终端客户销售统计表!$G:$G,"3月"))/10000</f>
        <v>0</v>
      </c>
      <c r="M52" s="29">
        <f>(SUMIFS(终端客户销售统计表!$K:$K,终端客户销售统计表!$L:$L,$B52,终端客户销售统计表!$H:$H,$D52,终端客户销售统计表!$G:$G,"4月")+SUMIFS(终端客户销售统计表!$K:$K,终端客户销售统计表!$L:$L,$B52,终端客户销售统计表!$H:$H,$D52,终端客户销售统计表!$G:$G,"5月")+SUMIFS(终端客户销售统计表!$K:$K,终端客户销售统计表!$L:$L,$B52,终端客户销售统计表!$H:$H,$D52,终端客户销售统计表!$G:$G,"6月"))/10000</f>
        <v>0</v>
      </c>
      <c r="N52" s="29">
        <f>(SUMIFS(终端客户销售统计表!$K:$K,终端客户销售统计表!$L:$L,$B52,终端客户销售统计表!$H:$H,$D52,终端客户销售统计表!$G:$G,"7月")+SUMIFS(终端客户销售统计表!$K:$K,终端客户销售统计表!$L:$L,$B52,终端客户销售统计表!$H:$H,$D52,终端客户销售统计表!$G:$G,"8月")+SUMIFS(终端客户销售统计表!$K:$K,终端客户销售统计表!$L:$L,$B52,终端客户销售统计表!$H:$H,$D52,终端客户销售统计表!$G:$G,"9月"))/10000</f>
        <v>0</v>
      </c>
      <c r="O52" s="29">
        <f>(SUMIFS(终端客户销售统计表!$K:$K,终端客户销售统计表!$L:$L,$B52,终端客户销售统计表!$H:$H,$D52,终端客户销售统计表!$G:$G,"10月")+SUMIFS(终端客户销售统计表!$K:$K,终端客户销售统计表!$L:$L,$B52,终端客户销售统计表!$H:$H,$D52,终端客户销售统计表!$G:$G,"11月")+SUMIFS(终端客户销售统计表!$K:$K,终端客户销售统计表!$L:$L,$B52,终端客户销售统计表!$H:$H,$D52,终端客户销售统计表!$G:$G,"12月"))/10000</f>
        <v>0</v>
      </c>
      <c r="P52" s="29">
        <f>SUM(L52:O52)</f>
        <v>0</v>
      </c>
      <c r="Q52" s="44" t="str">
        <f t="shared" si="6"/>
        <v/>
      </c>
      <c r="R52" s="29">
        <f>(SUMIFS('代理商-进货明细表'!$I:$I,'代理商-进货明细表'!$B:$B,'代理商-产品进销存'!$B52,'代理商-进货明细表'!$F:$F,'代理商-产品进销存'!$D52,'代理商-进货明细表'!$E:$E,"1月")+SUMIFS('代理商-进货明细表'!$I:$I,'代理商-进货明细表'!$B:$B,'代理商-产品进销存'!$B52,'代理商-进货明细表'!$F:$F,'代理商-产品进销存'!$D52,'代理商-进货明细表'!$E:$E,"2月")+SUMIFS('代理商-进货明细表'!$I:$I,'代理商-进货明细表'!$B:$B,'代理商-产品进销存'!$B52,'代理商-进货明细表'!$F:$F,'代理商-产品进销存'!$D52,'代理商-进货明细表'!$E:$E,"3月"))/10000</f>
        <v>0</v>
      </c>
      <c r="S52" s="29">
        <f>(SUMIFS('代理商-进货明细表'!$I:$I,'代理商-进货明细表'!$B:$B,'代理商-产品进销存'!$B52,'代理商-进货明细表'!$F:$F,'代理商-产品进销存'!$D52,'代理商-进货明细表'!$E:$E,"4月")+SUMIFS('代理商-进货明细表'!$I:$I,'代理商-进货明细表'!$B:$B,'代理商-产品进销存'!$B52,'代理商-进货明细表'!$F:$F,'代理商-产品进销存'!$D52,'代理商-进货明细表'!$E:$E,"5月")+SUMIFS('代理商-进货明细表'!$I:$I,'代理商-进货明细表'!$B:$B,'代理商-产品进销存'!$B52,'代理商-进货明细表'!$F:$F,'代理商-产品进销存'!$D52,'代理商-进货明细表'!$E:$E,"6月"))/10000</f>
        <v>0</v>
      </c>
      <c r="T52" s="29">
        <f>(SUMIFS('代理商-进货明细表'!$I:$I,'代理商-进货明细表'!$B:$B,'代理商-产品进销存'!$B52,'代理商-进货明细表'!$F:$F,'代理商-产品进销存'!$D52,'代理商-进货明细表'!$E:$E,"7月")+SUMIFS('代理商-进货明细表'!$I:$I,'代理商-进货明细表'!$B:$B,'代理商-产品进销存'!$B52,'代理商-进货明细表'!$F:$F,'代理商-产品进销存'!$D52,'代理商-进货明细表'!$E:$E,"8月")+SUMIFS('代理商-进货明细表'!$I:$I,'代理商-进货明细表'!$B:$B,'代理商-产品进销存'!$B52,'代理商-进货明细表'!$F:$F,'代理商-产品进销存'!$D52,'代理商-进货明细表'!$E:$E,"9月"))/10000</f>
        <v>0</v>
      </c>
      <c r="U52" s="29">
        <f>(SUMIFS('代理商-进货明细表'!$I:$I,'代理商-进货明细表'!$B:$B,'代理商-产品进销存'!$B52,'代理商-进货明细表'!$F:$F,'代理商-产品进销存'!$D52,'代理商-进货明细表'!$E:$E,"10月")+SUMIFS('代理商-进货明细表'!$I:$I,'代理商-进货明细表'!$B:$B,'代理商-产品进销存'!$B52,'代理商-进货明细表'!$F:$F,'代理商-产品进销存'!$D52,'代理商-进货明细表'!$E:$E,"11月")+SUMIFS('代理商-进货明细表'!$I:$I,'代理商-进货明细表'!$B:$B,'代理商-产品进销存'!$B52,'代理商-进货明细表'!$F:$F,'代理商-产品进销存'!$D52,'代理商-进货明细表'!$E:$E,"12月"))/10000</f>
        <v>0</v>
      </c>
      <c r="V52" s="29">
        <f t="shared" si="7"/>
        <v>0</v>
      </c>
      <c r="W52" s="29">
        <f t="shared" si="8"/>
        <v>0</v>
      </c>
      <c r="X52" s="29">
        <f t="shared" si="9"/>
        <v>0</v>
      </c>
      <c r="Y52" s="29">
        <f t="shared" si="10"/>
        <v>0</v>
      </c>
      <c r="Z52" s="29">
        <f t="shared" si="11"/>
        <v>0</v>
      </c>
      <c r="AA52" s="29">
        <f t="shared" si="12"/>
        <v>0</v>
      </c>
    </row>
    <row r="53" spans="1:27" x14ac:dyDescent="0.3">
      <c r="A53" s="2" t="s">
        <v>173</v>
      </c>
      <c r="B53" s="2" t="s">
        <v>95</v>
      </c>
      <c r="D53" s="3" t="s">
        <v>16</v>
      </c>
      <c r="L53" s="29">
        <f>(SUMIFS(终端客户销售统计表!$K:$K,终端客户销售统计表!$L:$L,$B53,终端客户销售统计表!$H:$H,$D53,终端客户销售统计表!$G:$G,"1月")+SUMIFS(终端客户销售统计表!$K:$K,终端客户销售统计表!$L:$L,$B53,终端客户销售统计表!$H:$H,$D53,终端客户销售统计表!$G:$G,"2月")+SUMIFS(终端客户销售统计表!$K:$K,终端客户销售统计表!$L:$L,$B53,终端客户销售统计表!$H:$H,$D53,终端客户销售统计表!$G:$G,"3月"))/10000</f>
        <v>0</v>
      </c>
      <c r="M53" s="29">
        <f>(SUMIFS(终端客户销售统计表!$K:$K,终端客户销售统计表!$L:$L,$B53,终端客户销售统计表!$H:$H,$D53,终端客户销售统计表!$G:$G,"4月")+SUMIFS(终端客户销售统计表!$K:$K,终端客户销售统计表!$L:$L,$B53,终端客户销售统计表!$H:$H,$D53,终端客户销售统计表!$G:$G,"5月")+SUMIFS(终端客户销售统计表!$K:$K,终端客户销售统计表!$L:$L,$B53,终端客户销售统计表!$H:$H,$D53,终端客户销售统计表!$G:$G,"6月"))/10000</f>
        <v>0</v>
      </c>
      <c r="N53" s="29">
        <f>(SUMIFS(终端客户销售统计表!$K:$K,终端客户销售统计表!$L:$L,$B53,终端客户销售统计表!$H:$H,$D53,终端客户销售统计表!$G:$G,"7月")+SUMIFS(终端客户销售统计表!$K:$K,终端客户销售统计表!$L:$L,$B53,终端客户销售统计表!$H:$H,$D53,终端客户销售统计表!$G:$G,"8月")+SUMIFS(终端客户销售统计表!$K:$K,终端客户销售统计表!$L:$L,$B53,终端客户销售统计表!$H:$H,$D53,终端客户销售统计表!$G:$G,"9月"))/10000</f>
        <v>0</v>
      </c>
      <c r="O53" s="29">
        <f>(SUMIFS(终端客户销售统计表!$K:$K,终端客户销售统计表!$L:$L,$B53,终端客户销售统计表!$H:$H,$D53,终端客户销售统计表!$G:$G,"10月")+SUMIFS(终端客户销售统计表!$K:$K,终端客户销售统计表!$L:$L,$B53,终端客户销售统计表!$H:$H,$D53,终端客户销售统计表!$G:$G,"11月")+SUMIFS(终端客户销售统计表!$K:$K,终端客户销售统计表!$L:$L,$B53,终端客户销售统计表!$H:$H,$D53,终端客户销售统计表!$G:$G,"12月"))/10000</f>
        <v>0</v>
      </c>
      <c r="P53" s="29">
        <f>SUM(L53:O53)</f>
        <v>0</v>
      </c>
      <c r="Q53" s="44" t="str">
        <f t="shared" si="6"/>
        <v/>
      </c>
      <c r="R53" s="29">
        <f>(SUMIFS('代理商-进货明细表'!$I:$I,'代理商-进货明细表'!$B:$B,'代理商-产品进销存'!$B53,'代理商-进货明细表'!$F:$F,'代理商-产品进销存'!$D53,'代理商-进货明细表'!$E:$E,"1月")+SUMIFS('代理商-进货明细表'!$I:$I,'代理商-进货明细表'!$B:$B,'代理商-产品进销存'!$B53,'代理商-进货明细表'!$F:$F,'代理商-产品进销存'!$D53,'代理商-进货明细表'!$E:$E,"2月")+SUMIFS('代理商-进货明细表'!$I:$I,'代理商-进货明细表'!$B:$B,'代理商-产品进销存'!$B53,'代理商-进货明细表'!$F:$F,'代理商-产品进销存'!$D53,'代理商-进货明细表'!$E:$E,"3月"))/10000</f>
        <v>0</v>
      </c>
      <c r="S53" s="29">
        <f>(SUMIFS('代理商-进货明细表'!$I:$I,'代理商-进货明细表'!$B:$B,'代理商-产品进销存'!$B53,'代理商-进货明细表'!$F:$F,'代理商-产品进销存'!$D53,'代理商-进货明细表'!$E:$E,"4月")+SUMIFS('代理商-进货明细表'!$I:$I,'代理商-进货明细表'!$B:$B,'代理商-产品进销存'!$B53,'代理商-进货明细表'!$F:$F,'代理商-产品进销存'!$D53,'代理商-进货明细表'!$E:$E,"5月")+SUMIFS('代理商-进货明细表'!$I:$I,'代理商-进货明细表'!$B:$B,'代理商-产品进销存'!$B53,'代理商-进货明细表'!$F:$F,'代理商-产品进销存'!$D53,'代理商-进货明细表'!$E:$E,"6月"))/10000</f>
        <v>0</v>
      </c>
      <c r="T53" s="29">
        <f>(SUMIFS('代理商-进货明细表'!$I:$I,'代理商-进货明细表'!$B:$B,'代理商-产品进销存'!$B53,'代理商-进货明细表'!$F:$F,'代理商-产品进销存'!$D53,'代理商-进货明细表'!$E:$E,"7月")+SUMIFS('代理商-进货明细表'!$I:$I,'代理商-进货明细表'!$B:$B,'代理商-产品进销存'!$B53,'代理商-进货明细表'!$F:$F,'代理商-产品进销存'!$D53,'代理商-进货明细表'!$E:$E,"8月")+SUMIFS('代理商-进货明细表'!$I:$I,'代理商-进货明细表'!$B:$B,'代理商-产品进销存'!$B53,'代理商-进货明细表'!$F:$F,'代理商-产品进销存'!$D53,'代理商-进货明细表'!$E:$E,"9月"))/10000</f>
        <v>0</v>
      </c>
      <c r="U53" s="29">
        <f>(SUMIFS('代理商-进货明细表'!$I:$I,'代理商-进货明细表'!$B:$B,'代理商-产品进销存'!$B53,'代理商-进货明细表'!$F:$F,'代理商-产品进销存'!$D53,'代理商-进货明细表'!$E:$E,"10月")+SUMIFS('代理商-进货明细表'!$I:$I,'代理商-进货明细表'!$B:$B,'代理商-产品进销存'!$B53,'代理商-进货明细表'!$F:$F,'代理商-产品进销存'!$D53,'代理商-进货明细表'!$E:$E,"11月")+SUMIFS('代理商-进货明细表'!$I:$I,'代理商-进货明细表'!$B:$B,'代理商-产品进销存'!$B53,'代理商-进货明细表'!$F:$F,'代理商-产品进销存'!$D53,'代理商-进货明细表'!$E:$E,"12月"))/10000</f>
        <v>0</v>
      </c>
      <c r="V53" s="29">
        <f t="shared" si="7"/>
        <v>0</v>
      </c>
      <c r="W53" s="29">
        <f t="shared" si="8"/>
        <v>0</v>
      </c>
      <c r="X53" s="29">
        <f t="shared" si="9"/>
        <v>0</v>
      </c>
      <c r="Y53" s="29">
        <f t="shared" si="10"/>
        <v>0</v>
      </c>
      <c r="Z53" s="29">
        <f t="shared" si="11"/>
        <v>0</v>
      </c>
      <c r="AA53" s="29">
        <f t="shared" si="12"/>
        <v>0</v>
      </c>
    </row>
    <row r="54" spans="1:27" x14ac:dyDescent="0.3">
      <c r="A54" s="2" t="s">
        <v>173</v>
      </c>
      <c r="B54" s="2" t="s">
        <v>95</v>
      </c>
      <c r="D54" s="3" t="s">
        <v>17</v>
      </c>
      <c r="L54" s="29">
        <f>(SUMIFS(终端客户销售统计表!$K:$K,终端客户销售统计表!$L:$L,$B54,终端客户销售统计表!$H:$H,$D54,终端客户销售统计表!$G:$G,"1月")+SUMIFS(终端客户销售统计表!$K:$K,终端客户销售统计表!$L:$L,$B54,终端客户销售统计表!$H:$H,$D54,终端客户销售统计表!$G:$G,"2月")+SUMIFS(终端客户销售统计表!$K:$K,终端客户销售统计表!$L:$L,$B54,终端客户销售统计表!$H:$H,$D54,终端客户销售统计表!$G:$G,"3月"))/10000</f>
        <v>0</v>
      </c>
      <c r="M54" s="29">
        <f>(SUMIFS(终端客户销售统计表!$K:$K,终端客户销售统计表!$L:$L,$B54,终端客户销售统计表!$H:$H,$D54,终端客户销售统计表!$G:$G,"4月")+SUMIFS(终端客户销售统计表!$K:$K,终端客户销售统计表!$L:$L,$B54,终端客户销售统计表!$H:$H,$D54,终端客户销售统计表!$G:$G,"5月")+SUMIFS(终端客户销售统计表!$K:$K,终端客户销售统计表!$L:$L,$B54,终端客户销售统计表!$H:$H,$D54,终端客户销售统计表!$G:$G,"6月"))/10000</f>
        <v>0</v>
      </c>
      <c r="N54" s="29">
        <f>(SUMIFS(终端客户销售统计表!$K:$K,终端客户销售统计表!$L:$L,$B54,终端客户销售统计表!$H:$H,$D54,终端客户销售统计表!$G:$G,"7月")+SUMIFS(终端客户销售统计表!$K:$K,终端客户销售统计表!$L:$L,$B54,终端客户销售统计表!$H:$H,$D54,终端客户销售统计表!$G:$G,"8月")+SUMIFS(终端客户销售统计表!$K:$K,终端客户销售统计表!$L:$L,$B54,终端客户销售统计表!$H:$H,$D54,终端客户销售统计表!$G:$G,"9月"))/10000</f>
        <v>0</v>
      </c>
      <c r="O54" s="29">
        <f>(SUMIFS(终端客户销售统计表!$K:$K,终端客户销售统计表!$L:$L,$B54,终端客户销售统计表!$H:$H,$D54,终端客户销售统计表!$G:$G,"10月")+SUMIFS(终端客户销售统计表!$K:$K,终端客户销售统计表!$L:$L,$B54,终端客户销售统计表!$H:$H,$D54,终端客户销售统计表!$G:$G,"11月")+SUMIFS(终端客户销售统计表!$K:$K,终端客户销售统计表!$L:$L,$B54,终端客户销售统计表!$H:$H,$D54,终端客户销售统计表!$G:$G,"12月"))/10000</f>
        <v>0</v>
      </c>
      <c r="P54" s="29">
        <f>SUM(L54:O54)</f>
        <v>0</v>
      </c>
      <c r="Q54" s="44" t="str">
        <f t="shared" si="6"/>
        <v/>
      </c>
      <c r="R54" s="29">
        <f>(SUMIFS('代理商-进货明细表'!$I:$I,'代理商-进货明细表'!$B:$B,'代理商-产品进销存'!$B54,'代理商-进货明细表'!$F:$F,'代理商-产品进销存'!$D54,'代理商-进货明细表'!$E:$E,"1月")+SUMIFS('代理商-进货明细表'!$I:$I,'代理商-进货明细表'!$B:$B,'代理商-产品进销存'!$B54,'代理商-进货明细表'!$F:$F,'代理商-产品进销存'!$D54,'代理商-进货明细表'!$E:$E,"2月")+SUMIFS('代理商-进货明细表'!$I:$I,'代理商-进货明细表'!$B:$B,'代理商-产品进销存'!$B54,'代理商-进货明细表'!$F:$F,'代理商-产品进销存'!$D54,'代理商-进货明细表'!$E:$E,"3月"))/10000</f>
        <v>0</v>
      </c>
      <c r="S54" s="29">
        <f>(SUMIFS('代理商-进货明细表'!$I:$I,'代理商-进货明细表'!$B:$B,'代理商-产品进销存'!$B54,'代理商-进货明细表'!$F:$F,'代理商-产品进销存'!$D54,'代理商-进货明细表'!$E:$E,"4月")+SUMIFS('代理商-进货明细表'!$I:$I,'代理商-进货明细表'!$B:$B,'代理商-产品进销存'!$B54,'代理商-进货明细表'!$F:$F,'代理商-产品进销存'!$D54,'代理商-进货明细表'!$E:$E,"5月")+SUMIFS('代理商-进货明细表'!$I:$I,'代理商-进货明细表'!$B:$B,'代理商-产品进销存'!$B54,'代理商-进货明细表'!$F:$F,'代理商-产品进销存'!$D54,'代理商-进货明细表'!$E:$E,"6月"))/10000</f>
        <v>0</v>
      </c>
      <c r="T54" s="29">
        <f>(SUMIFS('代理商-进货明细表'!$I:$I,'代理商-进货明细表'!$B:$B,'代理商-产品进销存'!$B54,'代理商-进货明细表'!$F:$F,'代理商-产品进销存'!$D54,'代理商-进货明细表'!$E:$E,"7月")+SUMIFS('代理商-进货明细表'!$I:$I,'代理商-进货明细表'!$B:$B,'代理商-产品进销存'!$B54,'代理商-进货明细表'!$F:$F,'代理商-产品进销存'!$D54,'代理商-进货明细表'!$E:$E,"8月")+SUMIFS('代理商-进货明细表'!$I:$I,'代理商-进货明细表'!$B:$B,'代理商-产品进销存'!$B54,'代理商-进货明细表'!$F:$F,'代理商-产品进销存'!$D54,'代理商-进货明细表'!$E:$E,"9月"))/10000</f>
        <v>0</v>
      </c>
      <c r="U54" s="29">
        <f>(SUMIFS('代理商-进货明细表'!$I:$I,'代理商-进货明细表'!$B:$B,'代理商-产品进销存'!$B54,'代理商-进货明细表'!$F:$F,'代理商-产品进销存'!$D54,'代理商-进货明细表'!$E:$E,"10月")+SUMIFS('代理商-进货明细表'!$I:$I,'代理商-进货明细表'!$B:$B,'代理商-产品进销存'!$B54,'代理商-进货明细表'!$F:$F,'代理商-产品进销存'!$D54,'代理商-进货明细表'!$E:$E,"11月")+SUMIFS('代理商-进货明细表'!$I:$I,'代理商-进货明细表'!$B:$B,'代理商-产品进销存'!$B54,'代理商-进货明细表'!$F:$F,'代理商-产品进销存'!$D54,'代理商-进货明细表'!$E:$E,"12月"))/10000</f>
        <v>0</v>
      </c>
      <c r="V54" s="29">
        <f t="shared" si="7"/>
        <v>0</v>
      </c>
      <c r="W54" s="29">
        <f t="shared" si="8"/>
        <v>0</v>
      </c>
      <c r="X54" s="29">
        <f t="shared" si="9"/>
        <v>0</v>
      </c>
      <c r="Y54" s="29">
        <f t="shared" si="10"/>
        <v>0</v>
      </c>
      <c r="Z54" s="29">
        <f t="shared" si="11"/>
        <v>0</v>
      </c>
      <c r="AA54" s="29">
        <f t="shared" si="12"/>
        <v>0</v>
      </c>
    </row>
    <row r="55" spans="1:27" x14ac:dyDescent="0.3">
      <c r="A55" s="2" t="s">
        <v>174</v>
      </c>
      <c r="B55" s="2" t="s">
        <v>96</v>
      </c>
      <c r="D55" s="3" t="s">
        <v>14</v>
      </c>
      <c r="L55" s="29">
        <f>(SUMIFS(终端客户销售统计表!$K:$K,终端客户销售统计表!$L:$L,$B55,终端客户销售统计表!$H:$H,$D55,终端客户销售统计表!$G:$G,"1月")+SUMIFS(终端客户销售统计表!$K:$K,终端客户销售统计表!$L:$L,$B55,终端客户销售统计表!$H:$H,$D55,终端客户销售统计表!$G:$G,"2月")+SUMIFS(终端客户销售统计表!$K:$K,终端客户销售统计表!$L:$L,$B55,终端客户销售统计表!$H:$H,$D55,终端客户销售统计表!$G:$G,"3月"))/10000</f>
        <v>0</v>
      </c>
      <c r="M55" s="29">
        <f>(SUMIFS(终端客户销售统计表!$K:$K,终端客户销售统计表!$L:$L,$B55,终端客户销售统计表!$H:$H,$D55,终端客户销售统计表!$G:$G,"4月")+SUMIFS(终端客户销售统计表!$K:$K,终端客户销售统计表!$L:$L,$B55,终端客户销售统计表!$H:$H,$D55,终端客户销售统计表!$G:$G,"5月")+SUMIFS(终端客户销售统计表!$K:$K,终端客户销售统计表!$L:$L,$B55,终端客户销售统计表!$H:$H,$D55,终端客户销售统计表!$G:$G,"6月"))/10000</f>
        <v>0</v>
      </c>
      <c r="N55" s="29">
        <f>(SUMIFS(终端客户销售统计表!$K:$K,终端客户销售统计表!$L:$L,$B55,终端客户销售统计表!$H:$H,$D55,终端客户销售统计表!$G:$G,"7月")+SUMIFS(终端客户销售统计表!$K:$K,终端客户销售统计表!$L:$L,$B55,终端客户销售统计表!$H:$H,$D55,终端客户销售统计表!$G:$G,"8月")+SUMIFS(终端客户销售统计表!$K:$K,终端客户销售统计表!$L:$L,$B55,终端客户销售统计表!$H:$H,$D55,终端客户销售统计表!$G:$G,"9月"))/10000</f>
        <v>0</v>
      </c>
      <c r="O55" s="29">
        <f>(SUMIFS(终端客户销售统计表!$K:$K,终端客户销售统计表!$L:$L,$B55,终端客户销售统计表!$H:$H,$D55,终端客户销售统计表!$G:$G,"10月")+SUMIFS(终端客户销售统计表!$K:$K,终端客户销售统计表!$L:$L,$B55,终端客户销售统计表!$H:$H,$D55,终端客户销售统计表!$G:$G,"11月")+SUMIFS(终端客户销售统计表!$K:$K,终端客户销售统计表!$L:$L,$B55,终端客户销售统计表!$H:$H,$D55,终端客户销售统计表!$G:$G,"12月"))/10000</f>
        <v>0</v>
      </c>
      <c r="P55" s="29">
        <f>SUM(L55:O55)</f>
        <v>0</v>
      </c>
      <c r="Q55" s="44" t="str">
        <f t="shared" si="6"/>
        <v/>
      </c>
      <c r="R55" s="29">
        <f>(SUMIFS('代理商-进货明细表'!$I:$I,'代理商-进货明细表'!$B:$B,'代理商-产品进销存'!$B55,'代理商-进货明细表'!$F:$F,'代理商-产品进销存'!$D55,'代理商-进货明细表'!$E:$E,"1月")+SUMIFS('代理商-进货明细表'!$I:$I,'代理商-进货明细表'!$B:$B,'代理商-产品进销存'!$B55,'代理商-进货明细表'!$F:$F,'代理商-产品进销存'!$D55,'代理商-进货明细表'!$E:$E,"2月")+SUMIFS('代理商-进货明细表'!$I:$I,'代理商-进货明细表'!$B:$B,'代理商-产品进销存'!$B55,'代理商-进货明细表'!$F:$F,'代理商-产品进销存'!$D55,'代理商-进货明细表'!$E:$E,"3月"))/10000</f>
        <v>0</v>
      </c>
      <c r="S55" s="29">
        <f>(SUMIFS('代理商-进货明细表'!$I:$I,'代理商-进货明细表'!$B:$B,'代理商-产品进销存'!$B55,'代理商-进货明细表'!$F:$F,'代理商-产品进销存'!$D55,'代理商-进货明细表'!$E:$E,"4月")+SUMIFS('代理商-进货明细表'!$I:$I,'代理商-进货明细表'!$B:$B,'代理商-产品进销存'!$B55,'代理商-进货明细表'!$F:$F,'代理商-产品进销存'!$D55,'代理商-进货明细表'!$E:$E,"5月")+SUMIFS('代理商-进货明细表'!$I:$I,'代理商-进货明细表'!$B:$B,'代理商-产品进销存'!$B55,'代理商-进货明细表'!$F:$F,'代理商-产品进销存'!$D55,'代理商-进货明细表'!$E:$E,"6月"))/10000</f>
        <v>0</v>
      </c>
      <c r="T55" s="29">
        <f>(SUMIFS('代理商-进货明细表'!$I:$I,'代理商-进货明细表'!$B:$B,'代理商-产品进销存'!$B55,'代理商-进货明细表'!$F:$F,'代理商-产品进销存'!$D55,'代理商-进货明细表'!$E:$E,"7月")+SUMIFS('代理商-进货明细表'!$I:$I,'代理商-进货明细表'!$B:$B,'代理商-产品进销存'!$B55,'代理商-进货明细表'!$F:$F,'代理商-产品进销存'!$D55,'代理商-进货明细表'!$E:$E,"8月")+SUMIFS('代理商-进货明细表'!$I:$I,'代理商-进货明细表'!$B:$B,'代理商-产品进销存'!$B55,'代理商-进货明细表'!$F:$F,'代理商-产品进销存'!$D55,'代理商-进货明细表'!$E:$E,"9月"))/10000</f>
        <v>0</v>
      </c>
      <c r="U55" s="29">
        <f>(SUMIFS('代理商-进货明细表'!$I:$I,'代理商-进货明细表'!$B:$B,'代理商-产品进销存'!$B55,'代理商-进货明细表'!$F:$F,'代理商-产品进销存'!$D55,'代理商-进货明细表'!$E:$E,"10月")+SUMIFS('代理商-进货明细表'!$I:$I,'代理商-进货明细表'!$B:$B,'代理商-产品进销存'!$B55,'代理商-进货明细表'!$F:$F,'代理商-产品进销存'!$D55,'代理商-进货明细表'!$E:$E,"11月")+SUMIFS('代理商-进货明细表'!$I:$I,'代理商-进货明细表'!$B:$B,'代理商-产品进销存'!$B55,'代理商-进货明细表'!$F:$F,'代理商-产品进销存'!$D55,'代理商-进货明细表'!$E:$E,"12月"))/10000</f>
        <v>0</v>
      </c>
      <c r="V55" s="29">
        <f t="shared" si="7"/>
        <v>0</v>
      </c>
      <c r="W55" s="29">
        <f t="shared" si="8"/>
        <v>0</v>
      </c>
      <c r="X55" s="29">
        <f t="shared" si="9"/>
        <v>0</v>
      </c>
      <c r="Y55" s="29">
        <f t="shared" si="10"/>
        <v>0</v>
      </c>
      <c r="Z55" s="29">
        <f t="shared" si="11"/>
        <v>0</v>
      </c>
      <c r="AA55" s="29">
        <f t="shared" si="12"/>
        <v>0</v>
      </c>
    </row>
    <row r="56" spans="1:27" x14ac:dyDescent="0.3">
      <c r="A56" s="2" t="s">
        <v>174</v>
      </c>
      <c r="B56" s="2" t="s">
        <v>96</v>
      </c>
      <c r="D56" s="3" t="s">
        <v>15</v>
      </c>
      <c r="L56" s="29">
        <f>(SUMIFS(终端客户销售统计表!$K:$K,终端客户销售统计表!$L:$L,$B56,终端客户销售统计表!$H:$H,$D56,终端客户销售统计表!$G:$G,"1月")+SUMIFS(终端客户销售统计表!$K:$K,终端客户销售统计表!$L:$L,$B56,终端客户销售统计表!$H:$H,$D56,终端客户销售统计表!$G:$G,"2月")+SUMIFS(终端客户销售统计表!$K:$K,终端客户销售统计表!$L:$L,$B56,终端客户销售统计表!$H:$H,$D56,终端客户销售统计表!$G:$G,"3月"))/10000</f>
        <v>0</v>
      </c>
      <c r="M56" s="29">
        <f>(SUMIFS(终端客户销售统计表!$K:$K,终端客户销售统计表!$L:$L,$B56,终端客户销售统计表!$H:$H,$D56,终端客户销售统计表!$G:$G,"4月")+SUMIFS(终端客户销售统计表!$K:$K,终端客户销售统计表!$L:$L,$B56,终端客户销售统计表!$H:$H,$D56,终端客户销售统计表!$G:$G,"5月")+SUMIFS(终端客户销售统计表!$K:$K,终端客户销售统计表!$L:$L,$B56,终端客户销售统计表!$H:$H,$D56,终端客户销售统计表!$G:$G,"6月"))/10000</f>
        <v>0</v>
      </c>
      <c r="N56" s="29">
        <f>(SUMIFS(终端客户销售统计表!$K:$K,终端客户销售统计表!$L:$L,$B56,终端客户销售统计表!$H:$H,$D56,终端客户销售统计表!$G:$G,"7月")+SUMIFS(终端客户销售统计表!$K:$K,终端客户销售统计表!$L:$L,$B56,终端客户销售统计表!$H:$H,$D56,终端客户销售统计表!$G:$G,"8月")+SUMIFS(终端客户销售统计表!$K:$K,终端客户销售统计表!$L:$L,$B56,终端客户销售统计表!$H:$H,$D56,终端客户销售统计表!$G:$G,"9月"))/10000</f>
        <v>0</v>
      </c>
      <c r="O56" s="29">
        <f>(SUMIFS(终端客户销售统计表!$K:$K,终端客户销售统计表!$L:$L,$B56,终端客户销售统计表!$H:$H,$D56,终端客户销售统计表!$G:$G,"10月")+SUMIFS(终端客户销售统计表!$K:$K,终端客户销售统计表!$L:$L,$B56,终端客户销售统计表!$H:$H,$D56,终端客户销售统计表!$G:$G,"11月")+SUMIFS(终端客户销售统计表!$K:$K,终端客户销售统计表!$L:$L,$B56,终端客户销售统计表!$H:$H,$D56,终端客户销售统计表!$G:$G,"12月"))/10000</f>
        <v>0</v>
      </c>
      <c r="P56" s="29">
        <f>SUM(L56:O56)</f>
        <v>0</v>
      </c>
      <c r="Q56" s="44" t="str">
        <f t="shared" si="6"/>
        <v/>
      </c>
      <c r="R56" s="29">
        <f>(SUMIFS('代理商-进货明细表'!$I:$I,'代理商-进货明细表'!$B:$B,'代理商-产品进销存'!$B56,'代理商-进货明细表'!$F:$F,'代理商-产品进销存'!$D56,'代理商-进货明细表'!$E:$E,"1月")+SUMIFS('代理商-进货明细表'!$I:$I,'代理商-进货明细表'!$B:$B,'代理商-产品进销存'!$B56,'代理商-进货明细表'!$F:$F,'代理商-产品进销存'!$D56,'代理商-进货明细表'!$E:$E,"2月")+SUMIFS('代理商-进货明细表'!$I:$I,'代理商-进货明细表'!$B:$B,'代理商-产品进销存'!$B56,'代理商-进货明细表'!$F:$F,'代理商-产品进销存'!$D56,'代理商-进货明细表'!$E:$E,"3月"))/10000</f>
        <v>0</v>
      </c>
      <c r="S56" s="29">
        <f>(SUMIFS('代理商-进货明细表'!$I:$I,'代理商-进货明细表'!$B:$B,'代理商-产品进销存'!$B56,'代理商-进货明细表'!$F:$F,'代理商-产品进销存'!$D56,'代理商-进货明细表'!$E:$E,"4月")+SUMIFS('代理商-进货明细表'!$I:$I,'代理商-进货明细表'!$B:$B,'代理商-产品进销存'!$B56,'代理商-进货明细表'!$F:$F,'代理商-产品进销存'!$D56,'代理商-进货明细表'!$E:$E,"5月")+SUMIFS('代理商-进货明细表'!$I:$I,'代理商-进货明细表'!$B:$B,'代理商-产品进销存'!$B56,'代理商-进货明细表'!$F:$F,'代理商-产品进销存'!$D56,'代理商-进货明细表'!$E:$E,"6月"))/10000</f>
        <v>0</v>
      </c>
      <c r="T56" s="29">
        <f>(SUMIFS('代理商-进货明细表'!$I:$I,'代理商-进货明细表'!$B:$B,'代理商-产品进销存'!$B56,'代理商-进货明细表'!$F:$F,'代理商-产品进销存'!$D56,'代理商-进货明细表'!$E:$E,"7月")+SUMIFS('代理商-进货明细表'!$I:$I,'代理商-进货明细表'!$B:$B,'代理商-产品进销存'!$B56,'代理商-进货明细表'!$F:$F,'代理商-产品进销存'!$D56,'代理商-进货明细表'!$E:$E,"8月")+SUMIFS('代理商-进货明细表'!$I:$I,'代理商-进货明细表'!$B:$B,'代理商-产品进销存'!$B56,'代理商-进货明细表'!$F:$F,'代理商-产品进销存'!$D56,'代理商-进货明细表'!$E:$E,"9月"))/10000</f>
        <v>0</v>
      </c>
      <c r="U56" s="29">
        <f>(SUMIFS('代理商-进货明细表'!$I:$I,'代理商-进货明细表'!$B:$B,'代理商-产品进销存'!$B56,'代理商-进货明细表'!$F:$F,'代理商-产品进销存'!$D56,'代理商-进货明细表'!$E:$E,"10月")+SUMIFS('代理商-进货明细表'!$I:$I,'代理商-进货明细表'!$B:$B,'代理商-产品进销存'!$B56,'代理商-进货明细表'!$F:$F,'代理商-产品进销存'!$D56,'代理商-进货明细表'!$E:$E,"11月")+SUMIFS('代理商-进货明细表'!$I:$I,'代理商-进货明细表'!$B:$B,'代理商-产品进销存'!$B56,'代理商-进货明细表'!$F:$F,'代理商-产品进销存'!$D56,'代理商-进货明细表'!$E:$E,"12月"))/10000</f>
        <v>0</v>
      </c>
      <c r="V56" s="29">
        <f t="shared" si="7"/>
        <v>0</v>
      </c>
      <c r="W56" s="29">
        <f t="shared" si="8"/>
        <v>0</v>
      </c>
      <c r="X56" s="29">
        <f t="shared" si="9"/>
        <v>0</v>
      </c>
      <c r="Y56" s="29">
        <f t="shared" si="10"/>
        <v>0</v>
      </c>
      <c r="Z56" s="29">
        <f t="shared" si="11"/>
        <v>0</v>
      </c>
      <c r="AA56" s="29">
        <f t="shared" si="12"/>
        <v>0</v>
      </c>
    </row>
    <row r="57" spans="1:27" x14ac:dyDescent="0.3">
      <c r="A57" s="2" t="s">
        <v>174</v>
      </c>
      <c r="B57" s="2" t="s">
        <v>96</v>
      </c>
      <c r="D57" s="3" t="s">
        <v>16</v>
      </c>
      <c r="L57" s="29">
        <f>(SUMIFS(终端客户销售统计表!$K:$K,终端客户销售统计表!$L:$L,$B57,终端客户销售统计表!$H:$H,$D57,终端客户销售统计表!$G:$G,"1月")+SUMIFS(终端客户销售统计表!$K:$K,终端客户销售统计表!$L:$L,$B57,终端客户销售统计表!$H:$H,$D57,终端客户销售统计表!$G:$G,"2月")+SUMIFS(终端客户销售统计表!$K:$K,终端客户销售统计表!$L:$L,$B57,终端客户销售统计表!$H:$H,$D57,终端客户销售统计表!$G:$G,"3月"))/10000</f>
        <v>0</v>
      </c>
      <c r="M57" s="29">
        <f>(SUMIFS(终端客户销售统计表!$K:$K,终端客户销售统计表!$L:$L,$B57,终端客户销售统计表!$H:$H,$D57,终端客户销售统计表!$G:$G,"4月")+SUMIFS(终端客户销售统计表!$K:$K,终端客户销售统计表!$L:$L,$B57,终端客户销售统计表!$H:$H,$D57,终端客户销售统计表!$G:$G,"5月")+SUMIFS(终端客户销售统计表!$K:$K,终端客户销售统计表!$L:$L,$B57,终端客户销售统计表!$H:$H,$D57,终端客户销售统计表!$G:$G,"6月"))/10000</f>
        <v>0</v>
      </c>
      <c r="N57" s="29">
        <f>(SUMIFS(终端客户销售统计表!$K:$K,终端客户销售统计表!$L:$L,$B57,终端客户销售统计表!$H:$H,$D57,终端客户销售统计表!$G:$G,"7月")+SUMIFS(终端客户销售统计表!$K:$K,终端客户销售统计表!$L:$L,$B57,终端客户销售统计表!$H:$H,$D57,终端客户销售统计表!$G:$G,"8月")+SUMIFS(终端客户销售统计表!$K:$K,终端客户销售统计表!$L:$L,$B57,终端客户销售统计表!$H:$H,$D57,终端客户销售统计表!$G:$G,"9月"))/10000</f>
        <v>0</v>
      </c>
      <c r="O57" s="29">
        <f>(SUMIFS(终端客户销售统计表!$K:$K,终端客户销售统计表!$L:$L,$B57,终端客户销售统计表!$H:$H,$D57,终端客户销售统计表!$G:$G,"10月")+SUMIFS(终端客户销售统计表!$K:$K,终端客户销售统计表!$L:$L,$B57,终端客户销售统计表!$H:$H,$D57,终端客户销售统计表!$G:$G,"11月")+SUMIFS(终端客户销售统计表!$K:$K,终端客户销售统计表!$L:$L,$B57,终端客户销售统计表!$H:$H,$D57,终端客户销售统计表!$G:$G,"12月"))/10000</f>
        <v>0</v>
      </c>
      <c r="P57" s="29">
        <f>SUM(L57:O57)</f>
        <v>0</v>
      </c>
      <c r="Q57" s="44" t="str">
        <f t="shared" si="6"/>
        <v/>
      </c>
      <c r="R57" s="29">
        <f>(SUMIFS('代理商-进货明细表'!$I:$I,'代理商-进货明细表'!$B:$B,'代理商-产品进销存'!$B57,'代理商-进货明细表'!$F:$F,'代理商-产品进销存'!$D57,'代理商-进货明细表'!$E:$E,"1月")+SUMIFS('代理商-进货明细表'!$I:$I,'代理商-进货明细表'!$B:$B,'代理商-产品进销存'!$B57,'代理商-进货明细表'!$F:$F,'代理商-产品进销存'!$D57,'代理商-进货明细表'!$E:$E,"2月")+SUMIFS('代理商-进货明细表'!$I:$I,'代理商-进货明细表'!$B:$B,'代理商-产品进销存'!$B57,'代理商-进货明细表'!$F:$F,'代理商-产品进销存'!$D57,'代理商-进货明细表'!$E:$E,"3月"))/10000</f>
        <v>0</v>
      </c>
      <c r="S57" s="29">
        <f>(SUMIFS('代理商-进货明细表'!$I:$I,'代理商-进货明细表'!$B:$B,'代理商-产品进销存'!$B57,'代理商-进货明细表'!$F:$F,'代理商-产品进销存'!$D57,'代理商-进货明细表'!$E:$E,"4月")+SUMIFS('代理商-进货明细表'!$I:$I,'代理商-进货明细表'!$B:$B,'代理商-产品进销存'!$B57,'代理商-进货明细表'!$F:$F,'代理商-产品进销存'!$D57,'代理商-进货明细表'!$E:$E,"5月")+SUMIFS('代理商-进货明细表'!$I:$I,'代理商-进货明细表'!$B:$B,'代理商-产品进销存'!$B57,'代理商-进货明细表'!$F:$F,'代理商-产品进销存'!$D57,'代理商-进货明细表'!$E:$E,"6月"))/10000</f>
        <v>0</v>
      </c>
      <c r="T57" s="29">
        <f>(SUMIFS('代理商-进货明细表'!$I:$I,'代理商-进货明细表'!$B:$B,'代理商-产品进销存'!$B57,'代理商-进货明细表'!$F:$F,'代理商-产品进销存'!$D57,'代理商-进货明细表'!$E:$E,"7月")+SUMIFS('代理商-进货明细表'!$I:$I,'代理商-进货明细表'!$B:$B,'代理商-产品进销存'!$B57,'代理商-进货明细表'!$F:$F,'代理商-产品进销存'!$D57,'代理商-进货明细表'!$E:$E,"8月")+SUMIFS('代理商-进货明细表'!$I:$I,'代理商-进货明细表'!$B:$B,'代理商-产品进销存'!$B57,'代理商-进货明细表'!$F:$F,'代理商-产品进销存'!$D57,'代理商-进货明细表'!$E:$E,"9月"))/10000</f>
        <v>0</v>
      </c>
      <c r="U57" s="29">
        <f>(SUMIFS('代理商-进货明细表'!$I:$I,'代理商-进货明细表'!$B:$B,'代理商-产品进销存'!$B57,'代理商-进货明细表'!$F:$F,'代理商-产品进销存'!$D57,'代理商-进货明细表'!$E:$E,"10月")+SUMIFS('代理商-进货明细表'!$I:$I,'代理商-进货明细表'!$B:$B,'代理商-产品进销存'!$B57,'代理商-进货明细表'!$F:$F,'代理商-产品进销存'!$D57,'代理商-进货明细表'!$E:$E,"11月")+SUMIFS('代理商-进货明细表'!$I:$I,'代理商-进货明细表'!$B:$B,'代理商-产品进销存'!$B57,'代理商-进货明细表'!$F:$F,'代理商-产品进销存'!$D57,'代理商-进货明细表'!$E:$E,"12月"))/10000</f>
        <v>0</v>
      </c>
      <c r="V57" s="29">
        <f t="shared" si="7"/>
        <v>0</v>
      </c>
      <c r="W57" s="29">
        <f t="shared" si="8"/>
        <v>0</v>
      </c>
      <c r="X57" s="29">
        <f t="shared" si="9"/>
        <v>0</v>
      </c>
      <c r="Y57" s="29">
        <f t="shared" si="10"/>
        <v>0</v>
      </c>
      <c r="Z57" s="29">
        <f t="shared" si="11"/>
        <v>0</v>
      </c>
      <c r="AA57" s="29">
        <f t="shared" si="12"/>
        <v>0</v>
      </c>
    </row>
    <row r="58" spans="1:27" x14ac:dyDescent="0.3">
      <c r="A58" s="2" t="s">
        <v>174</v>
      </c>
      <c r="B58" s="2" t="s">
        <v>96</v>
      </c>
      <c r="D58" s="3" t="s">
        <v>17</v>
      </c>
      <c r="L58" s="29">
        <f>(SUMIFS(终端客户销售统计表!$K:$K,终端客户销售统计表!$L:$L,$B58,终端客户销售统计表!$H:$H,$D58,终端客户销售统计表!$G:$G,"1月")+SUMIFS(终端客户销售统计表!$K:$K,终端客户销售统计表!$L:$L,$B58,终端客户销售统计表!$H:$H,$D58,终端客户销售统计表!$G:$G,"2月")+SUMIFS(终端客户销售统计表!$K:$K,终端客户销售统计表!$L:$L,$B58,终端客户销售统计表!$H:$H,$D58,终端客户销售统计表!$G:$G,"3月"))/10000</f>
        <v>0</v>
      </c>
      <c r="M58" s="29">
        <f>(SUMIFS(终端客户销售统计表!$K:$K,终端客户销售统计表!$L:$L,$B58,终端客户销售统计表!$H:$H,$D58,终端客户销售统计表!$G:$G,"4月")+SUMIFS(终端客户销售统计表!$K:$K,终端客户销售统计表!$L:$L,$B58,终端客户销售统计表!$H:$H,$D58,终端客户销售统计表!$G:$G,"5月")+SUMIFS(终端客户销售统计表!$K:$K,终端客户销售统计表!$L:$L,$B58,终端客户销售统计表!$H:$H,$D58,终端客户销售统计表!$G:$G,"6月"))/10000</f>
        <v>0</v>
      </c>
      <c r="N58" s="29">
        <f>(SUMIFS(终端客户销售统计表!$K:$K,终端客户销售统计表!$L:$L,$B58,终端客户销售统计表!$H:$H,$D58,终端客户销售统计表!$G:$G,"7月")+SUMIFS(终端客户销售统计表!$K:$K,终端客户销售统计表!$L:$L,$B58,终端客户销售统计表!$H:$H,$D58,终端客户销售统计表!$G:$G,"8月")+SUMIFS(终端客户销售统计表!$K:$K,终端客户销售统计表!$L:$L,$B58,终端客户销售统计表!$H:$H,$D58,终端客户销售统计表!$G:$G,"9月"))/10000</f>
        <v>0</v>
      </c>
      <c r="O58" s="29">
        <f>(SUMIFS(终端客户销售统计表!$K:$K,终端客户销售统计表!$L:$L,$B58,终端客户销售统计表!$H:$H,$D58,终端客户销售统计表!$G:$G,"10月")+SUMIFS(终端客户销售统计表!$K:$K,终端客户销售统计表!$L:$L,$B58,终端客户销售统计表!$H:$H,$D58,终端客户销售统计表!$G:$G,"11月")+SUMIFS(终端客户销售统计表!$K:$K,终端客户销售统计表!$L:$L,$B58,终端客户销售统计表!$H:$H,$D58,终端客户销售统计表!$G:$G,"12月"))/10000</f>
        <v>0</v>
      </c>
      <c r="P58" s="29">
        <f>SUM(L58:O58)</f>
        <v>0</v>
      </c>
      <c r="Q58" s="44" t="str">
        <f t="shared" si="6"/>
        <v/>
      </c>
      <c r="R58" s="29">
        <f>(SUMIFS('代理商-进货明细表'!$I:$I,'代理商-进货明细表'!$B:$B,'代理商-产品进销存'!$B58,'代理商-进货明细表'!$F:$F,'代理商-产品进销存'!$D58,'代理商-进货明细表'!$E:$E,"1月")+SUMIFS('代理商-进货明细表'!$I:$I,'代理商-进货明细表'!$B:$B,'代理商-产品进销存'!$B58,'代理商-进货明细表'!$F:$F,'代理商-产品进销存'!$D58,'代理商-进货明细表'!$E:$E,"2月")+SUMIFS('代理商-进货明细表'!$I:$I,'代理商-进货明细表'!$B:$B,'代理商-产品进销存'!$B58,'代理商-进货明细表'!$F:$F,'代理商-产品进销存'!$D58,'代理商-进货明细表'!$E:$E,"3月"))/10000</f>
        <v>0</v>
      </c>
      <c r="S58" s="29">
        <f>(SUMIFS('代理商-进货明细表'!$I:$I,'代理商-进货明细表'!$B:$B,'代理商-产品进销存'!$B58,'代理商-进货明细表'!$F:$F,'代理商-产品进销存'!$D58,'代理商-进货明细表'!$E:$E,"4月")+SUMIFS('代理商-进货明细表'!$I:$I,'代理商-进货明细表'!$B:$B,'代理商-产品进销存'!$B58,'代理商-进货明细表'!$F:$F,'代理商-产品进销存'!$D58,'代理商-进货明细表'!$E:$E,"5月")+SUMIFS('代理商-进货明细表'!$I:$I,'代理商-进货明细表'!$B:$B,'代理商-产品进销存'!$B58,'代理商-进货明细表'!$F:$F,'代理商-产品进销存'!$D58,'代理商-进货明细表'!$E:$E,"6月"))/10000</f>
        <v>0</v>
      </c>
      <c r="T58" s="29">
        <f>(SUMIFS('代理商-进货明细表'!$I:$I,'代理商-进货明细表'!$B:$B,'代理商-产品进销存'!$B58,'代理商-进货明细表'!$F:$F,'代理商-产品进销存'!$D58,'代理商-进货明细表'!$E:$E,"7月")+SUMIFS('代理商-进货明细表'!$I:$I,'代理商-进货明细表'!$B:$B,'代理商-产品进销存'!$B58,'代理商-进货明细表'!$F:$F,'代理商-产品进销存'!$D58,'代理商-进货明细表'!$E:$E,"8月")+SUMIFS('代理商-进货明细表'!$I:$I,'代理商-进货明细表'!$B:$B,'代理商-产品进销存'!$B58,'代理商-进货明细表'!$F:$F,'代理商-产品进销存'!$D58,'代理商-进货明细表'!$E:$E,"9月"))/10000</f>
        <v>0</v>
      </c>
      <c r="U58" s="29">
        <f>(SUMIFS('代理商-进货明细表'!$I:$I,'代理商-进货明细表'!$B:$B,'代理商-产品进销存'!$B58,'代理商-进货明细表'!$F:$F,'代理商-产品进销存'!$D58,'代理商-进货明细表'!$E:$E,"10月")+SUMIFS('代理商-进货明细表'!$I:$I,'代理商-进货明细表'!$B:$B,'代理商-产品进销存'!$B58,'代理商-进货明细表'!$F:$F,'代理商-产品进销存'!$D58,'代理商-进货明细表'!$E:$E,"11月")+SUMIFS('代理商-进货明细表'!$I:$I,'代理商-进货明细表'!$B:$B,'代理商-产品进销存'!$B58,'代理商-进货明细表'!$F:$F,'代理商-产品进销存'!$D58,'代理商-进货明细表'!$E:$E,"12月"))/10000</f>
        <v>0</v>
      </c>
      <c r="V58" s="29">
        <f t="shared" si="7"/>
        <v>0</v>
      </c>
      <c r="W58" s="29">
        <f t="shared" si="8"/>
        <v>0</v>
      </c>
      <c r="X58" s="29">
        <f t="shared" si="9"/>
        <v>0</v>
      </c>
      <c r="Y58" s="29">
        <f t="shared" si="10"/>
        <v>0</v>
      </c>
      <c r="Z58" s="29">
        <f t="shared" si="11"/>
        <v>0</v>
      </c>
      <c r="AA58" s="29">
        <f t="shared" si="12"/>
        <v>0</v>
      </c>
    </row>
    <row r="59" spans="1:27" x14ac:dyDescent="0.3">
      <c r="A59" s="2" t="s">
        <v>175</v>
      </c>
      <c r="B59" s="2" t="s">
        <v>97</v>
      </c>
      <c r="D59" s="3" t="s">
        <v>14</v>
      </c>
      <c r="L59" s="29">
        <f>(SUMIFS(终端客户销售统计表!$K:$K,终端客户销售统计表!$L:$L,$B59,终端客户销售统计表!$H:$H,$D59,终端客户销售统计表!$G:$G,"1月")+SUMIFS(终端客户销售统计表!$K:$K,终端客户销售统计表!$L:$L,$B59,终端客户销售统计表!$H:$H,$D59,终端客户销售统计表!$G:$G,"2月")+SUMIFS(终端客户销售统计表!$K:$K,终端客户销售统计表!$L:$L,$B59,终端客户销售统计表!$H:$H,$D59,终端客户销售统计表!$G:$G,"3月"))/10000</f>
        <v>0</v>
      </c>
      <c r="M59" s="29">
        <f>(SUMIFS(终端客户销售统计表!$K:$K,终端客户销售统计表!$L:$L,$B59,终端客户销售统计表!$H:$H,$D59,终端客户销售统计表!$G:$G,"4月")+SUMIFS(终端客户销售统计表!$K:$K,终端客户销售统计表!$L:$L,$B59,终端客户销售统计表!$H:$H,$D59,终端客户销售统计表!$G:$G,"5月")+SUMIFS(终端客户销售统计表!$K:$K,终端客户销售统计表!$L:$L,$B59,终端客户销售统计表!$H:$H,$D59,终端客户销售统计表!$G:$G,"6月"))/10000</f>
        <v>0</v>
      </c>
      <c r="N59" s="29">
        <f>(SUMIFS(终端客户销售统计表!$K:$K,终端客户销售统计表!$L:$L,$B59,终端客户销售统计表!$H:$H,$D59,终端客户销售统计表!$G:$G,"7月")+SUMIFS(终端客户销售统计表!$K:$K,终端客户销售统计表!$L:$L,$B59,终端客户销售统计表!$H:$H,$D59,终端客户销售统计表!$G:$G,"8月")+SUMIFS(终端客户销售统计表!$K:$K,终端客户销售统计表!$L:$L,$B59,终端客户销售统计表!$H:$H,$D59,终端客户销售统计表!$G:$G,"9月"))/10000</f>
        <v>0</v>
      </c>
      <c r="O59" s="29">
        <f>(SUMIFS(终端客户销售统计表!$K:$K,终端客户销售统计表!$L:$L,$B59,终端客户销售统计表!$H:$H,$D59,终端客户销售统计表!$G:$G,"10月")+SUMIFS(终端客户销售统计表!$K:$K,终端客户销售统计表!$L:$L,$B59,终端客户销售统计表!$H:$H,$D59,终端客户销售统计表!$G:$G,"11月")+SUMIFS(终端客户销售统计表!$K:$K,终端客户销售统计表!$L:$L,$B59,终端客户销售统计表!$H:$H,$D59,终端客户销售统计表!$G:$G,"12月"))/10000</f>
        <v>0</v>
      </c>
      <c r="P59" s="29">
        <f>SUM(L59:O59)</f>
        <v>0</v>
      </c>
      <c r="Q59" s="44" t="str">
        <f t="shared" si="6"/>
        <v/>
      </c>
      <c r="R59" s="29">
        <f>(SUMIFS('代理商-进货明细表'!$I:$I,'代理商-进货明细表'!$B:$B,'代理商-产品进销存'!$B59,'代理商-进货明细表'!$F:$F,'代理商-产品进销存'!$D59,'代理商-进货明细表'!$E:$E,"1月")+SUMIFS('代理商-进货明细表'!$I:$I,'代理商-进货明细表'!$B:$B,'代理商-产品进销存'!$B59,'代理商-进货明细表'!$F:$F,'代理商-产品进销存'!$D59,'代理商-进货明细表'!$E:$E,"2月")+SUMIFS('代理商-进货明细表'!$I:$I,'代理商-进货明细表'!$B:$B,'代理商-产品进销存'!$B59,'代理商-进货明细表'!$F:$F,'代理商-产品进销存'!$D59,'代理商-进货明细表'!$E:$E,"3月"))/10000</f>
        <v>0</v>
      </c>
      <c r="S59" s="29">
        <f>(SUMIFS('代理商-进货明细表'!$I:$I,'代理商-进货明细表'!$B:$B,'代理商-产品进销存'!$B59,'代理商-进货明细表'!$F:$F,'代理商-产品进销存'!$D59,'代理商-进货明细表'!$E:$E,"4月")+SUMIFS('代理商-进货明细表'!$I:$I,'代理商-进货明细表'!$B:$B,'代理商-产品进销存'!$B59,'代理商-进货明细表'!$F:$F,'代理商-产品进销存'!$D59,'代理商-进货明细表'!$E:$E,"5月")+SUMIFS('代理商-进货明细表'!$I:$I,'代理商-进货明细表'!$B:$B,'代理商-产品进销存'!$B59,'代理商-进货明细表'!$F:$F,'代理商-产品进销存'!$D59,'代理商-进货明细表'!$E:$E,"6月"))/10000</f>
        <v>0</v>
      </c>
      <c r="T59" s="29">
        <f>(SUMIFS('代理商-进货明细表'!$I:$I,'代理商-进货明细表'!$B:$B,'代理商-产品进销存'!$B59,'代理商-进货明细表'!$F:$F,'代理商-产品进销存'!$D59,'代理商-进货明细表'!$E:$E,"7月")+SUMIFS('代理商-进货明细表'!$I:$I,'代理商-进货明细表'!$B:$B,'代理商-产品进销存'!$B59,'代理商-进货明细表'!$F:$F,'代理商-产品进销存'!$D59,'代理商-进货明细表'!$E:$E,"8月")+SUMIFS('代理商-进货明细表'!$I:$I,'代理商-进货明细表'!$B:$B,'代理商-产品进销存'!$B59,'代理商-进货明细表'!$F:$F,'代理商-产品进销存'!$D59,'代理商-进货明细表'!$E:$E,"9月"))/10000</f>
        <v>0</v>
      </c>
      <c r="U59" s="29">
        <f>(SUMIFS('代理商-进货明细表'!$I:$I,'代理商-进货明细表'!$B:$B,'代理商-产品进销存'!$B59,'代理商-进货明细表'!$F:$F,'代理商-产品进销存'!$D59,'代理商-进货明细表'!$E:$E,"10月")+SUMIFS('代理商-进货明细表'!$I:$I,'代理商-进货明细表'!$B:$B,'代理商-产品进销存'!$B59,'代理商-进货明细表'!$F:$F,'代理商-产品进销存'!$D59,'代理商-进货明细表'!$E:$E,"11月")+SUMIFS('代理商-进货明细表'!$I:$I,'代理商-进货明细表'!$B:$B,'代理商-产品进销存'!$B59,'代理商-进货明细表'!$F:$F,'代理商-产品进销存'!$D59,'代理商-进货明细表'!$E:$E,"12月"))/10000</f>
        <v>0</v>
      </c>
      <c r="V59" s="29">
        <f t="shared" si="7"/>
        <v>0</v>
      </c>
      <c r="W59" s="29">
        <f t="shared" si="8"/>
        <v>0</v>
      </c>
      <c r="X59" s="29">
        <f t="shared" si="9"/>
        <v>0</v>
      </c>
      <c r="Y59" s="29">
        <f t="shared" si="10"/>
        <v>0</v>
      </c>
      <c r="Z59" s="29">
        <f t="shared" si="11"/>
        <v>0</v>
      </c>
      <c r="AA59" s="29">
        <f t="shared" si="12"/>
        <v>0</v>
      </c>
    </row>
    <row r="60" spans="1:27" x14ac:dyDescent="0.3">
      <c r="A60" s="2" t="s">
        <v>175</v>
      </c>
      <c r="B60" s="2" t="s">
        <v>97</v>
      </c>
      <c r="D60" s="3" t="s">
        <v>15</v>
      </c>
      <c r="L60" s="29">
        <f>(SUMIFS(终端客户销售统计表!$K:$K,终端客户销售统计表!$L:$L,$B60,终端客户销售统计表!$H:$H,$D60,终端客户销售统计表!$G:$G,"1月")+SUMIFS(终端客户销售统计表!$K:$K,终端客户销售统计表!$L:$L,$B60,终端客户销售统计表!$H:$H,$D60,终端客户销售统计表!$G:$G,"2月")+SUMIFS(终端客户销售统计表!$K:$K,终端客户销售统计表!$L:$L,$B60,终端客户销售统计表!$H:$H,$D60,终端客户销售统计表!$G:$G,"3月"))/10000</f>
        <v>0</v>
      </c>
      <c r="M60" s="29">
        <f>(SUMIFS(终端客户销售统计表!$K:$K,终端客户销售统计表!$L:$L,$B60,终端客户销售统计表!$H:$H,$D60,终端客户销售统计表!$G:$G,"4月")+SUMIFS(终端客户销售统计表!$K:$K,终端客户销售统计表!$L:$L,$B60,终端客户销售统计表!$H:$H,$D60,终端客户销售统计表!$G:$G,"5月")+SUMIFS(终端客户销售统计表!$K:$K,终端客户销售统计表!$L:$L,$B60,终端客户销售统计表!$H:$H,$D60,终端客户销售统计表!$G:$G,"6月"))/10000</f>
        <v>0</v>
      </c>
      <c r="N60" s="29">
        <f>(SUMIFS(终端客户销售统计表!$K:$K,终端客户销售统计表!$L:$L,$B60,终端客户销售统计表!$H:$H,$D60,终端客户销售统计表!$G:$G,"7月")+SUMIFS(终端客户销售统计表!$K:$K,终端客户销售统计表!$L:$L,$B60,终端客户销售统计表!$H:$H,$D60,终端客户销售统计表!$G:$G,"8月")+SUMIFS(终端客户销售统计表!$K:$K,终端客户销售统计表!$L:$L,$B60,终端客户销售统计表!$H:$H,$D60,终端客户销售统计表!$G:$G,"9月"))/10000</f>
        <v>0</v>
      </c>
      <c r="O60" s="29">
        <f>(SUMIFS(终端客户销售统计表!$K:$K,终端客户销售统计表!$L:$L,$B60,终端客户销售统计表!$H:$H,$D60,终端客户销售统计表!$G:$G,"10月")+SUMIFS(终端客户销售统计表!$K:$K,终端客户销售统计表!$L:$L,$B60,终端客户销售统计表!$H:$H,$D60,终端客户销售统计表!$G:$G,"11月")+SUMIFS(终端客户销售统计表!$K:$K,终端客户销售统计表!$L:$L,$B60,终端客户销售统计表!$H:$H,$D60,终端客户销售统计表!$G:$G,"12月"))/10000</f>
        <v>0</v>
      </c>
      <c r="P60" s="29">
        <f>SUM(L60:O60)</f>
        <v>0</v>
      </c>
      <c r="Q60" s="44" t="str">
        <f t="shared" si="6"/>
        <v/>
      </c>
      <c r="R60" s="29">
        <f>(SUMIFS('代理商-进货明细表'!$I:$I,'代理商-进货明细表'!$B:$B,'代理商-产品进销存'!$B60,'代理商-进货明细表'!$F:$F,'代理商-产品进销存'!$D60,'代理商-进货明细表'!$E:$E,"1月")+SUMIFS('代理商-进货明细表'!$I:$I,'代理商-进货明细表'!$B:$B,'代理商-产品进销存'!$B60,'代理商-进货明细表'!$F:$F,'代理商-产品进销存'!$D60,'代理商-进货明细表'!$E:$E,"2月")+SUMIFS('代理商-进货明细表'!$I:$I,'代理商-进货明细表'!$B:$B,'代理商-产品进销存'!$B60,'代理商-进货明细表'!$F:$F,'代理商-产品进销存'!$D60,'代理商-进货明细表'!$E:$E,"3月"))/10000</f>
        <v>0</v>
      </c>
      <c r="S60" s="29">
        <f>(SUMIFS('代理商-进货明细表'!$I:$I,'代理商-进货明细表'!$B:$B,'代理商-产品进销存'!$B60,'代理商-进货明细表'!$F:$F,'代理商-产品进销存'!$D60,'代理商-进货明细表'!$E:$E,"4月")+SUMIFS('代理商-进货明细表'!$I:$I,'代理商-进货明细表'!$B:$B,'代理商-产品进销存'!$B60,'代理商-进货明细表'!$F:$F,'代理商-产品进销存'!$D60,'代理商-进货明细表'!$E:$E,"5月")+SUMIFS('代理商-进货明细表'!$I:$I,'代理商-进货明细表'!$B:$B,'代理商-产品进销存'!$B60,'代理商-进货明细表'!$F:$F,'代理商-产品进销存'!$D60,'代理商-进货明细表'!$E:$E,"6月"))/10000</f>
        <v>0</v>
      </c>
      <c r="T60" s="29">
        <f>(SUMIFS('代理商-进货明细表'!$I:$I,'代理商-进货明细表'!$B:$B,'代理商-产品进销存'!$B60,'代理商-进货明细表'!$F:$F,'代理商-产品进销存'!$D60,'代理商-进货明细表'!$E:$E,"7月")+SUMIFS('代理商-进货明细表'!$I:$I,'代理商-进货明细表'!$B:$B,'代理商-产品进销存'!$B60,'代理商-进货明细表'!$F:$F,'代理商-产品进销存'!$D60,'代理商-进货明细表'!$E:$E,"8月")+SUMIFS('代理商-进货明细表'!$I:$I,'代理商-进货明细表'!$B:$B,'代理商-产品进销存'!$B60,'代理商-进货明细表'!$F:$F,'代理商-产品进销存'!$D60,'代理商-进货明细表'!$E:$E,"9月"))/10000</f>
        <v>0</v>
      </c>
      <c r="U60" s="29">
        <f>(SUMIFS('代理商-进货明细表'!$I:$I,'代理商-进货明细表'!$B:$B,'代理商-产品进销存'!$B60,'代理商-进货明细表'!$F:$F,'代理商-产品进销存'!$D60,'代理商-进货明细表'!$E:$E,"10月")+SUMIFS('代理商-进货明细表'!$I:$I,'代理商-进货明细表'!$B:$B,'代理商-产品进销存'!$B60,'代理商-进货明细表'!$F:$F,'代理商-产品进销存'!$D60,'代理商-进货明细表'!$E:$E,"11月")+SUMIFS('代理商-进货明细表'!$I:$I,'代理商-进货明细表'!$B:$B,'代理商-产品进销存'!$B60,'代理商-进货明细表'!$F:$F,'代理商-产品进销存'!$D60,'代理商-进货明细表'!$E:$E,"12月"))/10000</f>
        <v>0</v>
      </c>
      <c r="V60" s="29">
        <f t="shared" si="7"/>
        <v>0</v>
      </c>
      <c r="W60" s="29">
        <f t="shared" si="8"/>
        <v>0</v>
      </c>
      <c r="X60" s="29">
        <f t="shared" si="9"/>
        <v>0</v>
      </c>
      <c r="Y60" s="29">
        <f t="shared" si="10"/>
        <v>0</v>
      </c>
      <c r="Z60" s="29">
        <f t="shared" si="11"/>
        <v>0</v>
      </c>
      <c r="AA60" s="29">
        <f t="shared" si="12"/>
        <v>0</v>
      </c>
    </row>
    <row r="61" spans="1:27" x14ac:dyDescent="0.3">
      <c r="A61" s="2" t="s">
        <v>175</v>
      </c>
      <c r="B61" s="2" t="s">
        <v>97</v>
      </c>
      <c r="D61" s="3" t="s">
        <v>16</v>
      </c>
      <c r="L61" s="29">
        <f>(SUMIFS(终端客户销售统计表!$K:$K,终端客户销售统计表!$L:$L,$B61,终端客户销售统计表!$H:$H,$D61,终端客户销售统计表!$G:$G,"1月")+SUMIFS(终端客户销售统计表!$K:$K,终端客户销售统计表!$L:$L,$B61,终端客户销售统计表!$H:$H,$D61,终端客户销售统计表!$G:$G,"2月")+SUMIFS(终端客户销售统计表!$K:$K,终端客户销售统计表!$L:$L,$B61,终端客户销售统计表!$H:$H,$D61,终端客户销售统计表!$G:$G,"3月"))/10000</f>
        <v>0</v>
      </c>
      <c r="M61" s="29">
        <f>(SUMIFS(终端客户销售统计表!$K:$K,终端客户销售统计表!$L:$L,$B61,终端客户销售统计表!$H:$H,$D61,终端客户销售统计表!$G:$G,"4月")+SUMIFS(终端客户销售统计表!$K:$K,终端客户销售统计表!$L:$L,$B61,终端客户销售统计表!$H:$H,$D61,终端客户销售统计表!$G:$G,"5月")+SUMIFS(终端客户销售统计表!$K:$K,终端客户销售统计表!$L:$L,$B61,终端客户销售统计表!$H:$H,$D61,终端客户销售统计表!$G:$G,"6月"))/10000</f>
        <v>0</v>
      </c>
      <c r="N61" s="29">
        <f>(SUMIFS(终端客户销售统计表!$K:$K,终端客户销售统计表!$L:$L,$B61,终端客户销售统计表!$H:$H,$D61,终端客户销售统计表!$G:$G,"7月")+SUMIFS(终端客户销售统计表!$K:$K,终端客户销售统计表!$L:$L,$B61,终端客户销售统计表!$H:$H,$D61,终端客户销售统计表!$G:$G,"8月")+SUMIFS(终端客户销售统计表!$K:$K,终端客户销售统计表!$L:$L,$B61,终端客户销售统计表!$H:$H,$D61,终端客户销售统计表!$G:$G,"9月"))/10000</f>
        <v>0</v>
      </c>
      <c r="O61" s="29">
        <f>(SUMIFS(终端客户销售统计表!$K:$K,终端客户销售统计表!$L:$L,$B61,终端客户销售统计表!$H:$H,$D61,终端客户销售统计表!$G:$G,"10月")+SUMIFS(终端客户销售统计表!$K:$K,终端客户销售统计表!$L:$L,$B61,终端客户销售统计表!$H:$H,$D61,终端客户销售统计表!$G:$G,"11月")+SUMIFS(终端客户销售统计表!$K:$K,终端客户销售统计表!$L:$L,$B61,终端客户销售统计表!$H:$H,$D61,终端客户销售统计表!$G:$G,"12月"))/10000</f>
        <v>0</v>
      </c>
      <c r="P61" s="29">
        <f>SUM(L61:O61)</f>
        <v>0</v>
      </c>
      <c r="Q61" s="44" t="str">
        <f t="shared" si="6"/>
        <v/>
      </c>
      <c r="R61" s="29">
        <f>(SUMIFS('代理商-进货明细表'!$I:$I,'代理商-进货明细表'!$B:$B,'代理商-产品进销存'!$B61,'代理商-进货明细表'!$F:$F,'代理商-产品进销存'!$D61,'代理商-进货明细表'!$E:$E,"1月")+SUMIFS('代理商-进货明细表'!$I:$I,'代理商-进货明细表'!$B:$B,'代理商-产品进销存'!$B61,'代理商-进货明细表'!$F:$F,'代理商-产品进销存'!$D61,'代理商-进货明细表'!$E:$E,"2月")+SUMIFS('代理商-进货明细表'!$I:$I,'代理商-进货明细表'!$B:$B,'代理商-产品进销存'!$B61,'代理商-进货明细表'!$F:$F,'代理商-产品进销存'!$D61,'代理商-进货明细表'!$E:$E,"3月"))/10000</f>
        <v>0</v>
      </c>
      <c r="S61" s="29">
        <f>(SUMIFS('代理商-进货明细表'!$I:$I,'代理商-进货明细表'!$B:$B,'代理商-产品进销存'!$B61,'代理商-进货明细表'!$F:$F,'代理商-产品进销存'!$D61,'代理商-进货明细表'!$E:$E,"4月")+SUMIFS('代理商-进货明细表'!$I:$I,'代理商-进货明细表'!$B:$B,'代理商-产品进销存'!$B61,'代理商-进货明细表'!$F:$F,'代理商-产品进销存'!$D61,'代理商-进货明细表'!$E:$E,"5月")+SUMIFS('代理商-进货明细表'!$I:$I,'代理商-进货明细表'!$B:$B,'代理商-产品进销存'!$B61,'代理商-进货明细表'!$F:$F,'代理商-产品进销存'!$D61,'代理商-进货明细表'!$E:$E,"6月"))/10000</f>
        <v>0</v>
      </c>
      <c r="T61" s="29">
        <f>(SUMIFS('代理商-进货明细表'!$I:$I,'代理商-进货明细表'!$B:$B,'代理商-产品进销存'!$B61,'代理商-进货明细表'!$F:$F,'代理商-产品进销存'!$D61,'代理商-进货明细表'!$E:$E,"7月")+SUMIFS('代理商-进货明细表'!$I:$I,'代理商-进货明细表'!$B:$B,'代理商-产品进销存'!$B61,'代理商-进货明细表'!$F:$F,'代理商-产品进销存'!$D61,'代理商-进货明细表'!$E:$E,"8月")+SUMIFS('代理商-进货明细表'!$I:$I,'代理商-进货明细表'!$B:$B,'代理商-产品进销存'!$B61,'代理商-进货明细表'!$F:$F,'代理商-产品进销存'!$D61,'代理商-进货明细表'!$E:$E,"9月"))/10000</f>
        <v>0</v>
      </c>
      <c r="U61" s="29">
        <f>(SUMIFS('代理商-进货明细表'!$I:$I,'代理商-进货明细表'!$B:$B,'代理商-产品进销存'!$B61,'代理商-进货明细表'!$F:$F,'代理商-产品进销存'!$D61,'代理商-进货明细表'!$E:$E,"10月")+SUMIFS('代理商-进货明细表'!$I:$I,'代理商-进货明细表'!$B:$B,'代理商-产品进销存'!$B61,'代理商-进货明细表'!$F:$F,'代理商-产品进销存'!$D61,'代理商-进货明细表'!$E:$E,"11月")+SUMIFS('代理商-进货明细表'!$I:$I,'代理商-进货明细表'!$B:$B,'代理商-产品进销存'!$B61,'代理商-进货明细表'!$F:$F,'代理商-产品进销存'!$D61,'代理商-进货明细表'!$E:$E,"12月"))/10000</f>
        <v>0</v>
      </c>
      <c r="V61" s="29">
        <f t="shared" si="7"/>
        <v>0</v>
      </c>
      <c r="W61" s="29">
        <f t="shared" si="8"/>
        <v>0</v>
      </c>
      <c r="X61" s="29">
        <f t="shared" si="9"/>
        <v>0</v>
      </c>
      <c r="Y61" s="29">
        <f t="shared" si="10"/>
        <v>0</v>
      </c>
      <c r="Z61" s="29">
        <f t="shared" si="11"/>
        <v>0</v>
      </c>
      <c r="AA61" s="29">
        <f t="shared" si="12"/>
        <v>0</v>
      </c>
    </row>
    <row r="62" spans="1:27" x14ac:dyDescent="0.3">
      <c r="A62" s="2" t="s">
        <v>175</v>
      </c>
      <c r="B62" s="2" t="s">
        <v>97</v>
      </c>
      <c r="D62" s="3" t="s">
        <v>17</v>
      </c>
      <c r="L62" s="29">
        <f>(SUMIFS(终端客户销售统计表!$K:$K,终端客户销售统计表!$L:$L,$B62,终端客户销售统计表!$H:$H,$D62,终端客户销售统计表!$G:$G,"1月")+SUMIFS(终端客户销售统计表!$K:$K,终端客户销售统计表!$L:$L,$B62,终端客户销售统计表!$H:$H,$D62,终端客户销售统计表!$G:$G,"2月")+SUMIFS(终端客户销售统计表!$K:$K,终端客户销售统计表!$L:$L,$B62,终端客户销售统计表!$H:$H,$D62,终端客户销售统计表!$G:$G,"3月"))/10000</f>
        <v>0</v>
      </c>
      <c r="M62" s="29">
        <f>(SUMIFS(终端客户销售统计表!$K:$K,终端客户销售统计表!$L:$L,$B62,终端客户销售统计表!$H:$H,$D62,终端客户销售统计表!$G:$G,"4月")+SUMIFS(终端客户销售统计表!$K:$K,终端客户销售统计表!$L:$L,$B62,终端客户销售统计表!$H:$H,$D62,终端客户销售统计表!$G:$G,"5月")+SUMIFS(终端客户销售统计表!$K:$K,终端客户销售统计表!$L:$L,$B62,终端客户销售统计表!$H:$H,$D62,终端客户销售统计表!$G:$G,"6月"))/10000</f>
        <v>0</v>
      </c>
      <c r="N62" s="29">
        <f>(SUMIFS(终端客户销售统计表!$K:$K,终端客户销售统计表!$L:$L,$B62,终端客户销售统计表!$H:$H,$D62,终端客户销售统计表!$G:$G,"7月")+SUMIFS(终端客户销售统计表!$K:$K,终端客户销售统计表!$L:$L,$B62,终端客户销售统计表!$H:$H,$D62,终端客户销售统计表!$G:$G,"8月")+SUMIFS(终端客户销售统计表!$K:$K,终端客户销售统计表!$L:$L,$B62,终端客户销售统计表!$H:$H,$D62,终端客户销售统计表!$G:$G,"9月"))/10000</f>
        <v>0</v>
      </c>
      <c r="O62" s="29">
        <f>(SUMIFS(终端客户销售统计表!$K:$K,终端客户销售统计表!$L:$L,$B62,终端客户销售统计表!$H:$H,$D62,终端客户销售统计表!$G:$G,"10月")+SUMIFS(终端客户销售统计表!$K:$K,终端客户销售统计表!$L:$L,$B62,终端客户销售统计表!$H:$H,$D62,终端客户销售统计表!$G:$G,"11月")+SUMIFS(终端客户销售统计表!$K:$K,终端客户销售统计表!$L:$L,$B62,终端客户销售统计表!$H:$H,$D62,终端客户销售统计表!$G:$G,"12月"))/10000</f>
        <v>0</v>
      </c>
      <c r="P62" s="29">
        <f>SUM(L62:O62)</f>
        <v>0</v>
      </c>
      <c r="Q62" s="44" t="str">
        <f t="shared" si="6"/>
        <v/>
      </c>
      <c r="R62" s="29">
        <f>(SUMIFS('代理商-进货明细表'!$I:$I,'代理商-进货明细表'!$B:$B,'代理商-产品进销存'!$B62,'代理商-进货明细表'!$F:$F,'代理商-产品进销存'!$D62,'代理商-进货明细表'!$E:$E,"1月")+SUMIFS('代理商-进货明细表'!$I:$I,'代理商-进货明细表'!$B:$B,'代理商-产品进销存'!$B62,'代理商-进货明细表'!$F:$F,'代理商-产品进销存'!$D62,'代理商-进货明细表'!$E:$E,"2月")+SUMIFS('代理商-进货明细表'!$I:$I,'代理商-进货明细表'!$B:$B,'代理商-产品进销存'!$B62,'代理商-进货明细表'!$F:$F,'代理商-产品进销存'!$D62,'代理商-进货明细表'!$E:$E,"3月"))/10000</f>
        <v>0</v>
      </c>
      <c r="S62" s="29">
        <f>(SUMIFS('代理商-进货明细表'!$I:$I,'代理商-进货明细表'!$B:$B,'代理商-产品进销存'!$B62,'代理商-进货明细表'!$F:$F,'代理商-产品进销存'!$D62,'代理商-进货明细表'!$E:$E,"4月")+SUMIFS('代理商-进货明细表'!$I:$I,'代理商-进货明细表'!$B:$B,'代理商-产品进销存'!$B62,'代理商-进货明细表'!$F:$F,'代理商-产品进销存'!$D62,'代理商-进货明细表'!$E:$E,"5月")+SUMIFS('代理商-进货明细表'!$I:$I,'代理商-进货明细表'!$B:$B,'代理商-产品进销存'!$B62,'代理商-进货明细表'!$F:$F,'代理商-产品进销存'!$D62,'代理商-进货明细表'!$E:$E,"6月"))/10000</f>
        <v>0</v>
      </c>
      <c r="T62" s="29">
        <f>(SUMIFS('代理商-进货明细表'!$I:$I,'代理商-进货明细表'!$B:$B,'代理商-产品进销存'!$B62,'代理商-进货明细表'!$F:$F,'代理商-产品进销存'!$D62,'代理商-进货明细表'!$E:$E,"7月")+SUMIFS('代理商-进货明细表'!$I:$I,'代理商-进货明细表'!$B:$B,'代理商-产品进销存'!$B62,'代理商-进货明细表'!$F:$F,'代理商-产品进销存'!$D62,'代理商-进货明细表'!$E:$E,"8月")+SUMIFS('代理商-进货明细表'!$I:$I,'代理商-进货明细表'!$B:$B,'代理商-产品进销存'!$B62,'代理商-进货明细表'!$F:$F,'代理商-产品进销存'!$D62,'代理商-进货明细表'!$E:$E,"9月"))/10000</f>
        <v>0</v>
      </c>
      <c r="U62" s="29">
        <f>(SUMIFS('代理商-进货明细表'!$I:$I,'代理商-进货明细表'!$B:$B,'代理商-产品进销存'!$B62,'代理商-进货明细表'!$F:$F,'代理商-产品进销存'!$D62,'代理商-进货明细表'!$E:$E,"10月")+SUMIFS('代理商-进货明细表'!$I:$I,'代理商-进货明细表'!$B:$B,'代理商-产品进销存'!$B62,'代理商-进货明细表'!$F:$F,'代理商-产品进销存'!$D62,'代理商-进货明细表'!$E:$E,"11月")+SUMIFS('代理商-进货明细表'!$I:$I,'代理商-进货明细表'!$B:$B,'代理商-产品进销存'!$B62,'代理商-进货明细表'!$F:$F,'代理商-产品进销存'!$D62,'代理商-进货明细表'!$E:$E,"12月"))/10000</f>
        <v>0</v>
      </c>
      <c r="V62" s="29">
        <f t="shared" si="7"/>
        <v>0</v>
      </c>
      <c r="W62" s="29">
        <f t="shared" si="8"/>
        <v>0</v>
      </c>
      <c r="X62" s="29">
        <f t="shared" si="9"/>
        <v>0</v>
      </c>
      <c r="Y62" s="29">
        <f t="shared" si="10"/>
        <v>0</v>
      </c>
      <c r="Z62" s="29">
        <f t="shared" si="11"/>
        <v>0</v>
      </c>
      <c r="AA62" s="29">
        <f t="shared" si="12"/>
        <v>0</v>
      </c>
    </row>
    <row r="63" spans="1:27" x14ac:dyDescent="0.3">
      <c r="A63" s="2" t="s">
        <v>176</v>
      </c>
      <c r="B63" s="2" t="s">
        <v>98</v>
      </c>
      <c r="D63" s="3" t="s">
        <v>14</v>
      </c>
      <c r="L63" s="29">
        <f>(SUMIFS(终端客户销售统计表!$K:$K,终端客户销售统计表!$L:$L,$B63,终端客户销售统计表!$H:$H,$D63,终端客户销售统计表!$G:$G,"1月")+SUMIFS(终端客户销售统计表!$K:$K,终端客户销售统计表!$L:$L,$B63,终端客户销售统计表!$H:$H,$D63,终端客户销售统计表!$G:$G,"2月")+SUMIFS(终端客户销售统计表!$K:$K,终端客户销售统计表!$L:$L,$B63,终端客户销售统计表!$H:$H,$D63,终端客户销售统计表!$G:$G,"3月"))/10000</f>
        <v>0</v>
      </c>
      <c r="M63" s="29">
        <f>(SUMIFS(终端客户销售统计表!$K:$K,终端客户销售统计表!$L:$L,$B63,终端客户销售统计表!$H:$H,$D63,终端客户销售统计表!$G:$G,"4月")+SUMIFS(终端客户销售统计表!$K:$K,终端客户销售统计表!$L:$L,$B63,终端客户销售统计表!$H:$H,$D63,终端客户销售统计表!$G:$G,"5月")+SUMIFS(终端客户销售统计表!$K:$K,终端客户销售统计表!$L:$L,$B63,终端客户销售统计表!$H:$H,$D63,终端客户销售统计表!$G:$G,"6月"))/10000</f>
        <v>0</v>
      </c>
      <c r="N63" s="29">
        <f>(SUMIFS(终端客户销售统计表!$K:$K,终端客户销售统计表!$L:$L,$B63,终端客户销售统计表!$H:$H,$D63,终端客户销售统计表!$G:$G,"7月")+SUMIFS(终端客户销售统计表!$K:$K,终端客户销售统计表!$L:$L,$B63,终端客户销售统计表!$H:$H,$D63,终端客户销售统计表!$G:$G,"8月")+SUMIFS(终端客户销售统计表!$K:$K,终端客户销售统计表!$L:$L,$B63,终端客户销售统计表!$H:$H,$D63,终端客户销售统计表!$G:$G,"9月"))/10000</f>
        <v>0</v>
      </c>
      <c r="O63" s="29">
        <f>(SUMIFS(终端客户销售统计表!$K:$K,终端客户销售统计表!$L:$L,$B63,终端客户销售统计表!$H:$H,$D63,终端客户销售统计表!$G:$G,"10月")+SUMIFS(终端客户销售统计表!$K:$K,终端客户销售统计表!$L:$L,$B63,终端客户销售统计表!$H:$H,$D63,终端客户销售统计表!$G:$G,"11月")+SUMIFS(终端客户销售统计表!$K:$K,终端客户销售统计表!$L:$L,$B63,终端客户销售统计表!$H:$H,$D63,终端客户销售统计表!$G:$G,"12月"))/10000</f>
        <v>0</v>
      </c>
      <c r="P63" s="29">
        <f>SUM(L63:O63)</f>
        <v>0</v>
      </c>
      <c r="Q63" s="44" t="str">
        <f t="shared" si="6"/>
        <v/>
      </c>
      <c r="R63" s="29">
        <f>(SUMIFS('代理商-进货明细表'!$I:$I,'代理商-进货明细表'!$B:$B,'代理商-产品进销存'!$B63,'代理商-进货明细表'!$F:$F,'代理商-产品进销存'!$D63,'代理商-进货明细表'!$E:$E,"1月")+SUMIFS('代理商-进货明细表'!$I:$I,'代理商-进货明细表'!$B:$B,'代理商-产品进销存'!$B63,'代理商-进货明细表'!$F:$F,'代理商-产品进销存'!$D63,'代理商-进货明细表'!$E:$E,"2月")+SUMIFS('代理商-进货明细表'!$I:$I,'代理商-进货明细表'!$B:$B,'代理商-产品进销存'!$B63,'代理商-进货明细表'!$F:$F,'代理商-产品进销存'!$D63,'代理商-进货明细表'!$E:$E,"3月"))/10000</f>
        <v>0</v>
      </c>
      <c r="S63" s="29">
        <f>(SUMIFS('代理商-进货明细表'!$I:$I,'代理商-进货明细表'!$B:$B,'代理商-产品进销存'!$B63,'代理商-进货明细表'!$F:$F,'代理商-产品进销存'!$D63,'代理商-进货明细表'!$E:$E,"4月")+SUMIFS('代理商-进货明细表'!$I:$I,'代理商-进货明细表'!$B:$B,'代理商-产品进销存'!$B63,'代理商-进货明细表'!$F:$F,'代理商-产品进销存'!$D63,'代理商-进货明细表'!$E:$E,"5月")+SUMIFS('代理商-进货明细表'!$I:$I,'代理商-进货明细表'!$B:$B,'代理商-产品进销存'!$B63,'代理商-进货明细表'!$F:$F,'代理商-产品进销存'!$D63,'代理商-进货明细表'!$E:$E,"6月"))/10000</f>
        <v>0</v>
      </c>
      <c r="T63" s="29">
        <f>(SUMIFS('代理商-进货明细表'!$I:$I,'代理商-进货明细表'!$B:$B,'代理商-产品进销存'!$B63,'代理商-进货明细表'!$F:$F,'代理商-产品进销存'!$D63,'代理商-进货明细表'!$E:$E,"7月")+SUMIFS('代理商-进货明细表'!$I:$I,'代理商-进货明细表'!$B:$B,'代理商-产品进销存'!$B63,'代理商-进货明细表'!$F:$F,'代理商-产品进销存'!$D63,'代理商-进货明细表'!$E:$E,"8月")+SUMIFS('代理商-进货明细表'!$I:$I,'代理商-进货明细表'!$B:$B,'代理商-产品进销存'!$B63,'代理商-进货明细表'!$F:$F,'代理商-产品进销存'!$D63,'代理商-进货明细表'!$E:$E,"9月"))/10000</f>
        <v>0</v>
      </c>
      <c r="U63" s="29">
        <f>(SUMIFS('代理商-进货明细表'!$I:$I,'代理商-进货明细表'!$B:$B,'代理商-产品进销存'!$B63,'代理商-进货明细表'!$F:$F,'代理商-产品进销存'!$D63,'代理商-进货明细表'!$E:$E,"10月")+SUMIFS('代理商-进货明细表'!$I:$I,'代理商-进货明细表'!$B:$B,'代理商-产品进销存'!$B63,'代理商-进货明细表'!$F:$F,'代理商-产品进销存'!$D63,'代理商-进货明细表'!$E:$E,"11月")+SUMIFS('代理商-进货明细表'!$I:$I,'代理商-进货明细表'!$B:$B,'代理商-产品进销存'!$B63,'代理商-进货明细表'!$F:$F,'代理商-产品进销存'!$D63,'代理商-进货明细表'!$E:$E,"12月"))/10000</f>
        <v>0</v>
      </c>
      <c r="V63" s="29">
        <f t="shared" si="7"/>
        <v>0</v>
      </c>
      <c r="W63" s="29">
        <f t="shared" si="8"/>
        <v>0</v>
      </c>
      <c r="X63" s="29">
        <f t="shared" si="9"/>
        <v>0</v>
      </c>
      <c r="Y63" s="29">
        <f t="shared" si="10"/>
        <v>0</v>
      </c>
      <c r="Z63" s="29">
        <f t="shared" si="11"/>
        <v>0</v>
      </c>
      <c r="AA63" s="29">
        <f t="shared" si="12"/>
        <v>0</v>
      </c>
    </row>
    <row r="64" spans="1:27" x14ac:dyDescent="0.3">
      <c r="A64" s="2" t="s">
        <v>176</v>
      </c>
      <c r="B64" s="2" t="s">
        <v>98</v>
      </c>
      <c r="D64" s="3" t="s">
        <v>15</v>
      </c>
      <c r="L64" s="29">
        <f>(SUMIFS(终端客户销售统计表!$K:$K,终端客户销售统计表!$L:$L,$B64,终端客户销售统计表!$H:$H,$D64,终端客户销售统计表!$G:$G,"1月")+SUMIFS(终端客户销售统计表!$K:$K,终端客户销售统计表!$L:$L,$B64,终端客户销售统计表!$H:$H,$D64,终端客户销售统计表!$G:$G,"2月")+SUMIFS(终端客户销售统计表!$K:$K,终端客户销售统计表!$L:$L,$B64,终端客户销售统计表!$H:$H,$D64,终端客户销售统计表!$G:$G,"3月"))/10000</f>
        <v>0</v>
      </c>
      <c r="M64" s="29">
        <f>(SUMIFS(终端客户销售统计表!$K:$K,终端客户销售统计表!$L:$L,$B64,终端客户销售统计表!$H:$H,$D64,终端客户销售统计表!$G:$G,"4月")+SUMIFS(终端客户销售统计表!$K:$K,终端客户销售统计表!$L:$L,$B64,终端客户销售统计表!$H:$H,$D64,终端客户销售统计表!$G:$G,"5月")+SUMIFS(终端客户销售统计表!$K:$K,终端客户销售统计表!$L:$L,$B64,终端客户销售统计表!$H:$H,$D64,终端客户销售统计表!$G:$G,"6月"))/10000</f>
        <v>0</v>
      </c>
      <c r="N64" s="29">
        <f>(SUMIFS(终端客户销售统计表!$K:$K,终端客户销售统计表!$L:$L,$B64,终端客户销售统计表!$H:$H,$D64,终端客户销售统计表!$G:$G,"7月")+SUMIFS(终端客户销售统计表!$K:$K,终端客户销售统计表!$L:$L,$B64,终端客户销售统计表!$H:$H,$D64,终端客户销售统计表!$G:$G,"8月")+SUMIFS(终端客户销售统计表!$K:$K,终端客户销售统计表!$L:$L,$B64,终端客户销售统计表!$H:$H,$D64,终端客户销售统计表!$G:$G,"9月"))/10000</f>
        <v>0</v>
      </c>
      <c r="O64" s="29">
        <f>(SUMIFS(终端客户销售统计表!$K:$K,终端客户销售统计表!$L:$L,$B64,终端客户销售统计表!$H:$H,$D64,终端客户销售统计表!$G:$G,"10月")+SUMIFS(终端客户销售统计表!$K:$K,终端客户销售统计表!$L:$L,$B64,终端客户销售统计表!$H:$H,$D64,终端客户销售统计表!$G:$G,"11月")+SUMIFS(终端客户销售统计表!$K:$K,终端客户销售统计表!$L:$L,$B64,终端客户销售统计表!$H:$H,$D64,终端客户销售统计表!$G:$G,"12月"))/10000</f>
        <v>0</v>
      </c>
      <c r="P64" s="29">
        <f>SUM(L64:O64)</f>
        <v>0</v>
      </c>
      <c r="Q64" s="44" t="str">
        <f t="shared" si="6"/>
        <v/>
      </c>
      <c r="R64" s="29">
        <f>(SUMIFS('代理商-进货明细表'!$I:$I,'代理商-进货明细表'!$B:$B,'代理商-产品进销存'!$B64,'代理商-进货明细表'!$F:$F,'代理商-产品进销存'!$D64,'代理商-进货明细表'!$E:$E,"1月")+SUMIFS('代理商-进货明细表'!$I:$I,'代理商-进货明细表'!$B:$B,'代理商-产品进销存'!$B64,'代理商-进货明细表'!$F:$F,'代理商-产品进销存'!$D64,'代理商-进货明细表'!$E:$E,"2月")+SUMIFS('代理商-进货明细表'!$I:$I,'代理商-进货明细表'!$B:$B,'代理商-产品进销存'!$B64,'代理商-进货明细表'!$F:$F,'代理商-产品进销存'!$D64,'代理商-进货明细表'!$E:$E,"3月"))/10000</f>
        <v>0</v>
      </c>
      <c r="S64" s="29">
        <f>(SUMIFS('代理商-进货明细表'!$I:$I,'代理商-进货明细表'!$B:$B,'代理商-产品进销存'!$B64,'代理商-进货明细表'!$F:$F,'代理商-产品进销存'!$D64,'代理商-进货明细表'!$E:$E,"4月")+SUMIFS('代理商-进货明细表'!$I:$I,'代理商-进货明细表'!$B:$B,'代理商-产品进销存'!$B64,'代理商-进货明细表'!$F:$F,'代理商-产品进销存'!$D64,'代理商-进货明细表'!$E:$E,"5月")+SUMIFS('代理商-进货明细表'!$I:$I,'代理商-进货明细表'!$B:$B,'代理商-产品进销存'!$B64,'代理商-进货明细表'!$F:$F,'代理商-产品进销存'!$D64,'代理商-进货明细表'!$E:$E,"6月"))/10000</f>
        <v>0</v>
      </c>
      <c r="T64" s="29">
        <f>(SUMIFS('代理商-进货明细表'!$I:$I,'代理商-进货明细表'!$B:$B,'代理商-产品进销存'!$B64,'代理商-进货明细表'!$F:$F,'代理商-产品进销存'!$D64,'代理商-进货明细表'!$E:$E,"7月")+SUMIFS('代理商-进货明细表'!$I:$I,'代理商-进货明细表'!$B:$B,'代理商-产品进销存'!$B64,'代理商-进货明细表'!$F:$F,'代理商-产品进销存'!$D64,'代理商-进货明细表'!$E:$E,"8月")+SUMIFS('代理商-进货明细表'!$I:$I,'代理商-进货明细表'!$B:$B,'代理商-产品进销存'!$B64,'代理商-进货明细表'!$F:$F,'代理商-产品进销存'!$D64,'代理商-进货明细表'!$E:$E,"9月"))/10000</f>
        <v>0</v>
      </c>
      <c r="U64" s="29">
        <f>(SUMIFS('代理商-进货明细表'!$I:$I,'代理商-进货明细表'!$B:$B,'代理商-产品进销存'!$B64,'代理商-进货明细表'!$F:$F,'代理商-产品进销存'!$D64,'代理商-进货明细表'!$E:$E,"10月")+SUMIFS('代理商-进货明细表'!$I:$I,'代理商-进货明细表'!$B:$B,'代理商-产品进销存'!$B64,'代理商-进货明细表'!$F:$F,'代理商-产品进销存'!$D64,'代理商-进货明细表'!$E:$E,"11月")+SUMIFS('代理商-进货明细表'!$I:$I,'代理商-进货明细表'!$B:$B,'代理商-产品进销存'!$B64,'代理商-进货明细表'!$F:$F,'代理商-产品进销存'!$D64,'代理商-进货明细表'!$E:$E,"12月"))/10000</f>
        <v>0</v>
      </c>
      <c r="V64" s="29">
        <f t="shared" si="7"/>
        <v>0</v>
      </c>
      <c r="W64" s="29">
        <f t="shared" si="8"/>
        <v>0</v>
      </c>
      <c r="X64" s="29">
        <f t="shared" si="9"/>
        <v>0</v>
      </c>
      <c r="Y64" s="29">
        <f t="shared" si="10"/>
        <v>0</v>
      </c>
      <c r="Z64" s="29">
        <f t="shared" si="11"/>
        <v>0</v>
      </c>
      <c r="AA64" s="29">
        <f t="shared" si="12"/>
        <v>0</v>
      </c>
    </row>
    <row r="65" spans="1:27" x14ac:dyDescent="0.3">
      <c r="A65" s="2" t="s">
        <v>176</v>
      </c>
      <c r="B65" s="2" t="s">
        <v>98</v>
      </c>
      <c r="D65" s="3" t="s">
        <v>16</v>
      </c>
      <c r="L65" s="29">
        <f>(SUMIFS(终端客户销售统计表!$K:$K,终端客户销售统计表!$L:$L,$B65,终端客户销售统计表!$H:$H,$D65,终端客户销售统计表!$G:$G,"1月")+SUMIFS(终端客户销售统计表!$K:$K,终端客户销售统计表!$L:$L,$B65,终端客户销售统计表!$H:$H,$D65,终端客户销售统计表!$G:$G,"2月")+SUMIFS(终端客户销售统计表!$K:$K,终端客户销售统计表!$L:$L,$B65,终端客户销售统计表!$H:$H,$D65,终端客户销售统计表!$G:$G,"3月"))/10000</f>
        <v>0</v>
      </c>
      <c r="M65" s="29">
        <f>(SUMIFS(终端客户销售统计表!$K:$K,终端客户销售统计表!$L:$L,$B65,终端客户销售统计表!$H:$H,$D65,终端客户销售统计表!$G:$G,"4月")+SUMIFS(终端客户销售统计表!$K:$K,终端客户销售统计表!$L:$L,$B65,终端客户销售统计表!$H:$H,$D65,终端客户销售统计表!$G:$G,"5月")+SUMIFS(终端客户销售统计表!$K:$K,终端客户销售统计表!$L:$L,$B65,终端客户销售统计表!$H:$H,$D65,终端客户销售统计表!$G:$G,"6月"))/10000</f>
        <v>0</v>
      </c>
      <c r="N65" s="29">
        <f>(SUMIFS(终端客户销售统计表!$K:$K,终端客户销售统计表!$L:$L,$B65,终端客户销售统计表!$H:$H,$D65,终端客户销售统计表!$G:$G,"7月")+SUMIFS(终端客户销售统计表!$K:$K,终端客户销售统计表!$L:$L,$B65,终端客户销售统计表!$H:$H,$D65,终端客户销售统计表!$G:$G,"8月")+SUMIFS(终端客户销售统计表!$K:$K,终端客户销售统计表!$L:$L,$B65,终端客户销售统计表!$H:$H,$D65,终端客户销售统计表!$G:$G,"9月"))/10000</f>
        <v>0</v>
      </c>
      <c r="O65" s="29">
        <f>(SUMIFS(终端客户销售统计表!$K:$K,终端客户销售统计表!$L:$L,$B65,终端客户销售统计表!$H:$H,$D65,终端客户销售统计表!$G:$G,"10月")+SUMIFS(终端客户销售统计表!$K:$K,终端客户销售统计表!$L:$L,$B65,终端客户销售统计表!$H:$H,$D65,终端客户销售统计表!$G:$G,"11月")+SUMIFS(终端客户销售统计表!$K:$K,终端客户销售统计表!$L:$L,$B65,终端客户销售统计表!$H:$H,$D65,终端客户销售统计表!$G:$G,"12月"))/10000</f>
        <v>0</v>
      </c>
      <c r="P65" s="29">
        <f>SUM(L65:O65)</f>
        <v>0</v>
      </c>
      <c r="Q65" s="44" t="str">
        <f t="shared" si="6"/>
        <v/>
      </c>
      <c r="R65" s="29">
        <f>(SUMIFS('代理商-进货明细表'!$I:$I,'代理商-进货明细表'!$B:$B,'代理商-产品进销存'!$B65,'代理商-进货明细表'!$F:$F,'代理商-产品进销存'!$D65,'代理商-进货明细表'!$E:$E,"1月")+SUMIFS('代理商-进货明细表'!$I:$I,'代理商-进货明细表'!$B:$B,'代理商-产品进销存'!$B65,'代理商-进货明细表'!$F:$F,'代理商-产品进销存'!$D65,'代理商-进货明细表'!$E:$E,"2月")+SUMIFS('代理商-进货明细表'!$I:$I,'代理商-进货明细表'!$B:$B,'代理商-产品进销存'!$B65,'代理商-进货明细表'!$F:$F,'代理商-产品进销存'!$D65,'代理商-进货明细表'!$E:$E,"3月"))/10000</f>
        <v>0</v>
      </c>
      <c r="S65" s="29">
        <f>(SUMIFS('代理商-进货明细表'!$I:$I,'代理商-进货明细表'!$B:$B,'代理商-产品进销存'!$B65,'代理商-进货明细表'!$F:$F,'代理商-产品进销存'!$D65,'代理商-进货明细表'!$E:$E,"4月")+SUMIFS('代理商-进货明细表'!$I:$I,'代理商-进货明细表'!$B:$B,'代理商-产品进销存'!$B65,'代理商-进货明细表'!$F:$F,'代理商-产品进销存'!$D65,'代理商-进货明细表'!$E:$E,"5月")+SUMIFS('代理商-进货明细表'!$I:$I,'代理商-进货明细表'!$B:$B,'代理商-产品进销存'!$B65,'代理商-进货明细表'!$F:$F,'代理商-产品进销存'!$D65,'代理商-进货明细表'!$E:$E,"6月"))/10000</f>
        <v>0</v>
      </c>
      <c r="T65" s="29">
        <f>(SUMIFS('代理商-进货明细表'!$I:$I,'代理商-进货明细表'!$B:$B,'代理商-产品进销存'!$B65,'代理商-进货明细表'!$F:$F,'代理商-产品进销存'!$D65,'代理商-进货明细表'!$E:$E,"7月")+SUMIFS('代理商-进货明细表'!$I:$I,'代理商-进货明细表'!$B:$B,'代理商-产品进销存'!$B65,'代理商-进货明细表'!$F:$F,'代理商-产品进销存'!$D65,'代理商-进货明细表'!$E:$E,"8月")+SUMIFS('代理商-进货明细表'!$I:$I,'代理商-进货明细表'!$B:$B,'代理商-产品进销存'!$B65,'代理商-进货明细表'!$F:$F,'代理商-产品进销存'!$D65,'代理商-进货明细表'!$E:$E,"9月"))/10000</f>
        <v>0</v>
      </c>
      <c r="U65" s="29">
        <f>(SUMIFS('代理商-进货明细表'!$I:$I,'代理商-进货明细表'!$B:$B,'代理商-产品进销存'!$B65,'代理商-进货明细表'!$F:$F,'代理商-产品进销存'!$D65,'代理商-进货明细表'!$E:$E,"10月")+SUMIFS('代理商-进货明细表'!$I:$I,'代理商-进货明细表'!$B:$B,'代理商-产品进销存'!$B65,'代理商-进货明细表'!$F:$F,'代理商-产品进销存'!$D65,'代理商-进货明细表'!$E:$E,"11月")+SUMIFS('代理商-进货明细表'!$I:$I,'代理商-进货明细表'!$B:$B,'代理商-产品进销存'!$B65,'代理商-进货明细表'!$F:$F,'代理商-产品进销存'!$D65,'代理商-进货明细表'!$E:$E,"12月"))/10000</f>
        <v>0</v>
      </c>
      <c r="V65" s="29">
        <f t="shared" si="7"/>
        <v>0</v>
      </c>
      <c r="W65" s="29">
        <f t="shared" si="8"/>
        <v>0</v>
      </c>
      <c r="X65" s="29">
        <f t="shared" si="9"/>
        <v>0</v>
      </c>
      <c r="Y65" s="29">
        <f t="shared" si="10"/>
        <v>0</v>
      </c>
      <c r="Z65" s="29">
        <f t="shared" si="11"/>
        <v>0</v>
      </c>
      <c r="AA65" s="29">
        <f t="shared" si="12"/>
        <v>0</v>
      </c>
    </row>
    <row r="66" spans="1:27" x14ac:dyDescent="0.3">
      <c r="A66" s="2" t="s">
        <v>176</v>
      </c>
      <c r="B66" s="2" t="s">
        <v>98</v>
      </c>
      <c r="D66" s="3" t="s">
        <v>17</v>
      </c>
      <c r="L66" s="29">
        <f>(SUMIFS(终端客户销售统计表!$K:$K,终端客户销售统计表!$L:$L,$B66,终端客户销售统计表!$H:$H,$D66,终端客户销售统计表!$G:$G,"1月")+SUMIFS(终端客户销售统计表!$K:$K,终端客户销售统计表!$L:$L,$B66,终端客户销售统计表!$H:$H,$D66,终端客户销售统计表!$G:$G,"2月")+SUMIFS(终端客户销售统计表!$K:$K,终端客户销售统计表!$L:$L,$B66,终端客户销售统计表!$H:$H,$D66,终端客户销售统计表!$G:$G,"3月"))/10000</f>
        <v>0</v>
      </c>
      <c r="M66" s="29">
        <f>(SUMIFS(终端客户销售统计表!$K:$K,终端客户销售统计表!$L:$L,$B66,终端客户销售统计表!$H:$H,$D66,终端客户销售统计表!$G:$G,"4月")+SUMIFS(终端客户销售统计表!$K:$K,终端客户销售统计表!$L:$L,$B66,终端客户销售统计表!$H:$H,$D66,终端客户销售统计表!$G:$G,"5月")+SUMIFS(终端客户销售统计表!$K:$K,终端客户销售统计表!$L:$L,$B66,终端客户销售统计表!$H:$H,$D66,终端客户销售统计表!$G:$G,"6月"))/10000</f>
        <v>0</v>
      </c>
      <c r="N66" s="29">
        <f>(SUMIFS(终端客户销售统计表!$K:$K,终端客户销售统计表!$L:$L,$B66,终端客户销售统计表!$H:$H,$D66,终端客户销售统计表!$G:$G,"7月")+SUMIFS(终端客户销售统计表!$K:$K,终端客户销售统计表!$L:$L,$B66,终端客户销售统计表!$H:$H,$D66,终端客户销售统计表!$G:$G,"8月")+SUMIFS(终端客户销售统计表!$K:$K,终端客户销售统计表!$L:$L,$B66,终端客户销售统计表!$H:$H,$D66,终端客户销售统计表!$G:$G,"9月"))/10000</f>
        <v>0</v>
      </c>
      <c r="O66" s="29">
        <f>(SUMIFS(终端客户销售统计表!$K:$K,终端客户销售统计表!$L:$L,$B66,终端客户销售统计表!$H:$H,$D66,终端客户销售统计表!$G:$G,"10月")+SUMIFS(终端客户销售统计表!$K:$K,终端客户销售统计表!$L:$L,$B66,终端客户销售统计表!$H:$H,$D66,终端客户销售统计表!$G:$G,"11月")+SUMIFS(终端客户销售统计表!$K:$K,终端客户销售统计表!$L:$L,$B66,终端客户销售统计表!$H:$H,$D66,终端客户销售统计表!$G:$G,"12月"))/10000</f>
        <v>0</v>
      </c>
      <c r="P66" s="29">
        <f>SUM(L66:O66)</f>
        <v>0</v>
      </c>
      <c r="Q66" s="44" t="str">
        <f t="shared" si="6"/>
        <v/>
      </c>
      <c r="R66" s="29">
        <f>(SUMIFS('代理商-进货明细表'!$I:$I,'代理商-进货明细表'!$B:$B,'代理商-产品进销存'!$B66,'代理商-进货明细表'!$F:$F,'代理商-产品进销存'!$D66,'代理商-进货明细表'!$E:$E,"1月")+SUMIFS('代理商-进货明细表'!$I:$I,'代理商-进货明细表'!$B:$B,'代理商-产品进销存'!$B66,'代理商-进货明细表'!$F:$F,'代理商-产品进销存'!$D66,'代理商-进货明细表'!$E:$E,"2月")+SUMIFS('代理商-进货明细表'!$I:$I,'代理商-进货明细表'!$B:$B,'代理商-产品进销存'!$B66,'代理商-进货明细表'!$F:$F,'代理商-产品进销存'!$D66,'代理商-进货明细表'!$E:$E,"3月"))/10000</f>
        <v>0</v>
      </c>
      <c r="S66" s="29">
        <f>(SUMIFS('代理商-进货明细表'!$I:$I,'代理商-进货明细表'!$B:$B,'代理商-产品进销存'!$B66,'代理商-进货明细表'!$F:$F,'代理商-产品进销存'!$D66,'代理商-进货明细表'!$E:$E,"4月")+SUMIFS('代理商-进货明细表'!$I:$I,'代理商-进货明细表'!$B:$B,'代理商-产品进销存'!$B66,'代理商-进货明细表'!$F:$F,'代理商-产品进销存'!$D66,'代理商-进货明细表'!$E:$E,"5月")+SUMIFS('代理商-进货明细表'!$I:$I,'代理商-进货明细表'!$B:$B,'代理商-产品进销存'!$B66,'代理商-进货明细表'!$F:$F,'代理商-产品进销存'!$D66,'代理商-进货明细表'!$E:$E,"6月"))/10000</f>
        <v>0</v>
      </c>
      <c r="T66" s="29">
        <f>(SUMIFS('代理商-进货明细表'!$I:$I,'代理商-进货明细表'!$B:$B,'代理商-产品进销存'!$B66,'代理商-进货明细表'!$F:$F,'代理商-产品进销存'!$D66,'代理商-进货明细表'!$E:$E,"7月")+SUMIFS('代理商-进货明细表'!$I:$I,'代理商-进货明细表'!$B:$B,'代理商-产品进销存'!$B66,'代理商-进货明细表'!$F:$F,'代理商-产品进销存'!$D66,'代理商-进货明细表'!$E:$E,"8月")+SUMIFS('代理商-进货明细表'!$I:$I,'代理商-进货明细表'!$B:$B,'代理商-产品进销存'!$B66,'代理商-进货明细表'!$F:$F,'代理商-产品进销存'!$D66,'代理商-进货明细表'!$E:$E,"9月"))/10000</f>
        <v>0</v>
      </c>
      <c r="U66" s="29">
        <f>(SUMIFS('代理商-进货明细表'!$I:$I,'代理商-进货明细表'!$B:$B,'代理商-产品进销存'!$B66,'代理商-进货明细表'!$F:$F,'代理商-产品进销存'!$D66,'代理商-进货明细表'!$E:$E,"10月")+SUMIFS('代理商-进货明细表'!$I:$I,'代理商-进货明细表'!$B:$B,'代理商-产品进销存'!$B66,'代理商-进货明细表'!$F:$F,'代理商-产品进销存'!$D66,'代理商-进货明细表'!$E:$E,"11月")+SUMIFS('代理商-进货明细表'!$I:$I,'代理商-进货明细表'!$B:$B,'代理商-产品进销存'!$B66,'代理商-进货明细表'!$F:$F,'代理商-产品进销存'!$D66,'代理商-进货明细表'!$E:$E,"12月"))/10000</f>
        <v>0</v>
      </c>
      <c r="V66" s="29">
        <f t="shared" si="7"/>
        <v>0</v>
      </c>
      <c r="W66" s="29">
        <f t="shared" si="8"/>
        <v>0</v>
      </c>
      <c r="X66" s="29">
        <f t="shared" si="9"/>
        <v>0</v>
      </c>
      <c r="Y66" s="29">
        <f t="shared" si="10"/>
        <v>0</v>
      </c>
      <c r="Z66" s="29">
        <f t="shared" si="11"/>
        <v>0</v>
      </c>
      <c r="AA66" s="29">
        <f t="shared" si="12"/>
        <v>0</v>
      </c>
    </row>
    <row r="67" spans="1:27" x14ac:dyDescent="0.3">
      <c r="A67" s="2" t="s">
        <v>177</v>
      </c>
      <c r="B67" s="2" t="s">
        <v>99</v>
      </c>
      <c r="D67" s="3" t="s">
        <v>14</v>
      </c>
      <c r="L67" s="29">
        <f>(SUMIFS(终端客户销售统计表!$K:$K,终端客户销售统计表!$L:$L,$B67,终端客户销售统计表!$H:$H,$D67,终端客户销售统计表!$G:$G,"1月")+SUMIFS(终端客户销售统计表!$K:$K,终端客户销售统计表!$L:$L,$B67,终端客户销售统计表!$H:$H,$D67,终端客户销售统计表!$G:$G,"2月")+SUMIFS(终端客户销售统计表!$K:$K,终端客户销售统计表!$L:$L,$B67,终端客户销售统计表!$H:$H,$D67,终端客户销售统计表!$G:$G,"3月"))/10000</f>
        <v>0</v>
      </c>
      <c r="M67" s="29">
        <f>(SUMIFS(终端客户销售统计表!$K:$K,终端客户销售统计表!$L:$L,$B67,终端客户销售统计表!$H:$H,$D67,终端客户销售统计表!$G:$G,"4月")+SUMIFS(终端客户销售统计表!$K:$K,终端客户销售统计表!$L:$L,$B67,终端客户销售统计表!$H:$H,$D67,终端客户销售统计表!$G:$G,"5月")+SUMIFS(终端客户销售统计表!$K:$K,终端客户销售统计表!$L:$L,$B67,终端客户销售统计表!$H:$H,$D67,终端客户销售统计表!$G:$G,"6月"))/10000</f>
        <v>0</v>
      </c>
      <c r="N67" s="29">
        <f>(SUMIFS(终端客户销售统计表!$K:$K,终端客户销售统计表!$L:$L,$B67,终端客户销售统计表!$H:$H,$D67,终端客户销售统计表!$G:$G,"7月")+SUMIFS(终端客户销售统计表!$K:$K,终端客户销售统计表!$L:$L,$B67,终端客户销售统计表!$H:$H,$D67,终端客户销售统计表!$G:$G,"8月")+SUMIFS(终端客户销售统计表!$K:$K,终端客户销售统计表!$L:$L,$B67,终端客户销售统计表!$H:$H,$D67,终端客户销售统计表!$G:$G,"9月"))/10000</f>
        <v>0</v>
      </c>
      <c r="O67" s="29">
        <f>(SUMIFS(终端客户销售统计表!$K:$K,终端客户销售统计表!$L:$L,$B67,终端客户销售统计表!$H:$H,$D67,终端客户销售统计表!$G:$G,"10月")+SUMIFS(终端客户销售统计表!$K:$K,终端客户销售统计表!$L:$L,$B67,终端客户销售统计表!$H:$H,$D67,终端客户销售统计表!$G:$G,"11月")+SUMIFS(终端客户销售统计表!$K:$K,终端客户销售统计表!$L:$L,$B67,终端客户销售统计表!$H:$H,$D67,终端客户销售统计表!$G:$G,"12月"))/10000</f>
        <v>0</v>
      </c>
      <c r="P67" s="29">
        <f>SUM(L67:O67)</f>
        <v>0</v>
      </c>
      <c r="Q67" s="44" t="str">
        <f t="shared" si="6"/>
        <v/>
      </c>
      <c r="R67" s="29">
        <f>(SUMIFS('代理商-进货明细表'!$I:$I,'代理商-进货明细表'!$B:$B,'代理商-产品进销存'!$B67,'代理商-进货明细表'!$F:$F,'代理商-产品进销存'!$D67,'代理商-进货明细表'!$E:$E,"1月")+SUMIFS('代理商-进货明细表'!$I:$I,'代理商-进货明细表'!$B:$B,'代理商-产品进销存'!$B67,'代理商-进货明细表'!$F:$F,'代理商-产品进销存'!$D67,'代理商-进货明细表'!$E:$E,"2月")+SUMIFS('代理商-进货明细表'!$I:$I,'代理商-进货明细表'!$B:$B,'代理商-产品进销存'!$B67,'代理商-进货明细表'!$F:$F,'代理商-产品进销存'!$D67,'代理商-进货明细表'!$E:$E,"3月"))/10000</f>
        <v>0</v>
      </c>
      <c r="S67" s="29">
        <f>(SUMIFS('代理商-进货明细表'!$I:$I,'代理商-进货明细表'!$B:$B,'代理商-产品进销存'!$B67,'代理商-进货明细表'!$F:$F,'代理商-产品进销存'!$D67,'代理商-进货明细表'!$E:$E,"4月")+SUMIFS('代理商-进货明细表'!$I:$I,'代理商-进货明细表'!$B:$B,'代理商-产品进销存'!$B67,'代理商-进货明细表'!$F:$F,'代理商-产品进销存'!$D67,'代理商-进货明细表'!$E:$E,"5月")+SUMIFS('代理商-进货明细表'!$I:$I,'代理商-进货明细表'!$B:$B,'代理商-产品进销存'!$B67,'代理商-进货明细表'!$F:$F,'代理商-产品进销存'!$D67,'代理商-进货明细表'!$E:$E,"6月"))/10000</f>
        <v>0</v>
      </c>
      <c r="T67" s="29">
        <f>(SUMIFS('代理商-进货明细表'!$I:$I,'代理商-进货明细表'!$B:$B,'代理商-产品进销存'!$B67,'代理商-进货明细表'!$F:$F,'代理商-产品进销存'!$D67,'代理商-进货明细表'!$E:$E,"7月")+SUMIFS('代理商-进货明细表'!$I:$I,'代理商-进货明细表'!$B:$B,'代理商-产品进销存'!$B67,'代理商-进货明细表'!$F:$F,'代理商-产品进销存'!$D67,'代理商-进货明细表'!$E:$E,"8月")+SUMIFS('代理商-进货明细表'!$I:$I,'代理商-进货明细表'!$B:$B,'代理商-产品进销存'!$B67,'代理商-进货明细表'!$F:$F,'代理商-产品进销存'!$D67,'代理商-进货明细表'!$E:$E,"9月"))/10000</f>
        <v>0</v>
      </c>
      <c r="U67" s="29">
        <f>(SUMIFS('代理商-进货明细表'!$I:$I,'代理商-进货明细表'!$B:$B,'代理商-产品进销存'!$B67,'代理商-进货明细表'!$F:$F,'代理商-产品进销存'!$D67,'代理商-进货明细表'!$E:$E,"10月")+SUMIFS('代理商-进货明细表'!$I:$I,'代理商-进货明细表'!$B:$B,'代理商-产品进销存'!$B67,'代理商-进货明细表'!$F:$F,'代理商-产品进销存'!$D67,'代理商-进货明细表'!$E:$E,"11月")+SUMIFS('代理商-进货明细表'!$I:$I,'代理商-进货明细表'!$B:$B,'代理商-产品进销存'!$B67,'代理商-进货明细表'!$F:$F,'代理商-产品进销存'!$D67,'代理商-进货明细表'!$E:$E,"12月"))/10000</f>
        <v>0</v>
      </c>
      <c r="V67" s="29">
        <f t="shared" si="7"/>
        <v>0</v>
      </c>
      <c r="W67" s="29">
        <f t="shared" si="8"/>
        <v>0</v>
      </c>
      <c r="X67" s="29">
        <f t="shared" si="9"/>
        <v>0</v>
      </c>
      <c r="Y67" s="29">
        <f t="shared" si="10"/>
        <v>0</v>
      </c>
      <c r="Z67" s="29">
        <f t="shared" si="11"/>
        <v>0</v>
      </c>
      <c r="AA67" s="29">
        <f t="shared" si="12"/>
        <v>0</v>
      </c>
    </row>
    <row r="68" spans="1:27" x14ac:dyDescent="0.3">
      <c r="A68" s="2" t="s">
        <v>177</v>
      </c>
      <c r="B68" s="2" t="s">
        <v>99</v>
      </c>
      <c r="D68" s="3" t="s">
        <v>15</v>
      </c>
      <c r="L68" s="29">
        <f>(SUMIFS(终端客户销售统计表!$K:$K,终端客户销售统计表!$L:$L,$B68,终端客户销售统计表!$H:$H,$D68,终端客户销售统计表!$G:$G,"1月")+SUMIFS(终端客户销售统计表!$K:$K,终端客户销售统计表!$L:$L,$B68,终端客户销售统计表!$H:$H,$D68,终端客户销售统计表!$G:$G,"2月")+SUMIFS(终端客户销售统计表!$K:$K,终端客户销售统计表!$L:$L,$B68,终端客户销售统计表!$H:$H,$D68,终端客户销售统计表!$G:$G,"3月"))/10000</f>
        <v>0</v>
      </c>
      <c r="M68" s="29">
        <f>(SUMIFS(终端客户销售统计表!$K:$K,终端客户销售统计表!$L:$L,$B68,终端客户销售统计表!$H:$H,$D68,终端客户销售统计表!$G:$G,"4月")+SUMIFS(终端客户销售统计表!$K:$K,终端客户销售统计表!$L:$L,$B68,终端客户销售统计表!$H:$H,$D68,终端客户销售统计表!$G:$G,"5月")+SUMIFS(终端客户销售统计表!$K:$K,终端客户销售统计表!$L:$L,$B68,终端客户销售统计表!$H:$H,$D68,终端客户销售统计表!$G:$G,"6月"))/10000</f>
        <v>0</v>
      </c>
      <c r="N68" s="29">
        <f>(SUMIFS(终端客户销售统计表!$K:$K,终端客户销售统计表!$L:$L,$B68,终端客户销售统计表!$H:$H,$D68,终端客户销售统计表!$G:$G,"7月")+SUMIFS(终端客户销售统计表!$K:$K,终端客户销售统计表!$L:$L,$B68,终端客户销售统计表!$H:$H,$D68,终端客户销售统计表!$G:$G,"8月")+SUMIFS(终端客户销售统计表!$K:$K,终端客户销售统计表!$L:$L,$B68,终端客户销售统计表!$H:$H,$D68,终端客户销售统计表!$G:$G,"9月"))/10000</f>
        <v>0</v>
      </c>
      <c r="O68" s="29">
        <f>(SUMIFS(终端客户销售统计表!$K:$K,终端客户销售统计表!$L:$L,$B68,终端客户销售统计表!$H:$H,$D68,终端客户销售统计表!$G:$G,"10月")+SUMIFS(终端客户销售统计表!$K:$K,终端客户销售统计表!$L:$L,$B68,终端客户销售统计表!$H:$H,$D68,终端客户销售统计表!$G:$G,"11月")+SUMIFS(终端客户销售统计表!$K:$K,终端客户销售统计表!$L:$L,$B68,终端客户销售统计表!$H:$H,$D68,终端客户销售统计表!$G:$G,"12月"))/10000</f>
        <v>0</v>
      </c>
      <c r="P68" s="29">
        <f>SUM(L68:O68)</f>
        <v>0</v>
      </c>
      <c r="Q68" s="44" t="str">
        <f t="shared" ref="Q68:Q131" si="13">IFERROR(P68/G68,"")</f>
        <v/>
      </c>
      <c r="R68" s="29">
        <f>(SUMIFS('代理商-进货明细表'!$I:$I,'代理商-进货明细表'!$B:$B,'代理商-产品进销存'!$B68,'代理商-进货明细表'!$F:$F,'代理商-产品进销存'!$D68,'代理商-进货明细表'!$E:$E,"1月")+SUMIFS('代理商-进货明细表'!$I:$I,'代理商-进货明细表'!$B:$B,'代理商-产品进销存'!$B68,'代理商-进货明细表'!$F:$F,'代理商-产品进销存'!$D68,'代理商-进货明细表'!$E:$E,"2月")+SUMIFS('代理商-进货明细表'!$I:$I,'代理商-进货明细表'!$B:$B,'代理商-产品进销存'!$B68,'代理商-进货明细表'!$F:$F,'代理商-产品进销存'!$D68,'代理商-进货明细表'!$E:$E,"3月"))/10000</f>
        <v>0</v>
      </c>
      <c r="S68" s="29">
        <f>(SUMIFS('代理商-进货明细表'!$I:$I,'代理商-进货明细表'!$B:$B,'代理商-产品进销存'!$B68,'代理商-进货明细表'!$F:$F,'代理商-产品进销存'!$D68,'代理商-进货明细表'!$E:$E,"4月")+SUMIFS('代理商-进货明细表'!$I:$I,'代理商-进货明细表'!$B:$B,'代理商-产品进销存'!$B68,'代理商-进货明细表'!$F:$F,'代理商-产品进销存'!$D68,'代理商-进货明细表'!$E:$E,"5月")+SUMIFS('代理商-进货明细表'!$I:$I,'代理商-进货明细表'!$B:$B,'代理商-产品进销存'!$B68,'代理商-进货明细表'!$F:$F,'代理商-产品进销存'!$D68,'代理商-进货明细表'!$E:$E,"6月"))/10000</f>
        <v>0</v>
      </c>
      <c r="T68" s="29">
        <f>(SUMIFS('代理商-进货明细表'!$I:$I,'代理商-进货明细表'!$B:$B,'代理商-产品进销存'!$B68,'代理商-进货明细表'!$F:$F,'代理商-产品进销存'!$D68,'代理商-进货明细表'!$E:$E,"7月")+SUMIFS('代理商-进货明细表'!$I:$I,'代理商-进货明细表'!$B:$B,'代理商-产品进销存'!$B68,'代理商-进货明细表'!$F:$F,'代理商-产品进销存'!$D68,'代理商-进货明细表'!$E:$E,"8月")+SUMIFS('代理商-进货明细表'!$I:$I,'代理商-进货明细表'!$B:$B,'代理商-产品进销存'!$B68,'代理商-进货明细表'!$F:$F,'代理商-产品进销存'!$D68,'代理商-进货明细表'!$E:$E,"9月"))/10000</f>
        <v>0</v>
      </c>
      <c r="U68" s="29">
        <f>(SUMIFS('代理商-进货明细表'!$I:$I,'代理商-进货明细表'!$B:$B,'代理商-产品进销存'!$B68,'代理商-进货明细表'!$F:$F,'代理商-产品进销存'!$D68,'代理商-进货明细表'!$E:$E,"10月")+SUMIFS('代理商-进货明细表'!$I:$I,'代理商-进货明细表'!$B:$B,'代理商-产品进销存'!$B68,'代理商-进货明细表'!$F:$F,'代理商-产品进销存'!$D68,'代理商-进货明细表'!$E:$E,"11月")+SUMIFS('代理商-进货明细表'!$I:$I,'代理商-进货明细表'!$B:$B,'代理商-产品进销存'!$B68,'代理商-进货明细表'!$F:$F,'代理商-产品进销存'!$D68,'代理商-进货明细表'!$E:$E,"12月"))/10000</f>
        <v>0</v>
      </c>
      <c r="V68" s="29">
        <f t="shared" ref="V68:V131" si="14">SUM(R68:U68)</f>
        <v>0</v>
      </c>
      <c r="W68" s="29">
        <f t="shared" ref="W68:W131" si="15">R68-L68</f>
        <v>0</v>
      </c>
      <c r="X68" s="29">
        <f t="shared" ref="X68:X131" si="16">S68-M68</f>
        <v>0</v>
      </c>
      <c r="Y68" s="29">
        <f t="shared" ref="Y68:Y131" si="17">T68-N68</f>
        <v>0</v>
      </c>
      <c r="Z68" s="29">
        <f t="shared" ref="Z68:Z131" si="18">U68-O68</f>
        <v>0</v>
      </c>
      <c r="AA68" s="29">
        <f t="shared" ref="AA68:AA131" si="19">SUM(W68:Z68)</f>
        <v>0</v>
      </c>
    </row>
    <row r="69" spans="1:27" x14ac:dyDescent="0.3">
      <c r="A69" s="2" t="s">
        <v>177</v>
      </c>
      <c r="B69" s="2" t="s">
        <v>99</v>
      </c>
      <c r="D69" s="3" t="s">
        <v>16</v>
      </c>
      <c r="L69" s="29">
        <f>(SUMIFS(终端客户销售统计表!$K:$K,终端客户销售统计表!$L:$L,$B69,终端客户销售统计表!$H:$H,$D69,终端客户销售统计表!$G:$G,"1月")+SUMIFS(终端客户销售统计表!$K:$K,终端客户销售统计表!$L:$L,$B69,终端客户销售统计表!$H:$H,$D69,终端客户销售统计表!$G:$G,"2月")+SUMIFS(终端客户销售统计表!$K:$K,终端客户销售统计表!$L:$L,$B69,终端客户销售统计表!$H:$H,$D69,终端客户销售统计表!$G:$G,"3月"))/10000</f>
        <v>0</v>
      </c>
      <c r="M69" s="29">
        <f>(SUMIFS(终端客户销售统计表!$K:$K,终端客户销售统计表!$L:$L,$B69,终端客户销售统计表!$H:$H,$D69,终端客户销售统计表!$G:$G,"4月")+SUMIFS(终端客户销售统计表!$K:$K,终端客户销售统计表!$L:$L,$B69,终端客户销售统计表!$H:$H,$D69,终端客户销售统计表!$G:$G,"5月")+SUMIFS(终端客户销售统计表!$K:$K,终端客户销售统计表!$L:$L,$B69,终端客户销售统计表!$H:$H,$D69,终端客户销售统计表!$G:$G,"6月"))/10000</f>
        <v>0</v>
      </c>
      <c r="N69" s="29">
        <f>(SUMIFS(终端客户销售统计表!$K:$K,终端客户销售统计表!$L:$L,$B69,终端客户销售统计表!$H:$H,$D69,终端客户销售统计表!$G:$G,"7月")+SUMIFS(终端客户销售统计表!$K:$K,终端客户销售统计表!$L:$L,$B69,终端客户销售统计表!$H:$H,$D69,终端客户销售统计表!$G:$G,"8月")+SUMIFS(终端客户销售统计表!$K:$K,终端客户销售统计表!$L:$L,$B69,终端客户销售统计表!$H:$H,$D69,终端客户销售统计表!$G:$G,"9月"))/10000</f>
        <v>0</v>
      </c>
      <c r="O69" s="29">
        <f>(SUMIFS(终端客户销售统计表!$K:$K,终端客户销售统计表!$L:$L,$B69,终端客户销售统计表!$H:$H,$D69,终端客户销售统计表!$G:$G,"10月")+SUMIFS(终端客户销售统计表!$K:$K,终端客户销售统计表!$L:$L,$B69,终端客户销售统计表!$H:$H,$D69,终端客户销售统计表!$G:$G,"11月")+SUMIFS(终端客户销售统计表!$K:$K,终端客户销售统计表!$L:$L,$B69,终端客户销售统计表!$H:$H,$D69,终端客户销售统计表!$G:$G,"12月"))/10000</f>
        <v>0</v>
      </c>
      <c r="P69" s="29">
        <f>SUM(L69:O69)</f>
        <v>0</v>
      </c>
      <c r="Q69" s="44" t="str">
        <f t="shared" si="13"/>
        <v/>
      </c>
      <c r="R69" s="29">
        <f>(SUMIFS('代理商-进货明细表'!$I:$I,'代理商-进货明细表'!$B:$B,'代理商-产品进销存'!$B69,'代理商-进货明细表'!$F:$F,'代理商-产品进销存'!$D69,'代理商-进货明细表'!$E:$E,"1月")+SUMIFS('代理商-进货明细表'!$I:$I,'代理商-进货明细表'!$B:$B,'代理商-产品进销存'!$B69,'代理商-进货明细表'!$F:$F,'代理商-产品进销存'!$D69,'代理商-进货明细表'!$E:$E,"2月")+SUMIFS('代理商-进货明细表'!$I:$I,'代理商-进货明细表'!$B:$B,'代理商-产品进销存'!$B69,'代理商-进货明细表'!$F:$F,'代理商-产品进销存'!$D69,'代理商-进货明细表'!$E:$E,"3月"))/10000</f>
        <v>0</v>
      </c>
      <c r="S69" s="29">
        <f>(SUMIFS('代理商-进货明细表'!$I:$I,'代理商-进货明细表'!$B:$B,'代理商-产品进销存'!$B69,'代理商-进货明细表'!$F:$F,'代理商-产品进销存'!$D69,'代理商-进货明细表'!$E:$E,"4月")+SUMIFS('代理商-进货明细表'!$I:$I,'代理商-进货明细表'!$B:$B,'代理商-产品进销存'!$B69,'代理商-进货明细表'!$F:$F,'代理商-产品进销存'!$D69,'代理商-进货明细表'!$E:$E,"5月")+SUMIFS('代理商-进货明细表'!$I:$I,'代理商-进货明细表'!$B:$B,'代理商-产品进销存'!$B69,'代理商-进货明细表'!$F:$F,'代理商-产品进销存'!$D69,'代理商-进货明细表'!$E:$E,"6月"))/10000</f>
        <v>0</v>
      </c>
      <c r="T69" s="29">
        <f>(SUMIFS('代理商-进货明细表'!$I:$I,'代理商-进货明细表'!$B:$B,'代理商-产品进销存'!$B69,'代理商-进货明细表'!$F:$F,'代理商-产品进销存'!$D69,'代理商-进货明细表'!$E:$E,"7月")+SUMIFS('代理商-进货明细表'!$I:$I,'代理商-进货明细表'!$B:$B,'代理商-产品进销存'!$B69,'代理商-进货明细表'!$F:$F,'代理商-产品进销存'!$D69,'代理商-进货明细表'!$E:$E,"8月")+SUMIFS('代理商-进货明细表'!$I:$I,'代理商-进货明细表'!$B:$B,'代理商-产品进销存'!$B69,'代理商-进货明细表'!$F:$F,'代理商-产品进销存'!$D69,'代理商-进货明细表'!$E:$E,"9月"))/10000</f>
        <v>0</v>
      </c>
      <c r="U69" s="29">
        <f>(SUMIFS('代理商-进货明细表'!$I:$I,'代理商-进货明细表'!$B:$B,'代理商-产品进销存'!$B69,'代理商-进货明细表'!$F:$F,'代理商-产品进销存'!$D69,'代理商-进货明细表'!$E:$E,"10月")+SUMIFS('代理商-进货明细表'!$I:$I,'代理商-进货明细表'!$B:$B,'代理商-产品进销存'!$B69,'代理商-进货明细表'!$F:$F,'代理商-产品进销存'!$D69,'代理商-进货明细表'!$E:$E,"11月")+SUMIFS('代理商-进货明细表'!$I:$I,'代理商-进货明细表'!$B:$B,'代理商-产品进销存'!$B69,'代理商-进货明细表'!$F:$F,'代理商-产品进销存'!$D69,'代理商-进货明细表'!$E:$E,"12月"))/10000</f>
        <v>0</v>
      </c>
      <c r="V69" s="29">
        <f t="shared" si="14"/>
        <v>0</v>
      </c>
      <c r="W69" s="29">
        <f t="shared" si="15"/>
        <v>0</v>
      </c>
      <c r="X69" s="29">
        <f t="shared" si="16"/>
        <v>0</v>
      </c>
      <c r="Y69" s="29">
        <f t="shared" si="17"/>
        <v>0</v>
      </c>
      <c r="Z69" s="29">
        <f t="shared" si="18"/>
        <v>0</v>
      </c>
      <c r="AA69" s="29">
        <f t="shared" si="19"/>
        <v>0</v>
      </c>
    </row>
    <row r="70" spans="1:27" x14ac:dyDescent="0.3">
      <c r="A70" s="2" t="s">
        <v>177</v>
      </c>
      <c r="B70" s="2" t="s">
        <v>99</v>
      </c>
      <c r="D70" s="3" t="s">
        <v>17</v>
      </c>
      <c r="L70" s="29">
        <f>(SUMIFS(终端客户销售统计表!$K:$K,终端客户销售统计表!$L:$L,$B70,终端客户销售统计表!$H:$H,$D70,终端客户销售统计表!$G:$G,"1月")+SUMIFS(终端客户销售统计表!$K:$K,终端客户销售统计表!$L:$L,$B70,终端客户销售统计表!$H:$H,$D70,终端客户销售统计表!$G:$G,"2月")+SUMIFS(终端客户销售统计表!$K:$K,终端客户销售统计表!$L:$L,$B70,终端客户销售统计表!$H:$H,$D70,终端客户销售统计表!$G:$G,"3月"))/10000</f>
        <v>0</v>
      </c>
      <c r="M70" s="29">
        <f>(SUMIFS(终端客户销售统计表!$K:$K,终端客户销售统计表!$L:$L,$B70,终端客户销售统计表!$H:$H,$D70,终端客户销售统计表!$G:$G,"4月")+SUMIFS(终端客户销售统计表!$K:$K,终端客户销售统计表!$L:$L,$B70,终端客户销售统计表!$H:$H,$D70,终端客户销售统计表!$G:$G,"5月")+SUMIFS(终端客户销售统计表!$K:$K,终端客户销售统计表!$L:$L,$B70,终端客户销售统计表!$H:$H,$D70,终端客户销售统计表!$G:$G,"6月"))/10000</f>
        <v>0</v>
      </c>
      <c r="N70" s="29">
        <f>(SUMIFS(终端客户销售统计表!$K:$K,终端客户销售统计表!$L:$L,$B70,终端客户销售统计表!$H:$H,$D70,终端客户销售统计表!$G:$G,"7月")+SUMIFS(终端客户销售统计表!$K:$K,终端客户销售统计表!$L:$L,$B70,终端客户销售统计表!$H:$H,$D70,终端客户销售统计表!$G:$G,"8月")+SUMIFS(终端客户销售统计表!$K:$K,终端客户销售统计表!$L:$L,$B70,终端客户销售统计表!$H:$H,$D70,终端客户销售统计表!$G:$G,"9月"))/10000</f>
        <v>0</v>
      </c>
      <c r="O70" s="29">
        <f>(SUMIFS(终端客户销售统计表!$K:$K,终端客户销售统计表!$L:$L,$B70,终端客户销售统计表!$H:$H,$D70,终端客户销售统计表!$G:$G,"10月")+SUMIFS(终端客户销售统计表!$K:$K,终端客户销售统计表!$L:$L,$B70,终端客户销售统计表!$H:$H,$D70,终端客户销售统计表!$G:$G,"11月")+SUMIFS(终端客户销售统计表!$K:$K,终端客户销售统计表!$L:$L,$B70,终端客户销售统计表!$H:$H,$D70,终端客户销售统计表!$G:$G,"12月"))/10000</f>
        <v>0</v>
      </c>
      <c r="P70" s="29">
        <f>SUM(L70:O70)</f>
        <v>0</v>
      </c>
      <c r="Q70" s="44" t="str">
        <f t="shared" si="13"/>
        <v/>
      </c>
      <c r="R70" s="29">
        <f>(SUMIFS('代理商-进货明细表'!$I:$I,'代理商-进货明细表'!$B:$B,'代理商-产品进销存'!$B70,'代理商-进货明细表'!$F:$F,'代理商-产品进销存'!$D70,'代理商-进货明细表'!$E:$E,"1月")+SUMIFS('代理商-进货明细表'!$I:$I,'代理商-进货明细表'!$B:$B,'代理商-产品进销存'!$B70,'代理商-进货明细表'!$F:$F,'代理商-产品进销存'!$D70,'代理商-进货明细表'!$E:$E,"2月")+SUMIFS('代理商-进货明细表'!$I:$I,'代理商-进货明细表'!$B:$B,'代理商-产品进销存'!$B70,'代理商-进货明细表'!$F:$F,'代理商-产品进销存'!$D70,'代理商-进货明细表'!$E:$E,"3月"))/10000</f>
        <v>0</v>
      </c>
      <c r="S70" s="29">
        <f>(SUMIFS('代理商-进货明细表'!$I:$I,'代理商-进货明细表'!$B:$B,'代理商-产品进销存'!$B70,'代理商-进货明细表'!$F:$F,'代理商-产品进销存'!$D70,'代理商-进货明细表'!$E:$E,"4月")+SUMIFS('代理商-进货明细表'!$I:$I,'代理商-进货明细表'!$B:$B,'代理商-产品进销存'!$B70,'代理商-进货明细表'!$F:$F,'代理商-产品进销存'!$D70,'代理商-进货明细表'!$E:$E,"5月")+SUMIFS('代理商-进货明细表'!$I:$I,'代理商-进货明细表'!$B:$B,'代理商-产品进销存'!$B70,'代理商-进货明细表'!$F:$F,'代理商-产品进销存'!$D70,'代理商-进货明细表'!$E:$E,"6月"))/10000</f>
        <v>0</v>
      </c>
      <c r="T70" s="29">
        <f>(SUMIFS('代理商-进货明细表'!$I:$I,'代理商-进货明细表'!$B:$B,'代理商-产品进销存'!$B70,'代理商-进货明细表'!$F:$F,'代理商-产品进销存'!$D70,'代理商-进货明细表'!$E:$E,"7月")+SUMIFS('代理商-进货明细表'!$I:$I,'代理商-进货明细表'!$B:$B,'代理商-产品进销存'!$B70,'代理商-进货明细表'!$F:$F,'代理商-产品进销存'!$D70,'代理商-进货明细表'!$E:$E,"8月")+SUMIFS('代理商-进货明细表'!$I:$I,'代理商-进货明细表'!$B:$B,'代理商-产品进销存'!$B70,'代理商-进货明细表'!$F:$F,'代理商-产品进销存'!$D70,'代理商-进货明细表'!$E:$E,"9月"))/10000</f>
        <v>0</v>
      </c>
      <c r="U70" s="29">
        <f>(SUMIFS('代理商-进货明细表'!$I:$I,'代理商-进货明细表'!$B:$B,'代理商-产品进销存'!$B70,'代理商-进货明细表'!$F:$F,'代理商-产品进销存'!$D70,'代理商-进货明细表'!$E:$E,"10月")+SUMIFS('代理商-进货明细表'!$I:$I,'代理商-进货明细表'!$B:$B,'代理商-产品进销存'!$B70,'代理商-进货明细表'!$F:$F,'代理商-产品进销存'!$D70,'代理商-进货明细表'!$E:$E,"11月")+SUMIFS('代理商-进货明细表'!$I:$I,'代理商-进货明细表'!$B:$B,'代理商-产品进销存'!$B70,'代理商-进货明细表'!$F:$F,'代理商-产品进销存'!$D70,'代理商-进货明细表'!$E:$E,"12月"))/10000</f>
        <v>0</v>
      </c>
      <c r="V70" s="29">
        <f t="shared" si="14"/>
        <v>0</v>
      </c>
      <c r="W70" s="29">
        <f t="shared" si="15"/>
        <v>0</v>
      </c>
      <c r="X70" s="29">
        <f t="shared" si="16"/>
        <v>0</v>
      </c>
      <c r="Y70" s="29">
        <f t="shared" si="17"/>
        <v>0</v>
      </c>
      <c r="Z70" s="29">
        <f t="shared" si="18"/>
        <v>0</v>
      </c>
      <c r="AA70" s="29">
        <f t="shared" si="19"/>
        <v>0</v>
      </c>
    </row>
    <row r="71" spans="1:27" x14ac:dyDescent="0.3">
      <c r="A71" s="2" t="s">
        <v>178</v>
      </c>
      <c r="B71" s="2" t="s">
        <v>100</v>
      </c>
      <c r="D71" s="3" t="s">
        <v>14</v>
      </c>
      <c r="L71" s="29">
        <f>(SUMIFS(终端客户销售统计表!$K:$K,终端客户销售统计表!$L:$L,$B71,终端客户销售统计表!$H:$H,$D71,终端客户销售统计表!$G:$G,"1月")+SUMIFS(终端客户销售统计表!$K:$K,终端客户销售统计表!$L:$L,$B71,终端客户销售统计表!$H:$H,$D71,终端客户销售统计表!$G:$G,"2月")+SUMIFS(终端客户销售统计表!$K:$K,终端客户销售统计表!$L:$L,$B71,终端客户销售统计表!$H:$H,$D71,终端客户销售统计表!$G:$G,"3月"))/10000</f>
        <v>0</v>
      </c>
      <c r="M71" s="29">
        <f>(SUMIFS(终端客户销售统计表!$K:$K,终端客户销售统计表!$L:$L,$B71,终端客户销售统计表!$H:$H,$D71,终端客户销售统计表!$G:$G,"4月")+SUMIFS(终端客户销售统计表!$K:$K,终端客户销售统计表!$L:$L,$B71,终端客户销售统计表!$H:$H,$D71,终端客户销售统计表!$G:$G,"5月")+SUMIFS(终端客户销售统计表!$K:$K,终端客户销售统计表!$L:$L,$B71,终端客户销售统计表!$H:$H,$D71,终端客户销售统计表!$G:$G,"6月"))/10000</f>
        <v>0</v>
      </c>
      <c r="N71" s="29">
        <f>(SUMIFS(终端客户销售统计表!$K:$K,终端客户销售统计表!$L:$L,$B71,终端客户销售统计表!$H:$H,$D71,终端客户销售统计表!$G:$G,"7月")+SUMIFS(终端客户销售统计表!$K:$K,终端客户销售统计表!$L:$L,$B71,终端客户销售统计表!$H:$H,$D71,终端客户销售统计表!$G:$G,"8月")+SUMIFS(终端客户销售统计表!$K:$K,终端客户销售统计表!$L:$L,$B71,终端客户销售统计表!$H:$H,$D71,终端客户销售统计表!$G:$G,"9月"))/10000</f>
        <v>0</v>
      </c>
      <c r="O71" s="29">
        <f>(SUMIFS(终端客户销售统计表!$K:$K,终端客户销售统计表!$L:$L,$B71,终端客户销售统计表!$H:$H,$D71,终端客户销售统计表!$G:$G,"10月")+SUMIFS(终端客户销售统计表!$K:$K,终端客户销售统计表!$L:$L,$B71,终端客户销售统计表!$H:$H,$D71,终端客户销售统计表!$G:$G,"11月")+SUMIFS(终端客户销售统计表!$K:$K,终端客户销售统计表!$L:$L,$B71,终端客户销售统计表!$H:$H,$D71,终端客户销售统计表!$G:$G,"12月"))/10000</f>
        <v>0</v>
      </c>
      <c r="P71" s="29">
        <f>SUM(L71:O71)</f>
        <v>0</v>
      </c>
      <c r="Q71" s="44" t="str">
        <f t="shared" si="13"/>
        <v/>
      </c>
      <c r="R71" s="29">
        <f>(SUMIFS('代理商-进货明细表'!$I:$I,'代理商-进货明细表'!$B:$B,'代理商-产品进销存'!$B71,'代理商-进货明细表'!$F:$F,'代理商-产品进销存'!$D71,'代理商-进货明细表'!$E:$E,"1月")+SUMIFS('代理商-进货明细表'!$I:$I,'代理商-进货明细表'!$B:$B,'代理商-产品进销存'!$B71,'代理商-进货明细表'!$F:$F,'代理商-产品进销存'!$D71,'代理商-进货明细表'!$E:$E,"2月")+SUMIFS('代理商-进货明细表'!$I:$I,'代理商-进货明细表'!$B:$B,'代理商-产品进销存'!$B71,'代理商-进货明细表'!$F:$F,'代理商-产品进销存'!$D71,'代理商-进货明细表'!$E:$E,"3月"))/10000</f>
        <v>0</v>
      </c>
      <c r="S71" s="29">
        <f>(SUMIFS('代理商-进货明细表'!$I:$I,'代理商-进货明细表'!$B:$B,'代理商-产品进销存'!$B71,'代理商-进货明细表'!$F:$F,'代理商-产品进销存'!$D71,'代理商-进货明细表'!$E:$E,"4月")+SUMIFS('代理商-进货明细表'!$I:$I,'代理商-进货明细表'!$B:$B,'代理商-产品进销存'!$B71,'代理商-进货明细表'!$F:$F,'代理商-产品进销存'!$D71,'代理商-进货明细表'!$E:$E,"5月")+SUMIFS('代理商-进货明细表'!$I:$I,'代理商-进货明细表'!$B:$B,'代理商-产品进销存'!$B71,'代理商-进货明细表'!$F:$F,'代理商-产品进销存'!$D71,'代理商-进货明细表'!$E:$E,"6月"))/10000</f>
        <v>0</v>
      </c>
      <c r="T71" s="29">
        <f>(SUMIFS('代理商-进货明细表'!$I:$I,'代理商-进货明细表'!$B:$B,'代理商-产品进销存'!$B71,'代理商-进货明细表'!$F:$F,'代理商-产品进销存'!$D71,'代理商-进货明细表'!$E:$E,"7月")+SUMIFS('代理商-进货明细表'!$I:$I,'代理商-进货明细表'!$B:$B,'代理商-产品进销存'!$B71,'代理商-进货明细表'!$F:$F,'代理商-产品进销存'!$D71,'代理商-进货明细表'!$E:$E,"8月")+SUMIFS('代理商-进货明细表'!$I:$I,'代理商-进货明细表'!$B:$B,'代理商-产品进销存'!$B71,'代理商-进货明细表'!$F:$F,'代理商-产品进销存'!$D71,'代理商-进货明细表'!$E:$E,"9月"))/10000</f>
        <v>0</v>
      </c>
      <c r="U71" s="29">
        <f>(SUMIFS('代理商-进货明细表'!$I:$I,'代理商-进货明细表'!$B:$B,'代理商-产品进销存'!$B71,'代理商-进货明细表'!$F:$F,'代理商-产品进销存'!$D71,'代理商-进货明细表'!$E:$E,"10月")+SUMIFS('代理商-进货明细表'!$I:$I,'代理商-进货明细表'!$B:$B,'代理商-产品进销存'!$B71,'代理商-进货明细表'!$F:$F,'代理商-产品进销存'!$D71,'代理商-进货明细表'!$E:$E,"11月")+SUMIFS('代理商-进货明细表'!$I:$I,'代理商-进货明细表'!$B:$B,'代理商-产品进销存'!$B71,'代理商-进货明细表'!$F:$F,'代理商-产品进销存'!$D71,'代理商-进货明细表'!$E:$E,"12月"))/10000</f>
        <v>0</v>
      </c>
      <c r="V71" s="29">
        <f t="shared" si="14"/>
        <v>0</v>
      </c>
      <c r="W71" s="29">
        <f t="shared" si="15"/>
        <v>0</v>
      </c>
      <c r="X71" s="29">
        <f t="shared" si="16"/>
        <v>0</v>
      </c>
      <c r="Y71" s="29">
        <f t="shared" si="17"/>
        <v>0</v>
      </c>
      <c r="Z71" s="29">
        <f t="shared" si="18"/>
        <v>0</v>
      </c>
      <c r="AA71" s="29">
        <f t="shared" si="19"/>
        <v>0</v>
      </c>
    </row>
    <row r="72" spans="1:27" x14ac:dyDescent="0.3">
      <c r="A72" s="2" t="s">
        <v>178</v>
      </c>
      <c r="B72" s="2" t="s">
        <v>100</v>
      </c>
      <c r="D72" s="3" t="s">
        <v>15</v>
      </c>
      <c r="L72" s="29">
        <f>(SUMIFS(终端客户销售统计表!$K:$K,终端客户销售统计表!$L:$L,$B72,终端客户销售统计表!$H:$H,$D72,终端客户销售统计表!$G:$G,"1月")+SUMIFS(终端客户销售统计表!$K:$K,终端客户销售统计表!$L:$L,$B72,终端客户销售统计表!$H:$H,$D72,终端客户销售统计表!$G:$G,"2月")+SUMIFS(终端客户销售统计表!$K:$K,终端客户销售统计表!$L:$L,$B72,终端客户销售统计表!$H:$H,$D72,终端客户销售统计表!$G:$G,"3月"))/10000</f>
        <v>0</v>
      </c>
      <c r="M72" s="29">
        <f>(SUMIFS(终端客户销售统计表!$K:$K,终端客户销售统计表!$L:$L,$B72,终端客户销售统计表!$H:$H,$D72,终端客户销售统计表!$G:$G,"4月")+SUMIFS(终端客户销售统计表!$K:$K,终端客户销售统计表!$L:$L,$B72,终端客户销售统计表!$H:$H,$D72,终端客户销售统计表!$G:$G,"5月")+SUMIFS(终端客户销售统计表!$K:$K,终端客户销售统计表!$L:$L,$B72,终端客户销售统计表!$H:$H,$D72,终端客户销售统计表!$G:$G,"6月"))/10000</f>
        <v>0</v>
      </c>
      <c r="N72" s="29">
        <f>(SUMIFS(终端客户销售统计表!$K:$K,终端客户销售统计表!$L:$L,$B72,终端客户销售统计表!$H:$H,$D72,终端客户销售统计表!$G:$G,"7月")+SUMIFS(终端客户销售统计表!$K:$K,终端客户销售统计表!$L:$L,$B72,终端客户销售统计表!$H:$H,$D72,终端客户销售统计表!$G:$G,"8月")+SUMIFS(终端客户销售统计表!$K:$K,终端客户销售统计表!$L:$L,$B72,终端客户销售统计表!$H:$H,$D72,终端客户销售统计表!$G:$G,"9月"))/10000</f>
        <v>0</v>
      </c>
      <c r="O72" s="29">
        <f>(SUMIFS(终端客户销售统计表!$K:$K,终端客户销售统计表!$L:$L,$B72,终端客户销售统计表!$H:$H,$D72,终端客户销售统计表!$G:$G,"10月")+SUMIFS(终端客户销售统计表!$K:$K,终端客户销售统计表!$L:$L,$B72,终端客户销售统计表!$H:$H,$D72,终端客户销售统计表!$G:$G,"11月")+SUMIFS(终端客户销售统计表!$K:$K,终端客户销售统计表!$L:$L,$B72,终端客户销售统计表!$H:$H,$D72,终端客户销售统计表!$G:$G,"12月"))/10000</f>
        <v>0</v>
      </c>
      <c r="P72" s="29">
        <f>SUM(L72:O72)</f>
        <v>0</v>
      </c>
      <c r="Q72" s="44" t="str">
        <f t="shared" si="13"/>
        <v/>
      </c>
      <c r="R72" s="29">
        <f>(SUMIFS('代理商-进货明细表'!$I:$I,'代理商-进货明细表'!$B:$B,'代理商-产品进销存'!$B72,'代理商-进货明细表'!$F:$F,'代理商-产品进销存'!$D72,'代理商-进货明细表'!$E:$E,"1月")+SUMIFS('代理商-进货明细表'!$I:$I,'代理商-进货明细表'!$B:$B,'代理商-产品进销存'!$B72,'代理商-进货明细表'!$F:$F,'代理商-产品进销存'!$D72,'代理商-进货明细表'!$E:$E,"2月")+SUMIFS('代理商-进货明细表'!$I:$I,'代理商-进货明细表'!$B:$B,'代理商-产品进销存'!$B72,'代理商-进货明细表'!$F:$F,'代理商-产品进销存'!$D72,'代理商-进货明细表'!$E:$E,"3月"))/10000</f>
        <v>0</v>
      </c>
      <c r="S72" s="29">
        <f>(SUMIFS('代理商-进货明细表'!$I:$I,'代理商-进货明细表'!$B:$B,'代理商-产品进销存'!$B72,'代理商-进货明细表'!$F:$F,'代理商-产品进销存'!$D72,'代理商-进货明细表'!$E:$E,"4月")+SUMIFS('代理商-进货明细表'!$I:$I,'代理商-进货明细表'!$B:$B,'代理商-产品进销存'!$B72,'代理商-进货明细表'!$F:$F,'代理商-产品进销存'!$D72,'代理商-进货明细表'!$E:$E,"5月")+SUMIFS('代理商-进货明细表'!$I:$I,'代理商-进货明细表'!$B:$B,'代理商-产品进销存'!$B72,'代理商-进货明细表'!$F:$F,'代理商-产品进销存'!$D72,'代理商-进货明细表'!$E:$E,"6月"))/10000</f>
        <v>0</v>
      </c>
      <c r="T72" s="29">
        <f>(SUMIFS('代理商-进货明细表'!$I:$I,'代理商-进货明细表'!$B:$B,'代理商-产品进销存'!$B72,'代理商-进货明细表'!$F:$F,'代理商-产品进销存'!$D72,'代理商-进货明细表'!$E:$E,"7月")+SUMIFS('代理商-进货明细表'!$I:$I,'代理商-进货明细表'!$B:$B,'代理商-产品进销存'!$B72,'代理商-进货明细表'!$F:$F,'代理商-产品进销存'!$D72,'代理商-进货明细表'!$E:$E,"8月")+SUMIFS('代理商-进货明细表'!$I:$I,'代理商-进货明细表'!$B:$B,'代理商-产品进销存'!$B72,'代理商-进货明细表'!$F:$F,'代理商-产品进销存'!$D72,'代理商-进货明细表'!$E:$E,"9月"))/10000</f>
        <v>0</v>
      </c>
      <c r="U72" s="29">
        <f>(SUMIFS('代理商-进货明细表'!$I:$I,'代理商-进货明细表'!$B:$B,'代理商-产品进销存'!$B72,'代理商-进货明细表'!$F:$F,'代理商-产品进销存'!$D72,'代理商-进货明细表'!$E:$E,"10月")+SUMIFS('代理商-进货明细表'!$I:$I,'代理商-进货明细表'!$B:$B,'代理商-产品进销存'!$B72,'代理商-进货明细表'!$F:$F,'代理商-产品进销存'!$D72,'代理商-进货明细表'!$E:$E,"11月")+SUMIFS('代理商-进货明细表'!$I:$I,'代理商-进货明细表'!$B:$B,'代理商-产品进销存'!$B72,'代理商-进货明细表'!$F:$F,'代理商-产品进销存'!$D72,'代理商-进货明细表'!$E:$E,"12月"))/10000</f>
        <v>0</v>
      </c>
      <c r="V72" s="29">
        <f t="shared" si="14"/>
        <v>0</v>
      </c>
      <c r="W72" s="29">
        <f t="shared" si="15"/>
        <v>0</v>
      </c>
      <c r="X72" s="29">
        <f t="shared" si="16"/>
        <v>0</v>
      </c>
      <c r="Y72" s="29">
        <f t="shared" si="17"/>
        <v>0</v>
      </c>
      <c r="Z72" s="29">
        <f t="shared" si="18"/>
        <v>0</v>
      </c>
      <c r="AA72" s="29">
        <f t="shared" si="19"/>
        <v>0</v>
      </c>
    </row>
    <row r="73" spans="1:27" x14ac:dyDescent="0.3">
      <c r="A73" s="2" t="s">
        <v>178</v>
      </c>
      <c r="B73" s="2" t="s">
        <v>100</v>
      </c>
      <c r="D73" s="3" t="s">
        <v>16</v>
      </c>
      <c r="L73" s="29">
        <f>(SUMIFS(终端客户销售统计表!$K:$K,终端客户销售统计表!$L:$L,$B73,终端客户销售统计表!$H:$H,$D73,终端客户销售统计表!$G:$G,"1月")+SUMIFS(终端客户销售统计表!$K:$K,终端客户销售统计表!$L:$L,$B73,终端客户销售统计表!$H:$H,$D73,终端客户销售统计表!$G:$G,"2月")+SUMIFS(终端客户销售统计表!$K:$K,终端客户销售统计表!$L:$L,$B73,终端客户销售统计表!$H:$H,$D73,终端客户销售统计表!$G:$G,"3月"))/10000</f>
        <v>0</v>
      </c>
      <c r="M73" s="29">
        <f>(SUMIFS(终端客户销售统计表!$K:$K,终端客户销售统计表!$L:$L,$B73,终端客户销售统计表!$H:$H,$D73,终端客户销售统计表!$G:$G,"4月")+SUMIFS(终端客户销售统计表!$K:$K,终端客户销售统计表!$L:$L,$B73,终端客户销售统计表!$H:$H,$D73,终端客户销售统计表!$G:$G,"5月")+SUMIFS(终端客户销售统计表!$K:$K,终端客户销售统计表!$L:$L,$B73,终端客户销售统计表!$H:$H,$D73,终端客户销售统计表!$G:$G,"6月"))/10000</f>
        <v>0</v>
      </c>
      <c r="N73" s="29">
        <f>(SUMIFS(终端客户销售统计表!$K:$K,终端客户销售统计表!$L:$L,$B73,终端客户销售统计表!$H:$H,$D73,终端客户销售统计表!$G:$G,"7月")+SUMIFS(终端客户销售统计表!$K:$K,终端客户销售统计表!$L:$L,$B73,终端客户销售统计表!$H:$H,$D73,终端客户销售统计表!$G:$G,"8月")+SUMIFS(终端客户销售统计表!$K:$K,终端客户销售统计表!$L:$L,$B73,终端客户销售统计表!$H:$H,$D73,终端客户销售统计表!$G:$G,"9月"))/10000</f>
        <v>0</v>
      </c>
      <c r="O73" s="29">
        <f>(SUMIFS(终端客户销售统计表!$K:$K,终端客户销售统计表!$L:$L,$B73,终端客户销售统计表!$H:$H,$D73,终端客户销售统计表!$G:$G,"10月")+SUMIFS(终端客户销售统计表!$K:$K,终端客户销售统计表!$L:$L,$B73,终端客户销售统计表!$H:$H,$D73,终端客户销售统计表!$G:$G,"11月")+SUMIFS(终端客户销售统计表!$K:$K,终端客户销售统计表!$L:$L,$B73,终端客户销售统计表!$H:$H,$D73,终端客户销售统计表!$G:$G,"12月"))/10000</f>
        <v>0</v>
      </c>
      <c r="P73" s="29">
        <f>SUM(L73:O73)</f>
        <v>0</v>
      </c>
      <c r="Q73" s="44" t="str">
        <f t="shared" si="13"/>
        <v/>
      </c>
      <c r="R73" s="29">
        <f>(SUMIFS('代理商-进货明细表'!$I:$I,'代理商-进货明细表'!$B:$B,'代理商-产品进销存'!$B73,'代理商-进货明细表'!$F:$F,'代理商-产品进销存'!$D73,'代理商-进货明细表'!$E:$E,"1月")+SUMIFS('代理商-进货明细表'!$I:$I,'代理商-进货明细表'!$B:$B,'代理商-产品进销存'!$B73,'代理商-进货明细表'!$F:$F,'代理商-产品进销存'!$D73,'代理商-进货明细表'!$E:$E,"2月")+SUMIFS('代理商-进货明细表'!$I:$I,'代理商-进货明细表'!$B:$B,'代理商-产品进销存'!$B73,'代理商-进货明细表'!$F:$F,'代理商-产品进销存'!$D73,'代理商-进货明细表'!$E:$E,"3月"))/10000</f>
        <v>0</v>
      </c>
      <c r="S73" s="29">
        <f>(SUMIFS('代理商-进货明细表'!$I:$I,'代理商-进货明细表'!$B:$B,'代理商-产品进销存'!$B73,'代理商-进货明细表'!$F:$F,'代理商-产品进销存'!$D73,'代理商-进货明细表'!$E:$E,"4月")+SUMIFS('代理商-进货明细表'!$I:$I,'代理商-进货明细表'!$B:$B,'代理商-产品进销存'!$B73,'代理商-进货明细表'!$F:$F,'代理商-产品进销存'!$D73,'代理商-进货明细表'!$E:$E,"5月")+SUMIFS('代理商-进货明细表'!$I:$I,'代理商-进货明细表'!$B:$B,'代理商-产品进销存'!$B73,'代理商-进货明细表'!$F:$F,'代理商-产品进销存'!$D73,'代理商-进货明细表'!$E:$E,"6月"))/10000</f>
        <v>0</v>
      </c>
      <c r="T73" s="29">
        <f>(SUMIFS('代理商-进货明细表'!$I:$I,'代理商-进货明细表'!$B:$B,'代理商-产品进销存'!$B73,'代理商-进货明细表'!$F:$F,'代理商-产品进销存'!$D73,'代理商-进货明细表'!$E:$E,"7月")+SUMIFS('代理商-进货明细表'!$I:$I,'代理商-进货明细表'!$B:$B,'代理商-产品进销存'!$B73,'代理商-进货明细表'!$F:$F,'代理商-产品进销存'!$D73,'代理商-进货明细表'!$E:$E,"8月")+SUMIFS('代理商-进货明细表'!$I:$I,'代理商-进货明细表'!$B:$B,'代理商-产品进销存'!$B73,'代理商-进货明细表'!$F:$F,'代理商-产品进销存'!$D73,'代理商-进货明细表'!$E:$E,"9月"))/10000</f>
        <v>0</v>
      </c>
      <c r="U73" s="29">
        <f>(SUMIFS('代理商-进货明细表'!$I:$I,'代理商-进货明细表'!$B:$B,'代理商-产品进销存'!$B73,'代理商-进货明细表'!$F:$F,'代理商-产品进销存'!$D73,'代理商-进货明细表'!$E:$E,"10月")+SUMIFS('代理商-进货明细表'!$I:$I,'代理商-进货明细表'!$B:$B,'代理商-产品进销存'!$B73,'代理商-进货明细表'!$F:$F,'代理商-产品进销存'!$D73,'代理商-进货明细表'!$E:$E,"11月")+SUMIFS('代理商-进货明细表'!$I:$I,'代理商-进货明细表'!$B:$B,'代理商-产品进销存'!$B73,'代理商-进货明细表'!$F:$F,'代理商-产品进销存'!$D73,'代理商-进货明细表'!$E:$E,"12月"))/10000</f>
        <v>0</v>
      </c>
      <c r="V73" s="29">
        <f t="shared" si="14"/>
        <v>0</v>
      </c>
      <c r="W73" s="29">
        <f t="shared" si="15"/>
        <v>0</v>
      </c>
      <c r="X73" s="29">
        <f t="shared" si="16"/>
        <v>0</v>
      </c>
      <c r="Y73" s="29">
        <f t="shared" si="17"/>
        <v>0</v>
      </c>
      <c r="Z73" s="29">
        <f t="shared" si="18"/>
        <v>0</v>
      </c>
      <c r="AA73" s="29">
        <f t="shared" si="19"/>
        <v>0</v>
      </c>
    </row>
    <row r="74" spans="1:27" x14ac:dyDescent="0.3">
      <c r="A74" s="2" t="s">
        <v>178</v>
      </c>
      <c r="B74" s="2" t="s">
        <v>100</v>
      </c>
      <c r="D74" s="3" t="s">
        <v>17</v>
      </c>
      <c r="L74" s="29">
        <f>(SUMIFS(终端客户销售统计表!$K:$K,终端客户销售统计表!$L:$L,$B74,终端客户销售统计表!$H:$H,$D74,终端客户销售统计表!$G:$G,"1月")+SUMIFS(终端客户销售统计表!$K:$K,终端客户销售统计表!$L:$L,$B74,终端客户销售统计表!$H:$H,$D74,终端客户销售统计表!$G:$G,"2月")+SUMIFS(终端客户销售统计表!$K:$K,终端客户销售统计表!$L:$L,$B74,终端客户销售统计表!$H:$H,$D74,终端客户销售统计表!$G:$G,"3月"))/10000</f>
        <v>0</v>
      </c>
      <c r="M74" s="29">
        <f>(SUMIFS(终端客户销售统计表!$K:$K,终端客户销售统计表!$L:$L,$B74,终端客户销售统计表!$H:$H,$D74,终端客户销售统计表!$G:$G,"4月")+SUMIFS(终端客户销售统计表!$K:$K,终端客户销售统计表!$L:$L,$B74,终端客户销售统计表!$H:$H,$D74,终端客户销售统计表!$G:$G,"5月")+SUMIFS(终端客户销售统计表!$K:$K,终端客户销售统计表!$L:$L,$B74,终端客户销售统计表!$H:$H,$D74,终端客户销售统计表!$G:$G,"6月"))/10000</f>
        <v>0</v>
      </c>
      <c r="N74" s="29">
        <f>(SUMIFS(终端客户销售统计表!$K:$K,终端客户销售统计表!$L:$L,$B74,终端客户销售统计表!$H:$H,$D74,终端客户销售统计表!$G:$G,"7月")+SUMIFS(终端客户销售统计表!$K:$K,终端客户销售统计表!$L:$L,$B74,终端客户销售统计表!$H:$H,$D74,终端客户销售统计表!$G:$G,"8月")+SUMIFS(终端客户销售统计表!$K:$K,终端客户销售统计表!$L:$L,$B74,终端客户销售统计表!$H:$H,$D74,终端客户销售统计表!$G:$G,"9月"))/10000</f>
        <v>0</v>
      </c>
      <c r="O74" s="29">
        <f>(SUMIFS(终端客户销售统计表!$K:$K,终端客户销售统计表!$L:$L,$B74,终端客户销售统计表!$H:$H,$D74,终端客户销售统计表!$G:$G,"10月")+SUMIFS(终端客户销售统计表!$K:$K,终端客户销售统计表!$L:$L,$B74,终端客户销售统计表!$H:$H,$D74,终端客户销售统计表!$G:$G,"11月")+SUMIFS(终端客户销售统计表!$K:$K,终端客户销售统计表!$L:$L,$B74,终端客户销售统计表!$H:$H,$D74,终端客户销售统计表!$G:$G,"12月"))/10000</f>
        <v>0</v>
      </c>
      <c r="P74" s="29">
        <f>SUM(L74:O74)</f>
        <v>0</v>
      </c>
      <c r="Q74" s="44" t="str">
        <f t="shared" si="13"/>
        <v/>
      </c>
      <c r="R74" s="29">
        <f>(SUMIFS('代理商-进货明细表'!$I:$I,'代理商-进货明细表'!$B:$B,'代理商-产品进销存'!$B74,'代理商-进货明细表'!$F:$F,'代理商-产品进销存'!$D74,'代理商-进货明细表'!$E:$E,"1月")+SUMIFS('代理商-进货明细表'!$I:$I,'代理商-进货明细表'!$B:$B,'代理商-产品进销存'!$B74,'代理商-进货明细表'!$F:$F,'代理商-产品进销存'!$D74,'代理商-进货明细表'!$E:$E,"2月")+SUMIFS('代理商-进货明细表'!$I:$I,'代理商-进货明细表'!$B:$B,'代理商-产品进销存'!$B74,'代理商-进货明细表'!$F:$F,'代理商-产品进销存'!$D74,'代理商-进货明细表'!$E:$E,"3月"))/10000</f>
        <v>0</v>
      </c>
      <c r="S74" s="29">
        <f>(SUMIFS('代理商-进货明细表'!$I:$I,'代理商-进货明细表'!$B:$B,'代理商-产品进销存'!$B74,'代理商-进货明细表'!$F:$F,'代理商-产品进销存'!$D74,'代理商-进货明细表'!$E:$E,"4月")+SUMIFS('代理商-进货明细表'!$I:$I,'代理商-进货明细表'!$B:$B,'代理商-产品进销存'!$B74,'代理商-进货明细表'!$F:$F,'代理商-产品进销存'!$D74,'代理商-进货明细表'!$E:$E,"5月")+SUMIFS('代理商-进货明细表'!$I:$I,'代理商-进货明细表'!$B:$B,'代理商-产品进销存'!$B74,'代理商-进货明细表'!$F:$F,'代理商-产品进销存'!$D74,'代理商-进货明细表'!$E:$E,"6月"))/10000</f>
        <v>0</v>
      </c>
      <c r="T74" s="29">
        <f>(SUMIFS('代理商-进货明细表'!$I:$I,'代理商-进货明细表'!$B:$B,'代理商-产品进销存'!$B74,'代理商-进货明细表'!$F:$F,'代理商-产品进销存'!$D74,'代理商-进货明细表'!$E:$E,"7月")+SUMIFS('代理商-进货明细表'!$I:$I,'代理商-进货明细表'!$B:$B,'代理商-产品进销存'!$B74,'代理商-进货明细表'!$F:$F,'代理商-产品进销存'!$D74,'代理商-进货明细表'!$E:$E,"8月")+SUMIFS('代理商-进货明细表'!$I:$I,'代理商-进货明细表'!$B:$B,'代理商-产品进销存'!$B74,'代理商-进货明细表'!$F:$F,'代理商-产品进销存'!$D74,'代理商-进货明细表'!$E:$E,"9月"))/10000</f>
        <v>0</v>
      </c>
      <c r="U74" s="29">
        <f>(SUMIFS('代理商-进货明细表'!$I:$I,'代理商-进货明细表'!$B:$B,'代理商-产品进销存'!$B74,'代理商-进货明细表'!$F:$F,'代理商-产品进销存'!$D74,'代理商-进货明细表'!$E:$E,"10月")+SUMIFS('代理商-进货明细表'!$I:$I,'代理商-进货明细表'!$B:$B,'代理商-产品进销存'!$B74,'代理商-进货明细表'!$F:$F,'代理商-产品进销存'!$D74,'代理商-进货明细表'!$E:$E,"11月")+SUMIFS('代理商-进货明细表'!$I:$I,'代理商-进货明细表'!$B:$B,'代理商-产品进销存'!$B74,'代理商-进货明细表'!$F:$F,'代理商-产品进销存'!$D74,'代理商-进货明细表'!$E:$E,"12月"))/10000</f>
        <v>0</v>
      </c>
      <c r="V74" s="29">
        <f t="shared" si="14"/>
        <v>0</v>
      </c>
      <c r="W74" s="29">
        <f t="shared" si="15"/>
        <v>0</v>
      </c>
      <c r="X74" s="29">
        <f t="shared" si="16"/>
        <v>0</v>
      </c>
      <c r="Y74" s="29">
        <f t="shared" si="17"/>
        <v>0</v>
      </c>
      <c r="Z74" s="29">
        <f t="shared" si="18"/>
        <v>0</v>
      </c>
      <c r="AA74" s="29">
        <f t="shared" si="19"/>
        <v>0</v>
      </c>
    </row>
    <row r="75" spans="1:27" x14ac:dyDescent="0.3">
      <c r="A75" s="2" t="s">
        <v>179</v>
      </c>
      <c r="B75" s="2" t="s">
        <v>101</v>
      </c>
      <c r="D75" s="3" t="s">
        <v>14</v>
      </c>
      <c r="L75" s="29">
        <f>(SUMIFS(终端客户销售统计表!$K:$K,终端客户销售统计表!$L:$L,$B75,终端客户销售统计表!$H:$H,$D75,终端客户销售统计表!$G:$G,"1月")+SUMIFS(终端客户销售统计表!$K:$K,终端客户销售统计表!$L:$L,$B75,终端客户销售统计表!$H:$H,$D75,终端客户销售统计表!$G:$G,"2月")+SUMIFS(终端客户销售统计表!$K:$K,终端客户销售统计表!$L:$L,$B75,终端客户销售统计表!$H:$H,$D75,终端客户销售统计表!$G:$G,"3月"))/10000</f>
        <v>0</v>
      </c>
      <c r="M75" s="29">
        <f>(SUMIFS(终端客户销售统计表!$K:$K,终端客户销售统计表!$L:$L,$B75,终端客户销售统计表!$H:$H,$D75,终端客户销售统计表!$G:$G,"4月")+SUMIFS(终端客户销售统计表!$K:$K,终端客户销售统计表!$L:$L,$B75,终端客户销售统计表!$H:$H,$D75,终端客户销售统计表!$G:$G,"5月")+SUMIFS(终端客户销售统计表!$K:$K,终端客户销售统计表!$L:$L,$B75,终端客户销售统计表!$H:$H,$D75,终端客户销售统计表!$G:$G,"6月"))/10000</f>
        <v>0</v>
      </c>
      <c r="N75" s="29">
        <f>(SUMIFS(终端客户销售统计表!$K:$K,终端客户销售统计表!$L:$L,$B75,终端客户销售统计表!$H:$H,$D75,终端客户销售统计表!$G:$G,"7月")+SUMIFS(终端客户销售统计表!$K:$K,终端客户销售统计表!$L:$L,$B75,终端客户销售统计表!$H:$H,$D75,终端客户销售统计表!$G:$G,"8月")+SUMIFS(终端客户销售统计表!$K:$K,终端客户销售统计表!$L:$L,$B75,终端客户销售统计表!$H:$H,$D75,终端客户销售统计表!$G:$G,"9月"))/10000</f>
        <v>0</v>
      </c>
      <c r="O75" s="29">
        <f>(SUMIFS(终端客户销售统计表!$K:$K,终端客户销售统计表!$L:$L,$B75,终端客户销售统计表!$H:$H,$D75,终端客户销售统计表!$G:$G,"10月")+SUMIFS(终端客户销售统计表!$K:$K,终端客户销售统计表!$L:$L,$B75,终端客户销售统计表!$H:$H,$D75,终端客户销售统计表!$G:$G,"11月")+SUMIFS(终端客户销售统计表!$K:$K,终端客户销售统计表!$L:$L,$B75,终端客户销售统计表!$H:$H,$D75,终端客户销售统计表!$G:$G,"12月"))/10000</f>
        <v>0</v>
      </c>
      <c r="P75" s="29">
        <f>SUM(L75:O75)</f>
        <v>0</v>
      </c>
      <c r="Q75" s="44" t="str">
        <f t="shared" si="13"/>
        <v/>
      </c>
      <c r="R75" s="29">
        <f>(SUMIFS('代理商-进货明细表'!$I:$I,'代理商-进货明细表'!$B:$B,'代理商-产品进销存'!$B75,'代理商-进货明细表'!$F:$F,'代理商-产品进销存'!$D75,'代理商-进货明细表'!$E:$E,"1月")+SUMIFS('代理商-进货明细表'!$I:$I,'代理商-进货明细表'!$B:$B,'代理商-产品进销存'!$B75,'代理商-进货明细表'!$F:$F,'代理商-产品进销存'!$D75,'代理商-进货明细表'!$E:$E,"2月")+SUMIFS('代理商-进货明细表'!$I:$I,'代理商-进货明细表'!$B:$B,'代理商-产品进销存'!$B75,'代理商-进货明细表'!$F:$F,'代理商-产品进销存'!$D75,'代理商-进货明细表'!$E:$E,"3月"))/10000</f>
        <v>0</v>
      </c>
      <c r="S75" s="29">
        <f>(SUMIFS('代理商-进货明细表'!$I:$I,'代理商-进货明细表'!$B:$B,'代理商-产品进销存'!$B75,'代理商-进货明细表'!$F:$F,'代理商-产品进销存'!$D75,'代理商-进货明细表'!$E:$E,"4月")+SUMIFS('代理商-进货明细表'!$I:$I,'代理商-进货明细表'!$B:$B,'代理商-产品进销存'!$B75,'代理商-进货明细表'!$F:$F,'代理商-产品进销存'!$D75,'代理商-进货明细表'!$E:$E,"5月")+SUMIFS('代理商-进货明细表'!$I:$I,'代理商-进货明细表'!$B:$B,'代理商-产品进销存'!$B75,'代理商-进货明细表'!$F:$F,'代理商-产品进销存'!$D75,'代理商-进货明细表'!$E:$E,"6月"))/10000</f>
        <v>0</v>
      </c>
      <c r="T75" s="29">
        <f>(SUMIFS('代理商-进货明细表'!$I:$I,'代理商-进货明细表'!$B:$B,'代理商-产品进销存'!$B75,'代理商-进货明细表'!$F:$F,'代理商-产品进销存'!$D75,'代理商-进货明细表'!$E:$E,"7月")+SUMIFS('代理商-进货明细表'!$I:$I,'代理商-进货明细表'!$B:$B,'代理商-产品进销存'!$B75,'代理商-进货明细表'!$F:$F,'代理商-产品进销存'!$D75,'代理商-进货明细表'!$E:$E,"8月")+SUMIFS('代理商-进货明细表'!$I:$I,'代理商-进货明细表'!$B:$B,'代理商-产品进销存'!$B75,'代理商-进货明细表'!$F:$F,'代理商-产品进销存'!$D75,'代理商-进货明细表'!$E:$E,"9月"))/10000</f>
        <v>0</v>
      </c>
      <c r="U75" s="29">
        <f>(SUMIFS('代理商-进货明细表'!$I:$I,'代理商-进货明细表'!$B:$B,'代理商-产品进销存'!$B75,'代理商-进货明细表'!$F:$F,'代理商-产品进销存'!$D75,'代理商-进货明细表'!$E:$E,"10月")+SUMIFS('代理商-进货明细表'!$I:$I,'代理商-进货明细表'!$B:$B,'代理商-产品进销存'!$B75,'代理商-进货明细表'!$F:$F,'代理商-产品进销存'!$D75,'代理商-进货明细表'!$E:$E,"11月")+SUMIFS('代理商-进货明细表'!$I:$I,'代理商-进货明细表'!$B:$B,'代理商-产品进销存'!$B75,'代理商-进货明细表'!$F:$F,'代理商-产品进销存'!$D75,'代理商-进货明细表'!$E:$E,"12月"))/10000</f>
        <v>0</v>
      </c>
      <c r="V75" s="29">
        <f t="shared" si="14"/>
        <v>0</v>
      </c>
      <c r="W75" s="29">
        <f t="shared" si="15"/>
        <v>0</v>
      </c>
      <c r="X75" s="29">
        <f t="shared" si="16"/>
        <v>0</v>
      </c>
      <c r="Y75" s="29">
        <f t="shared" si="17"/>
        <v>0</v>
      </c>
      <c r="Z75" s="29">
        <f t="shared" si="18"/>
        <v>0</v>
      </c>
      <c r="AA75" s="29">
        <f t="shared" si="19"/>
        <v>0</v>
      </c>
    </row>
    <row r="76" spans="1:27" x14ac:dyDescent="0.3">
      <c r="A76" s="2" t="s">
        <v>179</v>
      </c>
      <c r="B76" s="2" t="s">
        <v>101</v>
      </c>
      <c r="D76" s="3" t="s">
        <v>15</v>
      </c>
      <c r="L76" s="29">
        <f>(SUMIFS(终端客户销售统计表!$K:$K,终端客户销售统计表!$L:$L,$B76,终端客户销售统计表!$H:$H,$D76,终端客户销售统计表!$G:$G,"1月")+SUMIFS(终端客户销售统计表!$K:$K,终端客户销售统计表!$L:$L,$B76,终端客户销售统计表!$H:$H,$D76,终端客户销售统计表!$G:$G,"2月")+SUMIFS(终端客户销售统计表!$K:$K,终端客户销售统计表!$L:$L,$B76,终端客户销售统计表!$H:$H,$D76,终端客户销售统计表!$G:$G,"3月"))/10000</f>
        <v>0</v>
      </c>
      <c r="M76" s="29">
        <f>(SUMIFS(终端客户销售统计表!$K:$K,终端客户销售统计表!$L:$L,$B76,终端客户销售统计表!$H:$H,$D76,终端客户销售统计表!$G:$G,"4月")+SUMIFS(终端客户销售统计表!$K:$K,终端客户销售统计表!$L:$L,$B76,终端客户销售统计表!$H:$H,$D76,终端客户销售统计表!$G:$G,"5月")+SUMIFS(终端客户销售统计表!$K:$K,终端客户销售统计表!$L:$L,$B76,终端客户销售统计表!$H:$H,$D76,终端客户销售统计表!$G:$G,"6月"))/10000</f>
        <v>0</v>
      </c>
      <c r="N76" s="29">
        <f>(SUMIFS(终端客户销售统计表!$K:$K,终端客户销售统计表!$L:$L,$B76,终端客户销售统计表!$H:$H,$D76,终端客户销售统计表!$G:$G,"7月")+SUMIFS(终端客户销售统计表!$K:$K,终端客户销售统计表!$L:$L,$B76,终端客户销售统计表!$H:$H,$D76,终端客户销售统计表!$G:$G,"8月")+SUMIFS(终端客户销售统计表!$K:$K,终端客户销售统计表!$L:$L,$B76,终端客户销售统计表!$H:$H,$D76,终端客户销售统计表!$G:$G,"9月"))/10000</f>
        <v>0</v>
      </c>
      <c r="O76" s="29">
        <f>(SUMIFS(终端客户销售统计表!$K:$K,终端客户销售统计表!$L:$L,$B76,终端客户销售统计表!$H:$H,$D76,终端客户销售统计表!$G:$G,"10月")+SUMIFS(终端客户销售统计表!$K:$K,终端客户销售统计表!$L:$L,$B76,终端客户销售统计表!$H:$H,$D76,终端客户销售统计表!$G:$G,"11月")+SUMIFS(终端客户销售统计表!$K:$K,终端客户销售统计表!$L:$L,$B76,终端客户销售统计表!$H:$H,$D76,终端客户销售统计表!$G:$G,"12月"))/10000</f>
        <v>0</v>
      </c>
      <c r="P76" s="29">
        <f>SUM(L76:O76)</f>
        <v>0</v>
      </c>
      <c r="Q76" s="44" t="str">
        <f t="shared" si="13"/>
        <v/>
      </c>
      <c r="R76" s="29">
        <f>(SUMIFS('代理商-进货明细表'!$I:$I,'代理商-进货明细表'!$B:$B,'代理商-产品进销存'!$B76,'代理商-进货明细表'!$F:$F,'代理商-产品进销存'!$D76,'代理商-进货明细表'!$E:$E,"1月")+SUMIFS('代理商-进货明细表'!$I:$I,'代理商-进货明细表'!$B:$B,'代理商-产品进销存'!$B76,'代理商-进货明细表'!$F:$F,'代理商-产品进销存'!$D76,'代理商-进货明细表'!$E:$E,"2月")+SUMIFS('代理商-进货明细表'!$I:$I,'代理商-进货明细表'!$B:$B,'代理商-产品进销存'!$B76,'代理商-进货明细表'!$F:$F,'代理商-产品进销存'!$D76,'代理商-进货明细表'!$E:$E,"3月"))/10000</f>
        <v>0</v>
      </c>
      <c r="S76" s="29">
        <f>(SUMIFS('代理商-进货明细表'!$I:$I,'代理商-进货明细表'!$B:$B,'代理商-产品进销存'!$B76,'代理商-进货明细表'!$F:$F,'代理商-产品进销存'!$D76,'代理商-进货明细表'!$E:$E,"4月")+SUMIFS('代理商-进货明细表'!$I:$I,'代理商-进货明细表'!$B:$B,'代理商-产品进销存'!$B76,'代理商-进货明细表'!$F:$F,'代理商-产品进销存'!$D76,'代理商-进货明细表'!$E:$E,"5月")+SUMIFS('代理商-进货明细表'!$I:$I,'代理商-进货明细表'!$B:$B,'代理商-产品进销存'!$B76,'代理商-进货明细表'!$F:$F,'代理商-产品进销存'!$D76,'代理商-进货明细表'!$E:$E,"6月"))/10000</f>
        <v>0</v>
      </c>
      <c r="T76" s="29">
        <f>(SUMIFS('代理商-进货明细表'!$I:$I,'代理商-进货明细表'!$B:$B,'代理商-产品进销存'!$B76,'代理商-进货明细表'!$F:$F,'代理商-产品进销存'!$D76,'代理商-进货明细表'!$E:$E,"7月")+SUMIFS('代理商-进货明细表'!$I:$I,'代理商-进货明细表'!$B:$B,'代理商-产品进销存'!$B76,'代理商-进货明细表'!$F:$F,'代理商-产品进销存'!$D76,'代理商-进货明细表'!$E:$E,"8月")+SUMIFS('代理商-进货明细表'!$I:$I,'代理商-进货明细表'!$B:$B,'代理商-产品进销存'!$B76,'代理商-进货明细表'!$F:$F,'代理商-产品进销存'!$D76,'代理商-进货明细表'!$E:$E,"9月"))/10000</f>
        <v>0</v>
      </c>
      <c r="U76" s="29">
        <f>(SUMIFS('代理商-进货明细表'!$I:$I,'代理商-进货明细表'!$B:$B,'代理商-产品进销存'!$B76,'代理商-进货明细表'!$F:$F,'代理商-产品进销存'!$D76,'代理商-进货明细表'!$E:$E,"10月")+SUMIFS('代理商-进货明细表'!$I:$I,'代理商-进货明细表'!$B:$B,'代理商-产品进销存'!$B76,'代理商-进货明细表'!$F:$F,'代理商-产品进销存'!$D76,'代理商-进货明细表'!$E:$E,"11月")+SUMIFS('代理商-进货明细表'!$I:$I,'代理商-进货明细表'!$B:$B,'代理商-产品进销存'!$B76,'代理商-进货明细表'!$F:$F,'代理商-产品进销存'!$D76,'代理商-进货明细表'!$E:$E,"12月"))/10000</f>
        <v>0</v>
      </c>
      <c r="V76" s="29">
        <f t="shared" si="14"/>
        <v>0</v>
      </c>
      <c r="W76" s="29">
        <f t="shared" si="15"/>
        <v>0</v>
      </c>
      <c r="X76" s="29">
        <f t="shared" si="16"/>
        <v>0</v>
      </c>
      <c r="Y76" s="29">
        <f t="shared" si="17"/>
        <v>0</v>
      </c>
      <c r="Z76" s="29">
        <f t="shared" si="18"/>
        <v>0</v>
      </c>
      <c r="AA76" s="29">
        <f t="shared" si="19"/>
        <v>0</v>
      </c>
    </row>
    <row r="77" spans="1:27" x14ac:dyDescent="0.3">
      <c r="A77" s="2" t="s">
        <v>179</v>
      </c>
      <c r="B77" s="2" t="s">
        <v>101</v>
      </c>
      <c r="D77" s="3" t="s">
        <v>16</v>
      </c>
      <c r="L77" s="29">
        <f>(SUMIFS(终端客户销售统计表!$K:$K,终端客户销售统计表!$L:$L,$B77,终端客户销售统计表!$H:$H,$D77,终端客户销售统计表!$G:$G,"1月")+SUMIFS(终端客户销售统计表!$K:$K,终端客户销售统计表!$L:$L,$B77,终端客户销售统计表!$H:$H,$D77,终端客户销售统计表!$G:$G,"2月")+SUMIFS(终端客户销售统计表!$K:$K,终端客户销售统计表!$L:$L,$B77,终端客户销售统计表!$H:$H,$D77,终端客户销售统计表!$G:$G,"3月"))/10000</f>
        <v>0</v>
      </c>
      <c r="M77" s="29">
        <f>(SUMIFS(终端客户销售统计表!$K:$K,终端客户销售统计表!$L:$L,$B77,终端客户销售统计表!$H:$H,$D77,终端客户销售统计表!$G:$G,"4月")+SUMIFS(终端客户销售统计表!$K:$K,终端客户销售统计表!$L:$L,$B77,终端客户销售统计表!$H:$H,$D77,终端客户销售统计表!$G:$G,"5月")+SUMIFS(终端客户销售统计表!$K:$K,终端客户销售统计表!$L:$L,$B77,终端客户销售统计表!$H:$H,$D77,终端客户销售统计表!$G:$G,"6月"))/10000</f>
        <v>0</v>
      </c>
      <c r="N77" s="29">
        <f>(SUMIFS(终端客户销售统计表!$K:$K,终端客户销售统计表!$L:$L,$B77,终端客户销售统计表!$H:$H,$D77,终端客户销售统计表!$G:$G,"7月")+SUMIFS(终端客户销售统计表!$K:$K,终端客户销售统计表!$L:$L,$B77,终端客户销售统计表!$H:$H,$D77,终端客户销售统计表!$G:$G,"8月")+SUMIFS(终端客户销售统计表!$K:$K,终端客户销售统计表!$L:$L,$B77,终端客户销售统计表!$H:$H,$D77,终端客户销售统计表!$G:$G,"9月"))/10000</f>
        <v>0</v>
      </c>
      <c r="O77" s="29">
        <f>(SUMIFS(终端客户销售统计表!$K:$K,终端客户销售统计表!$L:$L,$B77,终端客户销售统计表!$H:$H,$D77,终端客户销售统计表!$G:$G,"10月")+SUMIFS(终端客户销售统计表!$K:$K,终端客户销售统计表!$L:$L,$B77,终端客户销售统计表!$H:$H,$D77,终端客户销售统计表!$G:$G,"11月")+SUMIFS(终端客户销售统计表!$K:$K,终端客户销售统计表!$L:$L,$B77,终端客户销售统计表!$H:$H,$D77,终端客户销售统计表!$G:$G,"12月"))/10000</f>
        <v>0</v>
      </c>
      <c r="P77" s="29">
        <f>SUM(L77:O77)</f>
        <v>0</v>
      </c>
      <c r="Q77" s="44" t="str">
        <f t="shared" si="13"/>
        <v/>
      </c>
      <c r="R77" s="29">
        <f>(SUMIFS('代理商-进货明细表'!$I:$I,'代理商-进货明细表'!$B:$B,'代理商-产品进销存'!$B77,'代理商-进货明细表'!$F:$F,'代理商-产品进销存'!$D77,'代理商-进货明细表'!$E:$E,"1月")+SUMIFS('代理商-进货明细表'!$I:$I,'代理商-进货明细表'!$B:$B,'代理商-产品进销存'!$B77,'代理商-进货明细表'!$F:$F,'代理商-产品进销存'!$D77,'代理商-进货明细表'!$E:$E,"2月")+SUMIFS('代理商-进货明细表'!$I:$I,'代理商-进货明细表'!$B:$B,'代理商-产品进销存'!$B77,'代理商-进货明细表'!$F:$F,'代理商-产品进销存'!$D77,'代理商-进货明细表'!$E:$E,"3月"))/10000</f>
        <v>0</v>
      </c>
      <c r="S77" s="29">
        <f>(SUMIFS('代理商-进货明细表'!$I:$I,'代理商-进货明细表'!$B:$B,'代理商-产品进销存'!$B77,'代理商-进货明细表'!$F:$F,'代理商-产品进销存'!$D77,'代理商-进货明细表'!$E:$E,"4月")+SUMIFS('代理商-进货明细表'!$I:$I,'代理商-进货明细表'!$B:$B,'代理商-产品进销存'!$B77,'代理商-进货明细表'!$F:$F,'代理商-产品进销存'!$D77,'代理商-进货明细表'!$E:$E,"5月")+SUMIFS('代理商-进货明细表'!$I:$I,'代理商-进货明细表'!$B:$B,'代理商-产品进销存'!$B77,'代理商-进货明细表'!$F:$F,'代理商-产品进销存'!$D77,'代理商-进货明细表'!$E:$E,"6月"))/10000</f>
        <v>0</v>
      </c>
      <c r="T77" s="29">
        <f>(SUMIFS('代理商-进货明细表'!$I:$I,'代理商-进货明细表'!$B:$B,'代理商-产品进销存'!$B77,'代理商-进货明细表'!$F:$F,'代理商-产品进销存'!$D77,'代理商-进货明细表'!$E:$E,"7月")+SUMIFS('代理商-进货明细表'!$I:$I,'代理商-进货明细表'!$B:$B,'代理商-产品进销存'!$B77,'代理商-进货明细表'!$F:$F,'代理商-产品进销存'!$D77,'代理商-进货明细表'!$E:$E,"8月")+SUMIFS('代理商-进货明细表'!$I:$I,'代理商-进货明细表'!$B:$B,'代理商-产品进销存'!$B77,'代理商-进货明细表'!$F:$F,'代理商-产品进销存'!$D77,'代理商-进货明细表'!$E:$E,"9月"))/10000</f>
        <v>0</v>
      </c>
      <c r="U77" s="29">
        <f>(SUMIFS('代理商-进货明细表'!$I:$I,'代理商-进货明细表'!$B:$B,'代理商-产品进销存'!$B77,'代理商-进货明细表'!$F:$F,'代理商-产品进销存'!$D77,'代理商-进货明细表'!$E:$E,"10月")+SUMIFS('代理商-进货明细表'!$I:$I,'代理商-进货明细表'!$B:$B,'代理商-产品进销存'!$B77,'代理商-进货明细表'!$F:$F,'代理商-产品进销存'!$D77,'代理商-进货明细表'!$E:$E,"11月")+SUMIFS('代理商-进货明细表'!$I:$I,'代理商-进货明细表'!$B:$B,'代理商-产品进销存'!$B77,'代理商-进货明细表'!$F:$F,'代理商-产品进销存'!$D77,'代理商-进货明细表'!$E:$E,"12月"))/10000</f>
        <v>0</v>
      </c>
      <c r="V77" s="29">
        <f t="shared" si="14"/>
        <v>0</v>
      </c>
      <c r="W77" s="29">
        <f t="shared" si="15"/>
        <v>0</v>
      </c>
      <c r="X77" s="29">
        <f t="shared" si="16"/>
        <v>0</v>
      </c>
      <c r="Y77" s="29">
        <f t="shared" si="17"/>
        <v>0</v>
      </c>
      <c r="Z77" s="29">
        <f t="shared" si="18"/>
        <v>0</v>
      </c>
      <c r="AA77" s="29">
        <f t="shared" si="19"/>
        <v>0</v>
      </c>
    </row>
    <row r="78" spans="1:27" x14ac:dyDescent="0.3">
      <c r="A78" s="2" t="s">
        <v>179</v>
      </c>
      <c r="B78" s="2" t="s">
        <v>101</v>
      </c>
      <c r="D78" s="3" t="s">
        <v>17</v>
      </c>
      <c r="L78" s="29">
        <f>(SUMIFS(终端客户销售统计表!$K:$K,终端客户销售统计表!$L:$L,$B78,终端客户销售统计表!$H:$H,$D78,终端客户销售统计表!$G:$G,"1月")+SUMIFS(终端客户销售统计表!$K:$K,终端客户销售统计表!$L:$L,$B78,终端客户销售统计表!$H:$H,$D78,终端客户销售统计表!$G:$G,"2月")+SUMIFS(终端客户销售统计表!$K:$K,终端客户销售统计表!$L:$L,$B78,终端客户销售统计表!$H:$H,$D78,终端客户销售统计表!$G:$G,"3月"))/10000</f>
        <v>0</v>
      </c>
      <c r="M78" s="29">
        <f>(SUMIFS(终端客户销售统计表!$K:$K,终端客户销售统计表!$L:$L,$B78,终端客户销售统计表!$H:$H,$D78,终端客户销售统计表!$G:$G,"4月")+SUMIFS(终端客户销售统计表!$K:$K,终端客户销售统计表!$L:$L,$B78,终端客户销售统计表!$H:$H,$D78,终端客户销售统计表!$G:$G,"5月")+SUMIFS(终端客户销售统计表!$K:$K,终端客户销售统计表!$L:$L,$B78,终端客户销售统计表!$H:$H,$D78,终端客户销售统计表!$G:$G,"6月"))/10000</f>
        <v>0</v>
      </c>
      <c r="N78" s="29">
        <f>(SUMIFS(终端客户销售统计表!$K:$K,终端客户销售统计表!$L:$L,$B78,终端客户销售统计表!$H:$H,$D78,终端客户销售统计表!$G:$G,"7月")+SUMIFS(终端客户销售统计表!$K:$K,终端客户销售统计表!$L:$L,$B78,终端客户销售统计表!$H:$H,$D78,终端客户销售统计表!$G:$G,"8月")+SUMIFS(终端客户销售统计表!$K:$K,终端客户销售统计表!$L:$L,$B78,终端客户销售统计表!$H:$H,$D78,终端客户销售统计表!$G:$G,"9月"))/10000</f>
        <v>0</v>
      </c>
      <c r="O78" s="29">
        <f>(SUMIFS(终端客户销售统计表!$K:$K,终端客户销售统计表!$L:$L,$B78,终端客户销售统计表!$H:$H,$D78,终端客户销售统计表!$G:$G,"10月")+SUMIFS(终端客户销售统计表!$K:$K,终端客户销售统计表!$L:$L,$B78,终端客户销售统计表!$H:$H,$D78,终端客户销售统计表!$G:$G,"11月")+SUMIFS(终端客户销售统计表!$K:$K,终端客户销售统计表!$L:$L,$B78,终端客户销售统计表!$H:$H,$D78,终端客户销售统计表!$G:$G,"12月"))/10000</f>
        <v>0</v>
      </c>
      <c r="P78" s="29">
        <f>SUM(L78:O78)</f>
        <v>0</v>
      </c>
      <c r="Q78" s="44" t="str">
        <f t="shared" si="13"/>
        <v/>
      </c>
      <c r="R78" s="29">
        <f>(SUMIFS('代理商-进货明细表'!$I:$I,'代理商-进货明细表'!$B:$B,'代理商-产品进销存'!$B78,'代理商-进货明细表'!$F:$F,'代理商-产品进销存'!$D78,'代理商-进货明细表'!$E:$E,"1月")+SUMIFS('代理商-进货明细表'!$I:$I,'代理商-进货明细表'!$B:$B,'代理商-产品进销存'!$B78,'代理商-进货明细表'!$F:$F,'代理商-产品进销存'!$D78,'代理商-进货明细表'!$E:$E,"2月")+SUMIFS('代理商-进货明细表'!$I:$I,'代理商-进货明细表'!$B:$B,'代理商-产品进销存'!$B78,'代理商-进货明细表'!$F:$F,'代理商-产品进销存'!$D78,'代理商-进货明细表'!$E:$E,"3月"))/10000</f>
        <v>0</v>
      </c>
      <c r="S78" s="29">
        <f>(SUMIFS('代理商-进货明细表'!$I:$I,'代理商-进货明细表'!$B:$B,'代理商-产品进销存'!$B78,'代理商-进货明细表'!$F:$F,'代理商-产品进销存'!$D78,'代理商-进货明细表'!$E:$E,"4月")+SUMIFS('代理商-进货明细表'!$I:$I,'代理商-进货明细表'!$B:$B,'代理商-产品进销存'!$B78,'代理商-进货明细表'!$F:$F,'代理商-产品进销存'!$D78,'代理商-进货明细表'!$E:$E,"5月")+SUMIFS('代理商-进货明细表'!$I:$I,'代理商-进货明细表'!$B:$B,'代理商-产品进销存'!$B78,'代理商-进货明细表'!$F:$F,'代理商-产品进销存'!$D78,'代理商-进货明细表'!$E:$E,"6月"))/10000</f>
        <v>0</v>
      </c>
      <c r="T78" s="29">
        <f>(SUMIFS('代理商-进货明细表'!$I:$I,'代理商-进货明细表'!$B:$B,'代理商-产品进销存'!$B78,'代理商-进货明细表'!$F:$F,'代理商-产品进销存'!$D78,'代理商-进货明细表'!$E:$E,"7月")+SUMIFS('代理商-进货明细表'!$I:$I,'代理商-进货明细表'!$B:$B,'代理商-产品进销存'!$B78,'代理商-进货明细表'!$F:$F,'代理商-产品进销存'!$D78,'代理商-进货明细表'!$E:$E,"8月")+SUMIFS('代理商-进货明细表'!$I:$I,'代理商-进货明细表'!$B:$B,'代理商-产品进销存'!$B78,'代理商-进货明细表'!$F:$F,'代理商-产品进销存'!$D78,'代理商-进货明细表'!$E:$E,"9月"))/10000</f>
        <v>0</v>
      </c>
      <c r="U78" s="29">
        <f>(SUMIFS('代理商-进货明细表'!$I:$I,'代理商-进货明细表'!$B:$B,'代理商-产品进销存'!$B78,'代理商-进货明细表'!$F:$F,'代理商-产品进销存'!$D78,'代理商-进货明细表'!$E:$E,"10月")+SUMIFS('代理商-进货明细表'!$I:$I,'代理商-进货明细表'!$B:$B,'代理商-产品进销存'!$B78,'代理商-进货明细表'!$F:$F,'代理商-产品进销存'!$D78,'代理商-进货明细表'!$E:$E,"11月")+SUMIFS('代理商-进货明细表'!$I:$I,'代理商-进货明细表'!$B:$B,'代理商-产品进销存'!$B78,'代理商-进货明细表'!$F:$F,'代理商-产品进销存'!$D78,'代理商-进货明细表'!$E:$E,"12月"))/10000</f>
        <v>0</v>
      </c>
      <c r="V78" s="29">
        <f t="shared" si="14"/>
        <v>0</v>
      </c>
      <c r="W78" s="29">
        <f t="shared" si="15"/>
        <v>0</v>
      </c>
      <c r="X78" s="29">
        <f t="shared" si="16"/>
        <v>0</v>
      </c>
      <c r="Y78" s="29">
        <f t="shared" si="17"/>
        <v>0</v>
      </c>
      <c r="Z78" s="29">
        <f t="shared" si="18"/>
        <v>0</v>
      </c>
      <c r="AA78" s="29">
        <f t="shared" si="19"/>
        <v>0</v>
      </c>
    </row>
    <row r="79" spans="1:27" x14ac:dyDescent="0.3">
      <c r="A79" s="2" t="s">
        <v>180</v>
      </c>
      <c r="B79" s="2" t="s">
        <v>102</v>
      </c>
      <c r="D79" s="3" t="s">
        <v>14</v>
      </c>
      <c r="L79" s="29">
        <f>(SUMIFS(终端客户销售统计表!$K:$K,终端客户销售统计表!$L:$L,$B79,终端客户销售统计表!$H:$H,$D79,终端客户销售统计表!$G:$G,"1月")+SUMIFS(终端客户销售统计表!$K:$K,终端客户销售统计表!$L:$L,$B79,终端客户销售统计表!$H:$H,$D79,终端客户销售统计表!$G:$G,"2月")+SUMIFS(终端客户销售统计表!$K:$K,终端客户销售统计表!$L:$L,$B79,终端客户销售统计表!$H:$H,$D79,终端客户销售统计表!$G:$G,"3月"))/10000</f>
        <v>0</v>
      </c>
      <c r="M79" s="29">
        <f>(SUMIFS(终端客户销售统计表!$K:$K,终端客户销售统计表!$L:$L,$B79,终端客户销售统计表!$H:$H,$D79,终端客户销售统计表!$G:$G,"4月")+SUMIFS(终端客户销售统计表!$K:$K,终端客户销售统计表!$L:$L,$B79,终端客户销售统计表!$H:$H,$D79,终端客户销售统计表!$G:$G,"5月")+SUMIFS(终端客户销售统计表!$K:$K,终端客户销售统计表!$L:$L,$B79,终端客户销售统计表!$H:$H,$D79,终端客户销售统计表!$G:$G,"6月"))/10000</f>
        <v>0</v>
      </c>
      <c r="N79" s="29">
        <f>(SUMIFS(终端客户销售统计表!$K:$K,终端客户销售统计表!$L:$L,$B79,终端客户销售统计表!$H:$H,$D79,终端客户销售统计表!$G:$G,"7月")+SUMIFS(终端客户销售统计表!$K:$K,终端客户销售统计表!$L:$L,$B79,终端客户销售统计表!$H:$H,$D79,终端客户销售统计表!$G:$G,"8月")+SUMIFS(终端客户销售统计表!$K:$K,终端客户销售统计表!$L:$L,$B79,终端客户销售统计表!$H:$H,$D79,终端客户销售统计表!$G:$G,"9月"))/10000</f>
        <v>0</v>
      </c>
      <c r="O79" s="29">
        <f>(SUMIFS(终端客户销售统计表!$K:$K,终端客户销售统计表!$L:$L,$B79,终端客户销售统计表!$H:$H,$D79,终端客户销售统计表!$G:$G,"10月")+SUMIFS(终端客户销售统计表!$K:$K,终端客户销售统计表!$L:$L,$B79,终端客户销售统计表!$H:$H,$D79,终端客户销售统计表!$G:$G,"11月")+SUMIFS(终端客户销售统计表!$K:$K,终端客户销售统计表!$L:$L,$B79,终端客户销售统计表!$H:$H,$D79,终端客户销售统计表!$G:$G,"12月"))/10000</f>
        <v>0</v>
      </c>
      <c r="P79" s="29">
        <f>SUM(L79:O79)</f>
        <v>0</v>
      </c>
      <c r="Q79" s="44" t="str">
        <f t="shared" si="13"/>
        <v/>
      </c>
      <c r="R79" s="29">
        <f>(SUMIFS('代理商-进货明细表'!$I:$I,'代理商-进货明细表'!$B:$B,'代理商-产品进销存'!$B79,'代理商-进货明细表'!$F:$F,'代理商-产品进销存'!$D79,'代理商-进货明细表'!$E:$E,"1月")+SUMIFS('代理商-进货明细表'!$I:$I,'代理商-进货明细表'!$B:$B,'代理商-产品进销存'!$B79,'代理商-进货明细表'!$F:$F,'代理商-产品进销存'!$D79,'代理商-进货明细表'!$E:$E,"2月")+SUMIFS('代理商-进货明细表'!$I:$I,'代理商-进货明细表'!$B:$B,'代理商-产品进销存'!$B79,'代理商-进货明细表'!$F:$F,'代理商-产品进销存'!$D79,'代理商-进货明细表'!$E:$E,"3月"))/10000</f>
        <v>0</v>
      </c>
      <c r="S79" s="29">
        <f>(SUMIFS('代理商-进货明细表'!$I:$I,'代理商-进货明细表'!$B:$B,'代理商-产品进销存'!$B79,'代理商-进货明细表'!$F:$F,'代理商-产品进销存'!$D79,'代理商-进货明细表'!$E:$E,"4月")+SUMIFS('代理商-进货明细表'!$I:$I,'代理商-进货明细表'!$B:$B,'代理商-产品进销存'!$B79,'代理商-进货明细表'!$F:$F,'代理商-产品进销存'!$D79,'代理商-进货明细表'!$E:$E,"5月")+SUMIFS('代理商-进货明细表'!$I:$I,'代理商-进货明细表'!$B:$B,'代理商-产品进销存'!$B79,'代理商-进货明细表'!$F:$F,'代理商-产品进销存'!$D79,'代理商-进货明细表'!$E:$E,"6月"))/10000</f>
        <v>0</v>
      </c>
      <c r="T79" s="29">
        <f>(SUMIFS('代理商-进货明细表'!$I:$I,'代理商-进货明细表'!$B:$B,'代理商-产品进销存'!$B79,'代理商-进货明细表'!$F:$F,'代理商-产品进销存'!$D79,'代理商-进货明细表'!$E:$E,"7月")+SUMIFS('代理商-进货明细表'!$I:$I,'代理商-进货明细表'!$B:$B,'代理商-产品进销存'!$B79,'代理商-进货明细表'!$F:$F,'代理商-产品进销存'!$D79,'代理商-进货明细表'!$E:$E,"8月")+SUMIFS('代理商-进货明细表'!$I:$I,'代理商-进货明细表'!$B:$B,'代理商-产品进销存'!$B79,'代理商-进货明细表'!$F:$F,'代理商-产品进销存'!$D79,'代理商-进货明细表'!$E:$E,"9月"))/10000</f>
        <v>0</v>
      </c>
      <c r="U79" s="29">
        <f>(SUMIFS('代理商-进货明细表'!$I:$I,'代理商-进货明细表'!$B:$B,'代理商-产品进销存'!$B79,'代理商-进货明细表'!$F:$F,'代理商-产品进销存'!$D79,'代理商-进货明细表'!$E:$E,"10月")+SUMIFS('代理商-进货明细表'!$I:$I,'代理商-进货明细表'!$B:$B,'代理商-产品进销存'!$B79,'代理商-进货明细表'!$F:$F,'代理商-产品进销存'!$D79,'代理商-进货明细表'!$E:$E,"11月")+SUMIFS('代理商-进货明细表'!$I:$I,'代理商-进货明细表'!$B:$B,'代理商-产品进销存'!$B79,'代理商-进货明细表'!$F:$F,'代理商-产品进销存'!$D79,'代理商-进货明细表'!$E:$E,"12月"))/10000</f>
        <v>0</v>
      </c>
      <c r="V79" s="29">
        <f t="shared" si="14"/>
        <v>0</v>
      </c>
      <c r="W79" s="29">
        <f t="shared" si="15"/>
        <v>0</v>
      </c>
      <c r="X79" s="29">
        <f t="shared" si="16"/>
        <v>0</v>
      </c>
      <c r="Y79" s="29">
        <f t="shared" si="17"/>
        <v>0</v>
      </c>
      <c r="Z79" s="29">
        <f t="shared" si="18"/>
        <v>0</v>
      </c>
      <c r="AA79" s="29">
        <f t="shared" si="19"/>
        <v>0</v>
      </c>
    </row>
    <row r="80" spans="1:27" x14ac:dyDescent="0.3">
      <c r="A80" s="2" t="s">
        <v>180</v>
      </c>
      <c r="B80" s="2" t="s">
        <v>102</v>
      </c>
      <c r="D80" s="3" t="s">
        <v>15</v>
      </c>
      <c r="L80" s="29">
        <f>(SUMIFS(终端客户销售统计表!$K:$K,终端客户销售统计表!$L:$L,$B80,终端客户销售统计表!$H:$H,$D80,终端客户销售统计表!$G:$G,"1月")+SUMIFS(终端客户销售统计表!$K:$K,终端客户销售统计表!$L:$L,$B80,终端客户销售统计表!$H:$H,$D80,终端客户销售统计表!$G:$G,"2月")+SUMIFS(终端客户销售统计表!$K:$K,终端客户销售统计表!$L:$L,$B80,终端客户销售统计表!$H:$H,$D80,终端客户销售统计表!$G:$G,"3月"))/10000</f>
        <v>0</v>
      </c>
      <c r="M80" s="29">
        <f>(SUMIFS(终端客户销售统计表!$K:$K,终端客户销售统计表!$L:$L,$B80,终端客户销售统计表!$H:$H,$D80,终端客户销售统计表!$G:$G,"4月")+SUMIFS(终端客户销售统计表!$K:$K,终端客户销售统计表!$L:$L,$B80,终端客户销售统计表!$H:$H,$D80,终端客户销售统计表!$G:$G,"5月")+SUMIFS(终端客户销售统计表!$K:$K,终端客户销售统计表!$L:$L,$B80,终端客户销售统计表!$H:$H,$D80,终端客户销售统计表!$G:$G,"6月"))/10000</f>
        <v>0</v>
      </c>
      <c r="N80" s="29">
        <f>(SUMIFS(终端客户销售统计表!$K:$K,终端客户销售统计表!$L:$L,$B80,终端客户销售统计表!$H:$H,$D80,终端客户销售统计表!$G:$G,"7月")+SUMIFS(终端客户销售统计表!$K:$K,终端客户销售统计表!$L:$L,$B80,终端客户销售统计表!$H:$H,$D80,终端客户销售统计表!$G:$G,"8月")+SUMIFS(终端客户销售统计表!$K:$K,终端客户销售统计表!$L:$L,$B80,终端客户销售统计表!$H:$H,$D80,终端客户销售统计表!$G:$G,"9月"))/10000</f>
        <v>0</v>
      </c>
      <c r="O80" s="29">
        <f>(SUMIFS(终端客户销售统计表!$K:$K,终端客户销售统计表!$L:$L,$B80,终端客户销售统计表!$H:$H,$D80,终端客户销售统计表!$G:$G,"10月")+SUMIFS(终端客户销售统计表!$K:$K,终端客户销售统计表!$L:$L,$B80,终端客户销售统计表!$H:$H,$D80,终端客户销售统计表!$G:$G,"11月")+SUMIFS(终端客户销售统计表!$K:$K,终端客户销售统计表!$L:$L,$B80,终端客户销售统计表!$H:$H,$D80,终端客户销售统计表!$G:$G,"12月"))/10000</f>
        <v>0</v>
      </c>
      <c r="P80" s="29">
        <f>SUM(L80:O80)</f>
        <v>0</v>
      </c>
      <c r="Q80" s="44" t="str">
        <f t="shared" si="13"/>
        <v/>
      </c>
      <c r="R80" s="29">
        <f>(SUMIFS('代理商-进货明细表'!$I:$I,'代理商-进货明细表'!$B:$B,'代理商-产品进销存'!$B80,'代理商-进货明细表'!$F:$F,'代理商-产品进销存'!$D80,'代理商-进货明细表'!$E:$E,"1月")+SUMIFS('代理商-进货明细表'!$I:$I,'代理商-进货明细表'!$B:$B,'代理商-产品进销存'!$B80,'代理商-进货明细表'!$F:$F,'代理商-产品进销存'!$D80,'代理商-进货明细表'!$E:$E,"2月")+SUMIFS('代理商-进货明细表'!$I:$I,'代理商-进货明细表'!$B:$B,'代理商-产品进销存'!$B80,'代理商-进货明细表'!$F:$F,'代理商-产品进销存'!$D80,'代理商-进货明细表'!$E:$E,"3月"))/10000</f>
        <v>0</v>
      </c>
      <c r="S80" s="29">
        <f>(SUMIFS('代理商-进货明细表'!$I:$I,'代理商-进货明细表'!$B:$B,'代理商-产品进销存'!$B80,'代理商-进货明细表'!$F:$F,'代理商-产品进销存'!$D80,'代理商-进货明细表'!$E:$E,"4月")+SUMIFS('代理商-进货明细表'!$I:$I,'代理商-进货明细表'!$B:$B,'代理商-产品进销存'!$B80,'代理商-进货明细表'!$F:$F,'代理商-产品进销存'!$D80,'代理商-进货明细表'!$E:$E,"5月")+SUMIFS('代理商-进货明细表'!$I:$I,'代理商-进货明细表'!$B:$B,'代理商-产品进销存'!$B80,'代理商-进货明细表'!$F:$F,'代理商-产品进销存'!$D80,'代理商-进货明细表'!$E:$E,"6月"))/10000</f>
        <v>0</v>
      </c>
      <c r="T80" s="29">
        <f>(SUMIFS('代理商-进货明细表'!$I:$I,'代理商-进货明细表'!$B:$B,'代理商-产品进销存'!$B80,'代理商-进货明细表'!$F:$F,'代理商-产品进销存'!$D80,'代理商-进货明细表'!$E:$E,"7月")+SUMIFS('代理商-进货明细表'!$I:$I,'代理商-进货明细表'!$B:$B,'代理商-产品进销存'!$B80,'代理商-进货明细表'!$F:$F,'代理商-产品进销存'!$D80,'代理商-进货明细表'!$E:$E,"8月")+SUMIFS('代理商-进货明细表'!$I:$I,'代理商-进货明细表'!$B:$B,'代理商-产品进销存'!$B80,'代理商-进货明细表'!$F:$F,'代理商-产品进销存'!$D80,'代理商-进货明细表'!$E:$E,"9月"))/10000</f>
        <v>0</v>
      </c>
      <c r="U80" s="29">
        <f>(SUMIFS('代理商-进货明细表'!$I:$I,'代理商-进货明细表'!$B:$B,'代理商-产品进销存'!$B80,'代理商-进货明细表'!$F:$F,'代理商-产品进销存'!$D80,'代理商-进货明细表'!$E:$E,"10月")+SUMIFS('代理商-进货明细表'!$I:$I,'代理商-进货明细表'!$B:$B,'代理商-产品进销存'!$B80,'代理商-进货明细表'!$F:$F,'代理商-产品进销存'!$D80,'代理商-进货明细表'!$E:$E,"11月")+SUMIFS('代理商-进货明细表'!$I:$I,'代理商-进货明细表'!$B:$B,'代理商-产品进销存'!$B80,'代理商-进货明细表'!$F:$F,'代理商-产品进销存'!$D80,'代理商-进货明细表'!$E:$E,"12月"))/10000</f>
        <v>0</v>
      </c>
      <c r="V80" s="29">
        <f t="shared" si="14"/>
        <v>0</v>
      </c>
      <c r="W80" s="29">
        <f t="shared" si="15"/>
        <v>0</v>
      </c>
      <c r="X80" s="29">
        <f t="shared" si="16"/>
        <v>0</v>
      </c>
      <c r="Y80" s="29">
        <f t="shared" si="17"/>
        <v>0</v>
      </c>
      <c r="Z80" s="29">
        <f t="shared" si="18"/>
        <v>0</v>
      </c>
      <c r="AA80" s="29">
        <f t="shared" si="19"/>
        <v>0</v>
      </c>
    </row>
    <row r="81" spans="1:27" x14ac:dyDescent="0.3">
      <c r="A81" s="2" t="s">
        <v>180</v>
      </c>
      <c r="B81" s="2" t="s">
        <v>102</v>
      </c>
      <c r="D81" s="3" t="s">
        <v>16</v>
      </c>
      <c r="L81" s="29">
        <f>(SUMIFS(终端客户销售统计表!$K:$K,终端客户销售统计表!$L:$L,$B81,终端客户销售统计表!$H:$H,$D81,终端客户销售统计表!$G:$G,"1月")+SUMIFS(终端客户销售统计表!$K:$K,终端客户销售统计表!$L:$L,$B81,终端客户销售统计表!$H:$H,$D81,终端客户销售统计表!$G:$G,"2月")+SUMIFS(终端客户销售统计表!$K:$K,终端客户销售统计表!$L:$L,$B81,终端客户销售统计表!$H:$H,$D81,终端客户销售统计表!$G:$G,"3月"))/10000</f>
        <v>0</v>
      </c>
      <c r="M81" s="29">
        <f>(SUMIFS(终端客户销售统计表!$K:$K,终端客户销售统计表!$L:$L,$B81,终端客户销售统计表!$H:$H,$D81,终端客户销售统计表!$G:$G,"4月")+SUMIFS(终端客户销售统计表!$K:$K,终端客户销售统计表!$L:$L,$B81,终端客户销售统计表!$H:$H,$D81,终端客户销售统计表!$G:$G,"5月")+SUMIFS(终端客户销售统计表!$K:$K,终端客户销售统计表!$L:$L,$B81,终端客户销售统计表!$H:$H,$D81,终端客户销售统计表!$G:$G,"6月"))/10000</f>
        <v>0</v>
      </c>
      <c r="N81" s="29">
        <f>(SUMIFS(终端客户销售统计表!$K:$K,终端客户销售统计表!$L:$L,$B81,终端客户销售统计表!$H:$H,$D81,终端客户销售统计表!$G:$G,"7月")+SUMIFS(终端客户销售统计表!$K:$K,终端客户销售统计表!$L:$L,$B81,终端客户销售统计表!$H:$H,$D81,终端客户销售统计表!$G:$G,"8月")+SUMIFS(终端客户销售统计表!$K:$K,终端客户销售统计表!$L:$L,$B81,终端客户销售统计表!$H:$H,$D81,终端客户销售统计表!$G:$G,"9月"))/10000</f>
        <v>0</v>
      </c>
      <c r="O81" s="29">
        <f>(SUMIFS(终端客户销售统计表!$K:$K,终端客户销售统计表!$L:$L,$B81,终端客户销售统计表!$H:$H,$D81,终端客户销售统计表!$G:$G,"10月")+SUMIFS(终端客户销售统计表!$K:$K,终端客户销售统计表!$L:$L,$B81,终端客户销售统计表!$H:$H,$D81,终端客户销售统计表!$G:$G,"11月")+SUMIFS(终端客户销售统计表!$K:$K,终端客户销售统计表!$L:$L,$B81,终端客户销售统计表!$H:$H,$D81,终端客户销售统计表!$G:$G,"12月"))/10000</f>
        <v>0</v>
      </c>
      <c r="P81" s="29">
        <f>SUM(L81:O81)</f>
        <v>0</v>
      </c>
      <c r="Q81" s="44" t="str">
        <f t="shared" si="13"/>
        <v/>
      </c>
      <c r="R81" s="29">
        <f>(SUMIFS('代理商-进货明细表'!$I:$I,'代理商-进货明细表'!$B:$B,'代理商-产品进销存'!$B81,'代理商-进货明细表'!$F:$F,'代理商-产品进销存'!$D81,'代理商-进货明细表'!$E:$E,"1月")+SUMIFS('代理商-进货明细表'!$I:$I,'代理商-进货明细表'!$B:$B,'代理商-产品进销存'!$B81,'代理商-进货明细表'!$F:$F,'代理商-产品进销存'!$D81,'代理商-进货明细表'!$E:$E,"2月")+SUMIFS('代理商-进货明细表'!$I:$I,'代理商-进货明细表'!$B:$B,'代理商-产品进销存'!$B81,'代理商-进货明细表'!$F:$F,'代理商-产品进销存'!$D81,'代理商-进货明细表'!$E:$E,"3月"))/10000</f>
        <v>0</v>
      </c>
      <c r="S81" s="29">
        <f>(SUMIFS('代理商-进货明细表'!$I:$I,'代理商-进货明细表'!$B:$B,'代理商-产品进销存'!$B81,'代理商-进货明细表'!$F:$F,'代理商-产品进销存'!$D81,'代理商-进货明细表'!$E:$E,"4月")+SUMIFS('代理商-进货明细表'!$I:$I,'代理商-进货明细表'!$B:$B,'代理商-产品进销存'!$B81,'代理商-进货明细表'!$F:$F,'代理商-产品进销存'!$D81,'代理商-进货明细表'!$E:$E,"5月")+SUMIFS('代理商-进货明细表'!$I:$I,'代理商-进货明细表'!$B:$B,'代理商-产品进销存'!$B81,'代理商-进货明细表'!$F:$F,'代理商-产品进销存'!$D81,'代理商-进货明细表'!$E:$E,"6月"))/10000</f>
        <v>0</v>
      </c>
      <c r="T81" s="29">
        <f>(SUMIFS('代理商-进货明细表'!$I:$I,'代理商-进货明细表'!$B:$B,'代理商-产品进销存'!$B81,'代理商-进货明细表'!$F:$F,'代理商-产品进销存'!$D81,'代理商-进货明细表'!$E:$E,"7月")+SUMIFS('代理商-进货明细表'!$I:$I,'代理商-进货明细表'!$B:$B,'代理商-产品进销存'!$B81,'代理商-进货明细表'!$F:$F,'代理商-产品进销存'!$D81,'代理商-进货明细表'!$E:$E,"8月")+SUMIFS('代理商-进货明细表'!$I:$I,'代理商-进货明细表'!$B:$B,'代理商-产品进销存'!$B81,'代理商-进货明细表'!$F:$F,'代理商-产品进销存'!$D81,'代理商-进货明细表'!$E:$E,"9月"))/10000</f>
        <v>0</v>
      </c>
      <c r="U81" s="29">
        <f>(SUMIFS('代理商-进货明细表'!$I:$I,'代理商-进货明细表'!$B:$B,'代理商-产品进销存'!$B81,'代理商-进货明细表'!$F:$F,'代理商-产品进销存'!$D81,'代理商-进货明细表'!$E:$E,"10月")+SUMIFS('代理商-进货明细表'!$I:$I,'代理商-进货明细表'!$B:$B,'代理商-产品进销存'!$B81,'代理商-进货明细表'!$F:$F,'代理商-产品进销存'!$D81,'代理商-进货明细表'!$E:$E,"11月")+SUMIFS('代理商-进货明细表'!$I:$I,'代理商-进货明细表'!$B:$B,'代理商-产品进销存'!$B81,'代理商-进货明细表'!$F:$F,'代理商-产品进销存'!$D81,'代理商-进货明细表'!$E:$E,"12月"))/10000</f>
        <v>0</v>
      </c>
      <c r="V81" s="29">
        <f t="shared" si="14"/>
        <v>0</v>
      </c>
      <c r="W81" s="29">
        <f t="shared" si="15"/>
        <v>0</v>
      </c>
      <c r="X81" s="29">
        <f t="shared" si="16"/>
        <v>0</v>
      </c>
      <c r="Y81" s="29">
        <f t="shared" si="17"/>
        <v>0</v>
      </c>
      <c r="Z81" s="29">
        <f t="shared" si="18"/>
        <v>0</v>
      </c>
      <c r="AA81" s="29">
        <f t="shared" si="19"/>
        <v>0</v>
      </c>
    </row>
    <row r="82" spans="1:27" x14ac:dyDescent="0.3">
      <c r="A82" s="2" t="s">
        <v>180</v>
      </c>
      <c r="B82" s="2" t="s">
        <v>102</v>
      </c>
      <c r="D82" s="3" t="s">
        <v>17</v>
      </c>
      <c r="L82" s="29">
        <f>(SUMIFS(终端客户销售统计表!$K:$K,终端客户销售统计表!$L:$L,$B82,终端客户销售统计表!$H:$H,$D82,终端客户销售统计表!$G:$G,"1月")+SUMIFS(终端客户销售统计表!$K:$K,终端客户销售统计表!$L:$L,$B82,终端客户销售统计表!$H:$H,$D82,终端客户销售统计表!$G:$G,"2月")+SUMIFS(终端客户销售统计表!$K:$K,终端客户销售统计表!$L:$L,$B82,终端客户销售统计表!$H:$H,$D82,终端客户销售统计表!$G:$G,"3月"))/10000</f>
        <v>0</v>
      </c>
      <c r="M82" s="29">
        <f>(SUMIFS(终端客户销售统计表!$K:$K,终端客户销售统计表!$L:$L,$B82,终端客户销售统计表!$H:$H,$D82,终端客户销售统计表!$G:$G,"4月")+SUMIFS(终端客户销售统计表!$K:$K,终端客户销售统计表!$L:$L,$B82,终端客户销售统计表!$H:$H,$D82,终端客户销售统计表!$G:$G,"5月")+SUMIFS(终端客户销售统计表!$K:$K,终端客户销售统计表!$L:$L,$B82,终端客户销售统计表!$H:$H,$D82,终端客户销售统计表!$G:$G,"6月"))/10000</f>
        <v>0</v>
      </c>
      <c r="N82" s="29">
        <f>(SUMIFS(终端客户销售统计表!$K:$K,终端客户销售统计表!$L:$L,$B82,终端客户销售统计表!$H:$H,$D82,终端客户销售统计表!$G:$G,"7月")+SUMIFS(终端客户销售统计表!$K:$K,终端客户销售统计表!$L:$L,$B82,终端客户销售统计表!$H:$H,$D82,终端客户销售统计表!$G:$G,"8月")+SUMIFS(终端客户销售统计表!$K:$K,终端客户销售统计表!$L:$L,$B82,终端客户销售统计表!$H:$H,$D82,终端客户销售统计表!$G:$G,"9月"))/10000</f>
        <v>0</v>
      </c>
      <c r="O82" s="29">
        <f>(SUMIFS(终端客户销售统计表!$K:$K,终端客户销售统计表!$L:$L,$B82,终端客户销售统计表!$H:$H,$D82,终端客户销售统计表!$G:$G,"10月")+SUMIFS(终端客户销售统计表!$K:$K,终端客户销售统计表!$L:$L,$B82,终端客户销售统计表!$H:$H,$D82,终端客户销售统计表!$G:$G,"11月")+SUMIFS(终端客户销售统计表!$K:$K,终端客户销售统计表!$L:$L,$B82,终端客户销售统计表!$H:$H,$D82,终端客户销售统计表!$G:$G,"12月"))/10000</f>
        <v>0</v>
      </c>
      <c r="P82" s="29">
        <f>SUM(L82:O82)</f>
        <v>0</v>
      </c>
      <c r="Q82" s="44" t="str">
        <f t="shared" si="13"/>
        <v/>
      </c>
      <c r="R82" s="29">
        <f>(SUMIFS('代理商-进货明细表'!$I:$I,'代理商-进货明细表'!$B:$B,'代理商-产品进销存'!$B82,'代理商-进货明细表'!$F:$F,'代理商-产品进销存'!$D82,'代理商-进货明细表'!$E:$E,"1月")+SUMIFS('代理商-进货明细表'!$I:$I,'代理商-进货明细表'!$B:$B,'代理商-产品进销存'!$B82,'代理商-进货明细表'!$F:$F,'代理商-产品进销存'!$D82,'代理商-进货明细表'!$E:$E,"2月")+SUMIFS('代理商-进货明细表'!$I:$I,'代理商-进货明细表'!$B:$B,'代理商-产品进销存'!$B82,'代理商-进货明细表'!$F:$F,'代理商-产品进销存'!$D82,'代理商-进货明细表'!$E:$E,"3月"))/10000</f>
        <v>0</v>
      </c>
      <c r="S82" s="29">
        <f>(SUMIFS('代理商-进货明细表'!$I:$I,'代理商-进货明细表'!$B:$B,'代理商-产品进销存'!$B82,'代理商-进货明细表'!$F:$F,'代理商-产品进销存'!$D82,'代理商-进货明细表'!$E:$E,"4月")+SUMIFS('代理商-进货明细表'!$I:$I,'代理商-进货明细表'!$B:$B,'代理商-产品进销存'!$B82,'代理商-进货明细表'!$F:$F,'代理商-产品进销存'!$D82,'代理商-进货明细表'!$E:$E,"5月")+SUMIFS('代理商-进货明细表'!$I:$I,'代理商-进货明细表'!$B:$B,'代理商-产品进销存'!$B82,'代理商-进货明细表'!$F:$F,'代理商-产品进销存'!$D82,'代理商-进货明细表'!$E:$E,"6月"))/10000</f>
        <v>0</v>
      </c>
      <c r="T82" s="29">
        <f>(SUMIFS('代理商-进货明细表'!$I:$I,'代理商-进货明细表'!$B:$B,'代理商-产品进销存'!$B82,'代理商-进货明细表'!$F:$F,'代理商-产品进销存'!$D82,'代理商-进货明细表'!$E:$E,"7月")+SUMIFS('代理商-进货明细表'!$I:$I,'代理商-进货明细表'!$B:$B,'代理商-产品进销存'!$B82,'代理商-进货明细表'!$F:$F,'代理商-产品进销存'!$D82,'代理商-进货明细表'!$E:$E,"8月")+SUMIFS('代理商-进货明细表'!$I:$I,'代理商-进货明细表'!$B:$B,'代理商-产品进销存'!$B82,'代理商-进货明细表'!$F:$F,'代理商-产品进销存'!$D82,'代理商-进货明细表'!$E:$E,"9月"))/10000</f>
        <v>0</v>
      </c>
      <c r="U82" s="29">
        <f>(SUMIFS('代理商-进货明细表'!$I:$I,'代理商-进货明细表'!$B:$B,'代理商-产品进销存'!$B82,'代理商-进货明细表'!$F:$F,'代理商-产品进销存'!$D82,'代理商-进货明细表'!$E:$E,"10月")+SUMIFS('代理商-进货明细表'!$I:$I,'代理商-进货明细表'!$B:$B,'代理商-产品进销存'!$B82,'代理商-进货明细表'!$F:$F,'代理商-产品进销存'!$D82,'代理商-进货明细表'!$E:$E,"11月")+SUMIFS('代理商-进货明细表'!$I:$I,'代理商-进货明细表'!$B:$B,'代理商-产品进销存'!$B82,'代理商-进货明细表'!$F:$F,'代理商-产品进销存'!$D82,'代理商-进货明细表'!$E:$E,"12月"))/10000</f>
        <v>0</v>
      </c>
      <c r="V82" s="29">
        <f t="shared" si="14"/>
        <v>0</v>
      </c>
      <c r="W82" s="29">
        <f t="shared" si="15"/>
        <v>0</v>
      </c>
      <c r="X82" s="29">
        <f t="shared" si="16"/>
        <v>0</v>
      </c>
      <c r="Y82" s="29">
        <f t="shared" si="17"/>
        <v>0</v>
      </c>
      <c r="Z82" s="29">
        <f t="shared" si="18"/>
        <v>0</v>
      </c>
      <c r="AA82" s="29">
        <f t="shared" si="19"/>
        <v>0</v>
      </c>
    </row>
    <row r="83" spans="1:27" x14ac:dyDescent="0.3">
      <c r="A83" s="2" t="s">
        <v>181</v>
      </c>
      <c r="B83" s="2" t="s">
        <v>103</v>
      </c>
      <c r="D83" s="3" t="s">
        <v>14</v>
      </c>
      <c r="L83" s="29">
        <f>(SUMIFS(终端客户销售统计表!$K:$K,终端客户销售统计表!$L:$L,$B83,终端客户销售统计表!$H:$H,$D83,终端客户销售统计表!$G:$G,"1月")+SUMIFS(终端客户销售统计表!$K:$K,终端客户销售统计表!$L:$L,$B83,终端客户销售统计表!$H:$H,$D83,终端客户销售统计表!$G:$G,"2月")+SUMIFS(终端客户销售统计表!$K:$K,终端客户销售统计表!$L:$L,$B83,终端客户销售统计表!$H:$H,$D83,终端客户销售统计表!$G:$G,"3月"))/10000</f>
        <v>0</v>
      </c>
      <c r="M83" s="29">
        <f>(SUMIFS(终端客户销售统计表!$K:$K,终端客户销售统计表!$L:$L,$B83,终端客户销售统计表!$H:$H,$D83,终端客户销售统计表!$G:$G,"4月")+SUMIFS(终端客户销售统计表!$K:$K,终端客户销售统计表!$L:$L,$B83,终端客户销售统计表!$H:$H,$D83,终端客户销售统计表!$G:$G,"5月")+SUMIFS(终端客户销售统计表!$K:$K,终端客户销售统计表!$L:$L,$B83,终端客户销售统计表!$H:$H,$D83,终端客户销售统计表!$G:$G,"6月"))/10000</f>
        <v>0</v>
      </c>
      <c r="N83" s="29">
        <f>(SUMIFS(终端客户销售统计表!$K:$K,终端客户销售统计表!$L:$L,$B83,终端客户销售统计表!$H:$H,$D83,终端客户销售统计表!$G:$G,"7月")+SUMIFS(终端客户销售统计表!$K:$K,终端客户销售统计表!$L:$L,$B83,终端客户销售统计表!$H:$H,$D83,终端客户销售统计表!$G:$G,"8月")+SUMIFS(终端客户销售统计表!$K:$K,终端客户销售统计表!$L:$L,$B83,终端客户销售统计表!$H:$H,$D83,终端客户销售统计表!$G:$G,"9月"))/10000</f>
        <v>0</v>
      </c>
      <c r="O83" s="29">
        <f>(SUMIFS(终端客户销售统计表!$K:$K,终端客户销售统计表!$L:$L,$B83,终端客户销售统计表!$H:$H,$D83,终端客户销售统计表!$G:$G,"10月")+SUMIFS(终端客户销售统计表!$K:$K,终端客户销售统计表!$L:$L,$B83,终端客户销售统计表!$H:$H,$D83,终端客户销售统计表!$G:$G,"11月")+SUMIFS(终端客户销售统计表!$K:$K,终端客户销售统计表!$L:$L,$B83,终端客户销售统计表!$H:$H,$D83,终端客户销售统计表!$G:$G,"12月"))/10000</f>
        <v>0</v>
      </c>
      <c r="P83" s="29">
        <f>SUM(L83:O83)</f>
        <v>0</v>
      </c>
      <c r="Q83" s="44" t="str">
        <f t="shared" si="13"/>
        <v/>
      </c>
      <c r="R83" s="29">
        <f>(SUMIFS('代理商-进货明细表'!$I:$I,'代理商-进货明细表'!$B:$B,'代理商-产品进销存'!$B83,'代理商-进货明细表'!$F:$F,'代理商-产品进销存'!$D83,'代理商-进货明细表'!$E:$E,"1月")+SUMIFS('代理商-进货明细表'!$I:$I,'代理商-进货明细表'!$B:$B,'代理商-产品进销存'!$B83,'代理商-进货明细表'!$F:$F,'代理商-产品进销存'!$D83,'代理商-进货明细表'!$E:$E,"2月")+SUMIFS('代理商-进货明细表'!$I:$I,'代理商-进货明细表'!$B:$B,'代理商-产品进销存'!$B83,'代理商-进货明细表'!$F:$F,'代理商-产品进销存'!$D83,'代理商-进货明细表'!$E:$E,"3月"))/10000</f>
        <v>0</v>
      </c>
      <c r="S83" s="29">
        <f>(SUMIFS('代理商-进货明细表'!$I:$I,'代理商-进货明细表'!$B:$B,'代理商-产品进销存'!$B83,'代理商-进货明细表'!$F:$F,'代理商-产品进销存'!$D83,'代理商-进货明细表'!$E:$E,"4月")+SUMIFS('代理商-进货明细表'!$I:$I,'代理商-进货明细表'!$B:$B,'代理商-产品进销存'!$B83,'代理商-进货明细表'!$F:$F,'代理商-产品进销存'!$D83,'代理商-进货明细表'!$E:$E,"5月")+SUMIFS('代理商-进货明细表'!$I:$I,'代理商-进货明细表'!$B:$B,'代理商-产品进销存'!$B83,'代理商-进货明细表'!$F:$F,'代理商-产品进销存'!$D83,'代理商-进货明细表'!$E:$E,"6月"))/10000</f>
        <v>0</v>
      </c>
      <c r="T83" s="29">
        <f>(SUMIFS('代理商-进货明细表'!$I:$I,'代理商-进货明细表'!$B:$B,'代理商-产品进销存'!$B83,'代理商-进货明细表'!$F:$F,'代理商-产品进销存'!$D83,'代理商-进货明细表'!$E:$E,"7月")+SUMIFS('代理商-进货明细表'!$I:$I,'代理商-进货明细表'!$B:$B,'代理商-产品进销存'!$B83,'代理商-进货明细表'!$F:$F,'代理商-产品进销存'!$D83,'代理商-进货明细表'!$E:$E,"8月")+SUMIFS('代理商-进货明细表'!$I:$I,'代理商-进货明细表'!$B:$B,'代理商-产品进销存'!$B83,'代理商-进货明细表'!$F:$F,'代理商-产品进销存'!$D83,'代理商-进货明细表'!$E:$E,"9月"))/10000</f>
        <v>0</v>
      </c>
      <c r="U83" s="29">
        <f>(SUMIFS('代理商-进货明细表'!$I:$I,'代理商-进货明细表'!$B:$B,'代理商-产品进销存'!$B83,'代理商-进货明细表'!$F:$F,'代理商-产品进销存'!$D83,'代理商-进货明细表'!$E:$E,"10月")+SUMIFS('代理商-进货明细表'!$I:$I,'代理商-进货明细表'!$B:$B,'代理商-产品进销存'!$B83,'代理商-进货明细表'!$F:$F,'代理商-产品进销存'!$D83,'代理商-进货明细表'!$E:$E,"11月")+SUMIFS('代理商-进货明细表'!$I:$I,'代理商-进货明细表'!$B:$B,'代理商-产品进销存'!$B83,'代理商-进货明细表'!$F:$F,'代理商-产品进销存'!$D83,'代理商-进货明细表'!$E:$E,"12月"))/10000</f>
        <v>0</v>
      </c>
      <c r="V83" s="29">
        <f t="shared" si="14"/>
        <v>0</v>
      </c>
      <c r="W83" s="29">
        <f t="shared" si="15"/>
        <v>0</v>
      </c>
      <c r="X83" s="29">
        <f t="shared" si="16"/>
        <v>0</v>
      </c>
      <c r="Y83" s="29">
        <f t="shared" si="17"/>
        <v>0</v>
      </c>
      <c r="Z83" s="29">
        <f t="shared" si="18"/>
        <v>0</v>
      </c>
      <c r="AA83" s="29">
        <f t="shared" si="19"/>
        <v>0</v>
      </c>
    </row>
    <row r="84" spans="1:27" x14ac:dyDescent="0.3">
      <c r="A84" s="2" t="s">
        <v>181</v>
      </c>
      <c r="B84" s="2" t="s">
        <v>103</v>
      </c>
      <c r="D84" s="3" t="s">
        <v>15</v>
      </c>
      <c r="L84" s="29">
        <f>(SUMIFS(终端客户销售统计表!$K:$K,终端客户销售统计表!$L:$L,$B84,终端客户销售统计表!$H:$H,$D84,终端客户销售统计表!$G:$G,"1月")+SUMIFS(终端客户销售统计表!$K:$K,终端客户销售统计表!$L:$L,$B84,终端客户销售统计表!$H:$H,$D84,终端客户销售统计表!$G:$G,"2月")+SUMIFS(终端客户销售统计表!$K:$K,终端客户销售统计表!$L:$L,$B84,终端客户销售统计表!$H:$H,$D84,终端客户销售统计表!$G:$G,"3月"))/10000</f>
        <v>0</v>
      </c>
      <c r="M84" s="29">
        <f>(SUMIFS(终端客户销售统计表!$K:$K,终端客户销售统计表!$L:$L,$B84,终端客户销售统计表!$H:$H,$D84,终端客户销售统计表!$G:$G,"4月")+SUMIFS(终端客户销售统计表!$K:$K,终端客户销售统计表!$L:$L,$B84,终端客户销售统计表!$H:$H,$D84,终端客户销售统计表!$G:$G,"5月")+SUMIFS(终端客户销售统计表!$K:$K,终端客户销售统计表!$L:$L,$B84,终端客户销售统计表!$H:$H,$D84,终端客户销售统计表!$G:$G,"6月"))/10000</f>
        <v>0</v>
      </c>
      <c r="N84" s="29">
        <f>(SUMIFS(终端客户销售统计表!$K:$K,终端客户销售统计表!$L:$L,$B84,终端客户销售统计表!$H:$H,$D84,终端客户销售统计表!$G:$G,"7月")+SUMIFS(终端客户销售统计表!$K:$K,终端客户销售统计表!$L:$L,$B84,终端客户销售统计表!$H:$H,$D84,终端客户销售统计表!$G:$G,"8月")+SUMIFS(终端客户销售统计表!$K:$K,终端客户销售统计表!$L:$L,$B84,终端客户销售统计表!$H:$H,$D84,终端客户销售统计表!$G:$G,"9月"))/10000</f>
        <v>0</v>
      </c>
      <c r="O84" s="29">
        <f>(SUMIFS(终端客户销售统计表!$K:$K,终端客户销售统计表!$L:$L,$B84,终端客户销售统计表!$H:$H,$D84,终端客户销售统计表!$G:$G,"10月")+SUMIFS(终端客户销售统计表!$K:$K,终端客户销售统计表!$L:$L,$B84,终端客户销售统计表!$H:$H,$D84,终端客户销售统计表!$G:$G,"11月")+SUMIFS(终端客户销售统计表!$K:$K,终端客户销售统计表!$L:$L,$B84,终端客户销售统计表!$H:$H,$D84,终端客户销售统计表!$G:$G,"12月"))/10000</f>
        <v>0</v>
      </c>
      <c r="P84" s="29">
        <f>SUM(L84:O84)</f>
        <v>0</v>
      </c>
      <c r="Q84" s="44" t="str">
        <f t="shared" si="13"/>
        <v/>
      </c>
      <c r="R84" s="29">
        <f>(SUMIFS('代理商-进货明细表'!$I:$I,'代理商-进货明细表'!$B:$B,'代理商-产品进销存'!$B84,'代理商-进货明细表'!$F:$F,'代理商-产品进销存'!$D84,'代理商-进货明细表'!$E:$E,"1月")+SUMIFS('代理商-进货明细表'!$I:$I,'代理商-进货明细表'!$B:$B,'代理商-产品进销存'!$B84,'代理商-进货明细表'!$F:$F,'代理商-产品进销存'!$D84,'代理商-进货明细表'!$E:$E,"2月")+SUMIFS('代理商-进货明细表'!$I:$I,'代理商-进货明细表'!$B:$B,'代理商-产品进销存'!$B84,'代理商-进货明细表'!$F:$F,'代理商-产品进销存'!$D84,'代理商-进货明细表'!$E:$E,"3月"))/10000</f>
        <v>0</v>
      </c>
      <c r="S84" s="29">
        <f>(SUMIFS('代理商-进货明细表'!$I:$I,'代理商-进货明细表'!$B:$B,'代理商-产品进销存'!$B84,'代理商-进货明细表'!$F:$F,'代理商-产品进销存'!$D84,'代理商-进货明细表'!$E:$E,"4月")+SUMIFS('代理商-进货明细表'!$I:$I,'代理商-进货明细表'!$B:$B,'代理商-产品进销存'!$B84,'代理商-进货明细表'!$F:$F,'代理商-产品进销存'!$D84,'代理商-进货明细表'!$E:$E,"5月")+SUMIFS('代理商-进货明细表'!$I:$I,'代理商-进货明细表'!$B:$B,'代理商-产品进销存'!$B84,'代理商-进货明细表'!$F:$F,'代理商-产品进销存'!$D84,'代理商-进货明细表'!$E:$E,"6月"))/10000</f>
        <v>0</v>
      </c>
      <c r="T84" s="29">
        <f>(SUMIFS('代理商-进货明细表'!$I:$I,'代理商-进货明细表'!$B:$B,'代理商-产品进销存'!$B84,'代理商-进货明细表'!$F:$F,'代理商-产品进销存'!$D84,'代理商-进货明细表'!$E:$E,"7月")+SUMIFS('代理商-进货明细表'!$I:$I,'代理商-进货明细表'!$B:$B,'代理商-产品进销存'!$B84,'代理商-进货明细表'!$F:$F,'代理商-产品进销存'!$D84,'代理商-进货明细表'!$E:$E,"8月")+SUMIFS('代理商-进货明细表'!$I:$I,'代理商-进货明细表'!$B:$B,'代理商-产品进销存'!$B84,'代理商-进货明细表'!$F:$F,'代理商-产品进销存'!$D84,'代理商-进货明细表'!$E:$E,"9月"))/10000</f>
        <v>0</v>
      </c>
      <c r="U84" s="29">
        <f>(SUMIFS('代理商-进货明细表'!$I:$I,'代理商-进货明细表'!$B:$B,'代理商-产品进销存'!$B84,'代理商-进货明细表'!$F:$F,'代理商-产品进销存'!$D84,'代理商-进货明细表'!$E:$E,"10月")+SUMIFS('代理商-进货明细表'!$I:$I,'代理商-进货明细表'!$B:$B,'代理商-产品进销存'!$B84,'代理商-进货明细表'!$F:$F,'代理商-产品进销存'!$D84,'代理商-进货明细表'!$E:$E,"11月")+SUMIFS('代理商-进货明细表'!$I:$I,'代理商-进货明细表'!$B:$B,'代理商-产品进销存'!$B84,'代理商-进货明细表'!$F:$F,'代理商-产品进销存'!$D84,'代理商-进货明细表'!$E:$E,"12月"))/10000</f>
        <v>0</v>
      </c>
      <c r="V84" s="29">
        <f t="shared" si="14"/>
        <v>0</v>
      </c>
      <c r="W84" s="29">
        <f t="shared" si="15"/>
        <v>0</v>
      </c>
      <c r="X84" s="29">
        <f t="shared" si="16"/>
        <v>0</v>
      </c>
      <c r="Y84" s="29">
        <f t="shared" si="17"/>
        <v>0</v>
      </c>
      <c r="Z84" s="29">
        <f t="shared" si="18"/>
        <v>0</v>
      </c>
      <c r="AA84" s="29">
        <f t="shared" si="19"/>
        <v>0</v>
      </c>
    </row>
    <row r="85" spans="1:27" x14ac:dyDescent="0.3">
      <c r="A85" s="2" t="s">
        <v>181</v>
      </c>
      <c r="B85" s="2" t="s">
        <v>103</v>
      </c>
      <c r="D85" s="3" t="s">
        <v>16</v>
      </c>
      <c r="L85" s="29">
        <f>(SUMIFS(终端客户销售统计表!$K:$K,终端客户销售统计表!$L:$L,$B85,终端客户销售统计表!$H:$H,$D85,终端客户销售统计表!$G:$G,"1月")+SUMIFS(终端客户销售统计表!$K:$K,终端客户销售统计表!$L:$L,$B85,终端客户销售统计表!$H:$H,$D85,终端客户销售统计表!$G:$G,"2月")+SUMIFS(终端客户销售统计表!$K:$K,终端客户销售统计表!$L:$L,$B85,终端客户销售统计表!$H:$H,$D85,终端客户销售统计表!$G:$G,"3月"))/10000</f>
        <v>0</v>
      </c>
      <c r="M85" s="29">
        <f>(SUMIFS(终端客户销售统计表!$K:$K,终端客户销售统计表!$L:$L,$B85,终端客户销售统计表!$H:$H,$D85,终端客户销售统计表!$G:$G,"4月")+SUMIFS(终端客户销售统计表!$K:$K,终端客户销售统计表!$L:$L,$B85,终端客户销售统计表!$H:$H,$D85,终端客户销售统计表!$G:$G,"5月")+SUMIFS(终端客户销售统计表!$K:$K,终端客户销售统计表!$L:$L,$B85,终端客户销售统计表!$H:$H,$D85,终端客户销售统计表!$G:$G,"6月"))/10000</f>
        <v>0</v>
      </c>
      <c r="N85" s="29">
        <f>(SUMIFS(终端客户销售统计表!$K:$K,终端客户销售统计表!$L:$L,$B85,终端客户销售统计表!$H:$H,$D85,终端客户销售统计表!$G:$G,"7月")+SUMIFS(终端客户销售统计表!$K:$K,终端客户销售统计表!$L:$L,$B85,终端客户销售统计表!$H:$H,$D85,终端客户销售统计表!$G:$G,"8月")+SUMIFS(终端客户销售统计表!$K:$K,终端客户销售统计表!$L:$L,$B85,终端客户销售统计表!$H:$H,$D85,终端客户销售统计表!$G:$G,"9月"))/10000</f>
        <v>0</v>
      </c>
      <c r="O85" s="29">
        <f>(SUMIFS(终端客户销售统计表!$K:$K,终端客户销售统计表!$L:$L,$B85,终端客户销售统计表!$H:$H,$D85,终端客户销售统计表!$G:$G,"10月")+SUMIFS(终端客户销售统计表!$K:$K,终端客户销售统计表!$L:$L,$B85,终端客户销售统计表!$H:$H,$D85,终端客户销售统计表!$G:$G,"11月")+SUMIFS(终端客户销售统计表!$K:$K,终端客户销售统计表!$L:$L,$B85,终端客户销售统计表!$H:$H,$D85,终端客户销售统计表!$G:$G,"12月"))/10000</f>
        <v>0</v>
      </c>
      <c r="P85" s="29">
        <f>SUM(L85:O85)</f>
        <v>0</v>
      </c>
      <c r="Q85" s="44" t="str">
        <f t="shared" si="13"/>
        <v/>
      </c>
      <c r="R85" s="29">
        <f>(SUMIFS('代理商-进货明细表'!$I:$I,'代理商-进货明细表'!$B:$B,'代理商-产品进销存'!$B85,'代理商-进货明细表'!$F:$F,'代理商-产品进销存'!$D85,'代理商-进货明细表'!$E:$E,"1月")+SUMIFS('代理商-进货明细表'!$I:$I,'代理商-进货明细表'!$B:$B,'代理商-产品进销存'!$B85,'代理商-进货明细表'!$F:$F,'代理商-产品进销存'!$D85,'代理商-进货明细表'!$E:$E,"2月")+SUMIFS('代理商-进货明细表'!$I:$I,'代理商-进货明细表'!$B:$B,'代理商-产品进销存'!$B85,'代理商-进货明细表'!$F:$F,'代理商-产品进销存'!$D85,'代理商-进货明细表'!$E:$E,"3月"))/10000</f>
        <v>0</v>
      </c>
      <c r="S85" s="29">
        <f>(SUMIFS('代理商-进货明细表'!$I:$I,'代理商-进货明细表'!$B:$B,'代理商-产品进销存'!$B85,'代理商-进货明细表'!$F:$F,'代理商-产品进销存'!$D85,'代理商-进货明细表'!$E:$E,"4月")+SUMIFS('代理商-进货明细表'!$I:$I,'代理商-进货明细表'!$B:$B,'代理商-产品进销存'!$B85,'代理商-进货明细表'!$F:$F,'代理商-产品进销存'!$D85,'代理商-进货明细表'!$E:$E,"5月")+SUMIFS('代理商-进货明细表'!$I:$I,'代理商-进货明细表'!$B:$B,'代理商-产品进销存'!$B85,'代理商-进货明细表'!$F:$F,'代理商-产品进销存'!$D85,'代理商-进货明细表'!$E:$E,"6月"))/10000</f>
        <v>0</v>
      </c>
      <c r="T85" s="29">
        <f>(SUMIFS('代理商-进货明细表'!$I:$I,'代理商-进货明细表'!$B:$B,'代理商-产品进销存'!$B85,'代理商-进货明细表'!$F:$F,'代理商-产品进销存'!$D85,'代理商-进货明细表'!$E:$E,"7月")+SUMIFS('代理商-进货明细表'!$I:$I,'代理商-进货明细表'!$B:$B,'代理商-产品进销存'!$B85,'代理商-进货明细表'!$F:$F,'代理商-产品进销存'!$D85,'代理商-进货明细表'!$E:$E,"8月")+SUMIFS('代理商-进货明细表'!$I:$I,'代理商-进货明细表'!$B:$B,'代理商-产品进销存'!$B85,'代理商-进货明细表'!$F:$F,'代理商-产品进销存'!$D85,'代理商-进货明细表'!$E:$E,"9月"))/10000</f>
        <v>0</v>
      </c>
      <c r="U85" s="29">
        <f>(SUMIFS('代理商-进货明细表'!$I:$I,'代理商-进货明细表'!$B:$B,'代理商-产品进销存'!$B85,'代理商-进货明细表'!$F:$F,'代理商-产品进销存'!$D85,'代理商-进货明细表'!$E:$E,"10月")+SUMIFS('代理商-进货明细表'!$I:$I,'代理商-进货明细表'!$B:$B,'代理商-产品进销存'!$B85,'代理商-进货明细表'!$F:$F,'代理商-产品进销存'!$D85,'代理商-进货明细表'!$E:$E,"11月")+SUMIFS('代理商-进货明细表'!$I:$I,'代理商-进货明细表'!$B:$B,'代理商-产品进销存'!$B85,'代理商-进货明细表'!$F:$F,'代理商-产品进销存'!$D85,'代理商-进货明细表'!$E:$E,"12月"))/10000</f>
        <v>0</v>
      </c>
      <c r="V85" s="29">
        <f t="shared" si="14"/>
        <v>0</v>
      </c>
      <c r="W85" s="29">
        <f t="shared" si="15"/>
        <v>0</v>
      </c>
      <c r="X85" s="29">
        <f t="shared" si="16"/>
        <v>0</v>
      </c>
      <c r="Y85" s="29">
        <f t="shared" si="17"/>
        <v>0</v>
      </c>
      <c r="Z85" s="29">
        <f t="shared" si="18"/>
        <v>0</v>
      </c>
      <c r="AA85" s="29">
        <f t="shared" si="19"/>
        <v>0</v>
      </c>
    </row>
    <row r="86" spans="1:27" x14ac:dyDescent="0.3">
      <c r="A86" s="2" t="s">
        <v>181</v>
      </c>
      <c r="B86" s="2" t="s">
        <v>103</v>
      </c>
      <c r="D86" s="3" t="s">
        <v>17</v>
      </c>
      <c r="L86" s="29">
        <f>(SUMIFS(终端客户销售统计表!$K:$K,终端客户销售统计表!$L:$L,$B86,终端客户销售统计表!$H:$H,$D86,终端客户销售统计表!$G:$G,"1月")+SUMIFS(终端客户销售统计表!$K:$K,终端客户销售统计表!$L:$L,$B86,终端客户销售统计表!$H:$H,$D86,终端客户销售统计表!$G:$G,"2月")+SUMIFS(终端客户销售统计表!$K:$K,终端客户销售统计表!$L:$L,$B86,终端客户销售统计表!$H:$H,$D86,终端客户销售统计表!$G:$G,"3月"))/10000</f>
        <v>0</v>
      </c>
      <c r="M86" s="29">
        <f>(SUMIFS(终端客户销售统计表!$K:$K,终端客户销售统计表!$L:$L,$B86,终端客户销售统计表!$H:$H,$D86,终端客户销售统计表!$G:$G,"4月")+SUMIFS(终端客户销售统计表!$K:$K,终端客户销售统计表!$L:$L,$B86,终端客户销售统计表!$H:$H,$D86,终端客户销售统计表!$G:$G,"5月")+SUMIFS(终端客户销售统计表!$K:$K,终端客户销售统计表!$L:$L,$B86,终端客户销售统计表!$H:$H,$D86,终端客户销售统计表!$G:$G,"6月"))/10000</f>
        <v>0</v>
      </c>
      <c r="N86" s="29">
        <f>(SUMIFS(终端客户销售统计表!$K:$K,终端客户销售统计表!$L:$L,$B86,终端客户销售统计表!$H:$H,$D86,终端客户销售统计表!$G:$G,"7月")+SUMIFS(终端客户销售统计表!$K:$K,终端客户销售统计表!$L:$L,$B86,终端客户销售统计表!$H:$H,$D86,终端客户销售统计表!$G:$G,"8月")+SUMIFS(终端客户销售统计表!$K:$K,终端客户销售统计表!$L:$L,$B86,终端客户销售统计表!$H:$H,$D86,终端客户销售统计表!$G:$G,"9月"))/10000</f>
        <v>0</v>
      </c>
      <c r="O86" s="29">
        <f>(SUMIFS(终端客户销售统计表!$K:$K,终端客户销售统计表!$L:$L,$B86,终端客户销售统计表!$H:$H,$D86,终端客户销售统计表!$G:$G,"10月")+SUMIFS(终端客户销售统计表!$K:$K,终端客户销售统计表!$L:$L,$B86,终端客户销售统计表!$H:$H,$D86,终端客户销售统计表!$G:$G,"11月")+SUMIFS(终端客户销售统计表!$K:$K,终端客户销售统计表!$L:$L,$B86,终端客户销售统计表!$H:$H,$D86,终端客户销售统计表!$G:$G,"12月"))/10000</f>
        <v>0</v>
      </c>
      <c r="P86" s="29">
        <f>SUM(L86:O86)</f>
        <v>0</v>
      </c>
      <c r="Q86" s="44" t="str">
        <f t="shared" si="13"/>
        <v/>
      </c>
      <c r="R86" s="29">
        <f>(SUMIFS('代理商-进货明细表'!$I:$I,'代理商-进货明细表'!$B:$B,'代理商-产品进销存'!$B86,'代理商-进货明细表'!$F:$F,'代理商-产品进销存'!$D86,'代理商-进货明细表'!$E:$E,"1月")+SUMIFS('代理商-进货明细表'!$I:$I,'代理商-进货明细表'!$B:$B,'代理商-产品进销存'!$B86,'代理商-进货明细表'!$F:$F,'代理商-产品进销存'!$D86,'代理商-进货明细表'!$E:$E,"2月")+SUMIFS('代理商-进货明细表'!$I:$I,'代理商-进货明细表'!$B:$B,'代理商-产品进销存'!$B86,'代理商-进货明细表'!$F:$F,'代理商-产品进销存'!$D86,'代理商-进货明细表'!$E:$E,"3月"))/10000</f>
        <v>0</v>
      </c>
      <c r="S86" s="29">
        <f>(SUMIFS('代理商-进货明细表'!$I:$I,'代理商-进货明细表'!$B:$B,'代理商-产品进销存'!$B86,'代理商-进货明细表'!$F:$F,'代理商-产品进销存'!$D86,'代理商-进货明细表'!$E:$E,"4月")+SUMIFS('代理商-进货明细表'!$I:$I,'代理商-进货明细表'!$B:$B,'代理商-产品进销存'!$B86,'代理商-进货明细表'!$F:$F,'代理商-产品进销存'!$D86,'代理商-进货明细表'!$E:$E,"5月")+SUMIFS('代理商-进货明细表'!$I:$I,'代理商-进货明细表'!$B:$B,'代理商-产品进销存'!$B86,'代理商-进货明细表'!$F:$F,'代理商-产品进销存'!$D86,'代理商-进货明细表'!$E:$E,"6月"))/10000</f>
        <v>0</v>
      </c>
      <c r="T86" s="29">
        <f>(SUMIFS('代理商-进货明细表'!$I:$I,'代理商-进货明细表'!$B:$B,'代理商-产品进销存'!$B86,'代理商-进货明细表'!$F:$F,'代理商-产品进销存'!$D86,'代理商-进货明细表'!$E:$E,"7月")+SUMIFS('代理商-进货明细表'!$I:$I,'代理商-进货明细表'!$B:$B,'代理商-产品进销存'!$B86,'代理商-进货明细表'!$F:$F,'代理商-产品进销存'!$D86,'代理商-进货明细表'!$E:$E,"8月")+SUMIFS('代理商-进货明细表'!$I:$I,'代理商-进货明细表'!$B:$B,'代理商-产品进销存'!$B86,'代理商-进货明细表'!$F:$F,'代理商-产品进销存'!$D86,'代理商-进货明细表'!$E:$E,"9月"))/10000</f>
        <v>0</v>
      </c>
      <c r="U86" s="29">
        <f>(SUMIFS('代理商-进货明细表'!$I:$I,'代理商-进货明细表'!$B:$B,'代理商-产品进销存'!$B86,'代理商-进货明细表'!$F:$F,'代理商-产品进销存'!$D86,'代理商-进货明细表'!$E:$E,"10月")+SUMIFS('代理商-进货明细表'!$I:$I,'代理商-进货明细表'!$B:$B,'代理商-产品进销存'!$B86,'代理商-进货明细表'!$F:$F,'代理商-产品进销存'!$D86,'代理商-进货明细表'!$E:$E,"11月")+SUMIFS('代理商-进货明细表'!$I:$I,'代理商-进货明细表'!$B:$B,'代理商-产品进销存'!$B86,'代理商-进货明细表'!$F:$F,'代理商-产品进销存'!$D86,'代理商-进货明细表'!$E:$E,"12月"))/10000</f>
        <v>0</v>
      </c>
      <c r="V86" s="29">
        <f t="shared" si="14"/>
        <v>0</v>
      </c>
      <c r="W86" s="29">
        <f t="shared" si="15"/>
        <v>0</v>
      </c>
      <c r="X86" s="29">
        <f t="shared" si="16"/>
        <v>0</v>
      </c>
      <c r="Y86" s="29">
        <f t="shared" si="17"/>
        <v>0</v>
      </c>
      <c r="Z86" s="29">
        <f t="shared" si="18"/>
        <v>0</v>
      </c>
      <c r="AA86" s="29">
        <f t="shared" si="19"/>
        <v>0</v>
      </c>
    </row>
    <row r="87" spans="1:27" x14ac:dyDescent="0.3">
      <c r="A87" s="2" t="s">
        <v>182</v>
      </c>
      <c r="B87" s="2" t="s">
        <v>104</v>
      </c>
      <c r="D87" s="3" t="s">
        <v>14</v>
      </c>
      <c r="L87" s="29">
        <f>(SUMIFS(终端客户销售统计表!$K:$K,终端客户销售统计表!$L:$L,$B87,终端客户销售统计表!$H:$H,$D87,终端客户销售统计表!$G:$G,"1月")+SUMIFS(终端客户销售统计表!$K:$K,终端客户销售统计表!$L:$L,$B87,终端客户销售统计表!$H:$H,$D87,终端客户销售统计表!$G:$G,"2月")+SUMIFS(终端客户销售统计表!$K:$K,终端客户销售统计表!$L:$L,$B87,终端客户销售统计表!$H:$H,$D87,终端客户销售统计表!$G:$G,"3月"))/10000</f>
        <v>0</v>
      </c>
      <c r="M87" s="29">
        <f>(SUMIFS(终端客户销售统计表!$K:$K,终端客户销售统计表!$L:$L,$B87,终端客户销售统计表!$H:$H,$D87,终端客户销售统计表!$G:$G,"4月")+SUMIFS(终端客户销售统计表!$K:$K,终端客户销售统计表!$L:$L,$B87,终端客户销售统计表!$H:$H,$D87,终端客户销售统计表!$G:$G,"5月")+SUMIFS(终端客户销售统计表!$K:$K,终端客户销售统计表!$L:$L,$B87,终端客户销售统计表!$H:$H,$D87,终端客户销售统计表!$G:$G,"6月"))/10000</f>
        <v>0</v>
      </c>
      <c r="N87" s="29">
        <f>(SUMIFS(终端客户销售统计表!$K:$K,终端客户销售统计表!$L:$L,$B87,终端客户销售统计表!$H:$H,$D87,终端客户销售统计表!$G:$G,"7月")+SUMIFS(终端客户销售统计表!$K:$K,终端客户销售统计表!$L:$L,$B87,终端客户销售统计表!$H:$H,$D87,终端客户销售统计表!$G:$G,"8月")+SUMIFS(终端客户销售统计表!$K:$K,终端客户销售统计表!$L:$L,$B87,终端客户销售统计表!$H:$H,$D87,终端客户销售统计表!$G:$G,"9月"))/10000</f>
        <v>0</v>
      </c>
      <c r="O87" s="29">
        <f>(SUMIFS(终端客户销售统计表!$K:$K,终端客户销售统计表!$L:$L,$B87,终端客户销售统计表!$H:$H,$D87,终端客户销售统计表!$G:$G,"10月")+SUMIFS(终端客户销售统计表!$K:$K,终端客户销售统计表!$L:$L,$B87,终端客户销售统计表!$H:$H,$D87,终端客户销售统计表!$G:$G,"11月")+SUMIFS(终端客户销售统计表!$K:$K,终端客户销售统计表!$L:$L,$B87,终端客户销售统计表!$H:$H,$D87,终端客户销售统计表!$G:$G,"12月"))/10000</f>
        <v>0</v>
      </c>
      <c r="P87" s="29">
        <f>SUM(L87:O87)</f>
        <v>0</v>
      </c>
      <c r="Q87" s="44" t="str">
        <f t="shared" si="13"/>
        <v/>
      </c>
      <c r="R87" s="29">
        <f>(SUMIFS('代理商-进货明细表'!$I:$I,'代理商-进货明细表'!$B:$B,'代理商-产品进销存'!$B87,'代理商-进货明细表'!$F:$F,'代理商-产品进销存'!$D87,'代理商-进货明细表'!$E:$E,"1月")+SUMIFS('代理商-进货明细表'!$I:$I,'代理商-进货明细表'!$B:$B,'代理商-产品进销存'!$B87,'代理商-进货明细表'!$F:$F,'代理商-产品进销存'!$D87,'代理商-进货明细表'!$E:$E,"2月")+SUMIFS('代理商-进货明细表'!$I:$I,'代理商-进货明细表'!$B:$B,'代理商-产品进销存'!$B87,'代理商-进货明细表'!$F:$F,'代理商-产品进销存'!$D87,'代理商-进货明细表'!$E:$E,"3月"))/10000</f>
        <v>0</v>
      </c>
      <c r="S87" s="29">
        <f>(SUMIFS('代理商-进货明细表'!$I:$I,'代理商-进货明细表'!$B:$B,'代理商-产品进销存'!$B87,'代理商-进货明细表'!$F:$F,'代理商-产品进销存'!$D87,'代理商-进货明细表'!$E:$E,"4月")+SUMIFS('代理商-进货明细表'!$I:$I,'代理商-进货明细表'!$B:$B,'代理商-产品进销存'!$B87,'代理商-进货明细表'!$F:$F,'代理商-产品进销存'!$D87,'代理商-进货明细表'!$E:$E,"5月")+SUMIFS('代理商-进货明细表'!$I:$I,'代理商-进货明细表'!$B:$B,'代理商-产品进销存'!$B87,'代理商-进货明细表'!$F:$F,'代理商-产品进销存'!$D87,'代理商-进货明细表'!$E:$E,"6月"))/10000</f>
        <v>0</v>
      </c>
      <c r="T87" s="29">
        <f>(SUMIFS('代理商-进货明细表'!$I:$I,'代理商-进货明细表'!$B:$B,'代理商-产品进销存'!$B87,'代理商-进货明细表'!$F:$F,'代理商-产品进销存'!$D87,'代理商-进货明细表'!$E:$E,"7月")+SUMIFS('代理商-进货明细表'!$I:$I,'代理商-进货明细表'!$B:$B,'代理商-产品进销存'!$B87,'代理商-进货明细表'!$F:$F,'代理商-产品进销存'!$D87,'代理商-进货明细表'!$E:$E,"8月")+SUMIFS('代理商-进货明细表'!$I:$I,'代理商-进货明细表'!$B:$B,'代理商-产品进销存'!$B87,'代理商-进货明细表'!$F:$F,'代理商-产品进销存'!$D87,'代理商-进货明细表'!$E:$E,"9月"))/10000</f>
        <v>0</v>
      </c>
      <c r="U87" s="29">
        <f>(SUMIFS('代理商-进货明细表'!$I:$I,'代理商-进货明细表'!$B:$B,'代理商-产品进销存'!$B87,'代理商-进货明细表'!$F:$F,'代理商-产品进销存'!$D87,'代理商-进货明细表'!$E:$E,"10月")+SUMIFS('代理商-进货明细表'!$I:$I,'代理商-进货明细表'!$B:$B,'代理商-产品进销存'!$B87,'代理商-进货明细表'!$F:$F,'代理商-产品进销存'!$D87,'代理商-进货明细表'!$E:$E,"11月")+SUMIFS('代理商-进货明细表'!$I:$I,'代理商-进货明细表'!$B:$B,'代理商-产品进销存'!$B87,'代理商-进货明细表'!$F:$F,'代理商-产品进销存'!$D87,'代理商-进货明细表'!$E:$E,"12月"))/10000</f>
        <v>0</v>
      </c>
      <c r="V87" s="29">
        <f t="shared" si="14"/>
        <v>0</v>
      </c>
      <c r="W87" s="29">
        <f t="shared" si="15"/>
        <v>0</v>
      </c>
      <c r="X87" s="29">
        <f t="shared" si="16"/>
        <v>0</v>
      </c>
      <c r="Y87" s="29">
        <f t="shared" si="17"/>
        <v>0</v>
      </c>
      <c r="Z87" s="29">
        <f t="shared" si="18"/>
        <v>0</v>
      </c>
      <c r="AA87" s="29">
        <f t="shared" si="19"/>
        <v>0</v>
      </c>
    </row>
    <row r="88" spans="1:27" x14ac:dyDescent="0.3">
      <c r="A88" s="2" t="s">
        <v>182</v>
      </c>
      <c r="B88" s="2" t="s">
        <v>104</v>
      </c>
      <c r="D88" s="3" t="s">
        <v>15</v>
      </c>
      <c r="L88" s="29">
        <f>(SUMIFS(终端客户销售统计表!$K:$K,终端客户销售统计表!$L:$L,$B88,终端客户销售统计表!$H:$H,$D88,终端客户销售统计表!$G:$G,"1月")+SUMIFS(终端客户销售统计表!$K:$K,终端客户销售统计表!$L:$L,$B88,终端客户销售统计表!$H:$H,$D88,终端客户销售统计表!$G:$G,"2月")+SUMIFS(终端客户销售统计表!$K:$K,终端客户销售统计表!$L:$L,$B88,终端客户销售统计表!$H:$H,$D88,终端客户销售统计表!$G:$G,"3月"))/10000</f>
        <v>0</v>
      </c>
      <c r="M88" s="29">
        <f>(SUMIFS(终端客户销售统计表!$K:$K,终端客户销售统计表!$L:$L,$B88,终端客户销售统计表!$H:$H,$D88,终端客户销售统计表!$G:$G,"4月")+SUMIFS(终端客户销售统计表!$K:$K,终端客户销售统计表!$L:$L,$B88,终端客户销售统计表!$H:$H,$D88,终端客户销售统计表!$G:$G,"5月")+SUMIFS(终端客户销售统计表!$K:$K,终端客户销售统计表!$L:$L,$B88,终端客户销售统计表!$H:$H,$D88,终端客户销售统计表!$G:$G,"6月"))/10000</f>
        <v>0</v>
      </c>
      <c r="N88" s="29">
        <f>(SUMIFS(终端客户销售统计表!$K:$K,终端客户销售统计表!$L:$L,$B88,终端客户销售统计表!$H:$H,$D88,终端客户销售统计表!$G:$G,"7月")+SUMIFS(终端客户销售统计表!$K:$K,终端客户销售统计表!$L:$L,$B88,终端客户销售统计表!$H:$H,$D88,终端客户销售统计表!$G:$G,"8月")+SUMIFS(终端客户销售统计表!$K:$K,终端客户销售统计表!$L:$L,$B88,终端客户销售统计表!$H:$H,$D88,终端客户销售统计表!$G:$G,"9月"))/10000</f>
        <v>0</v>
      </c>
      <c r="O88" s="29">
        <f>(SUMIFS(终端客户销售统计表!$K:$K,终端客户销售统计表!$L:$L,$B88,终端客户销售统计表!$H:$H,$D88,终端客户销售统计表!$G:$G,"10月")+SUMIFS(终端客户销售统计表!$K:$K,终端客户销售统计表!$L:$L,$B88,终端客户销售统计表!$H:$H,$D88,终端客户销售统计表!$G:$G,"11月")+SUMIFS(终端客户销售统计表!$K:$K,终端客户销售统计表!$L:$L,$B88,终端客户销售统计表!$H:$H,$D88,终端客户销售统计表!$G:$G,"12月"))/10000</f>
        <v>0</v>
      </c>
      <c r="P88" s="29">
        <f>SUM(L88:O88)</f>
        <v>0</v>
      </c>
      <c r="Q88" s="44" t="str">
        <f t="shared" si="13"/>
        <v/>
      </c>
      <c r="R88" s="29">
        <f>(SUMIFS('代理商-进货明细表'!$I:$I,'代理商-进货明细表'!$B:$B,'代理商-产品进销存'!$B88,'代理商-进货明细表'!$F:$F,'代理商-产品进销存'!$D88,'代理商-进货明细表'!$E:$E,"1月")+SUMIFS('代理商-进货明细表'!$I:$I,'代理商-进货明细表'!$B:$B,'代理商-产品进销存'!$B88,'代理商-进货明细表'!$F:$F,'代理商-产品进销存'!$D88,'代理商-进货明细表'!$E:$E,"2月")+SUMIFS('代理商-进货明细表'!$I:$I,'代理商-进货明细表'!$B:$B,'代理商-产品进销存'!$B88,'代理商-进货明细表'!$F:$F,'代理商-产品进销存'!$D88,'代理商-进货明细表'!$E:$E,"3月"))/10000</f>
        <v>0</v>
      </c>
      <c r="S88" s="29">
        <f>(SUMIFS('代理商-进货明细表'!$I:$I,'代理商-进货明细表'!$B:$B,'代理商-产品进销存'!$B88,'代理商-进货明细表'!$F:$F,'代理商-产品进销存'!$D88,'代理商-进货明细表'!$E:$E,"4月")+SUMIFS('代理商-进货明细表'!$I:$I,'代理商-进货明细表'!$B:$B,'代理商-产品进销存'!$B88,'代理商-进货明细表'!$F:$F,'代理商-产品进销存'!$D88,'代理商-进货明细表'!$E:$E,"5月")+SUMIFS('代理商-进货明细表'!$I:$I,'代理商-进货明细表'!$B:$B,'代理商-产品进销存'!$B88,'代理商-进货明细表'!$F:$F,'代理商-产品进销存'!$D88,'代理商-进货明细表'!$E:$E,"6月"))/10000</f>
        <v>0</v>
      </c>
      <c r="T88" s="29">
        <f>(SUMIFS('代理商-进货明细表'!$I:$I,'代理商-进货明细表'!$B:$B,'代理商-产品进销存'!$B88,'代理商-进货明细表'!$F:$F,'代理商-产品进销存'!$D88,'代理商-进货明细表'!$E:$E,"7月")+SUMIFS('代理商-进货明细表'!$I:$I,'代理商-进货明细表'!$B:$B,'代理商-产品进销存'!$B88,'代理商-进货明细表'!$F:$F,'代理商-产品进销存'!$D88,'代理商-进货明细表'!$E:$E,"8月")+SUMIFS('代理商-进货明细表'!$I:$I,'代理商-进货明细表'!$B:$B,'代理商-产品进销存'!$B88,'代理商-进货明细表'!$F:$F,'代理商-产品进销存'!$D88,'代理商-进货明细表'!$E:$E,"9月"))/10000</f>
        <v>0</v>
      </c>
      <c r="U88" s="29">
        <f>(SUMIFS('代理商-进货明细表'!$I:$I,'代理商-进货明细表'!$B:$B,'代理商-产品进销存'!$B88,'代理商-进货明细表'!$F:$F,'代理商-产品进销存'!$D88,'代理商-进货明细表'!$E:$E,"10月")+SUMIFS('代理商-进货明细表'!$I:$I,'代理商-进货明细表'!$B:$B,'代理商-产品进销存'!$B88,'代理商-进货明细表'!$F:$F,'代理商-产品进销存'!$D88,'代理商-进货明细表'!$E:$E,"11月")+SUMIFS('代理商-进货明细表'!$I:$I,'代理商-进货明细表'!$B:$B,'代理商-产品进销存'!$B88,'代理商-进货明细表'!$F:$F,'代理商-产品进销存'!$D88,'代理商-进货明细表'!$E:$E,"12月"))/10000</f>
        <v>0</v>
      </c>
      <c r="V88" s="29">
        <f t="shared" si="14"/>
        <v>0</v>
      </c>
      <c r="W88" s="29">
        <f t="shared" si="15"/>
        <v>0</v>
      </c>
      <c r="X88" s="29">
        <f t="shared" si="16"/>
        <v>0</v>
      </c>
      <c r="Y88" s="29">
        <f t="shared" si="17"/>
        <v>0</v>
      </c>
      <c r="Z88" s="29">
        <f t="shared" si="18"/>
        <v>0</v>
      </c>
      <c r="AA88" s="29">
        <f t="shared" si="19"/>
        <v>0</v>
      </c>
    </row>
    <row r="89" spans="1:27" x14ac:dyDescent="0.3">
      <c r="A89" s="2" t="s">
        <v>182</v>
      </c>
      <c r="B89" s="2" t="s">
        <v>104</v>
      </c>
      <c r="D89" s="3" t="s">
        <v>16</v>
      </c>
      <c r="L89" s="29">
        <f>(SUMIFS(终端客户销售统计表!$K:$K,终端客户销售统计表!$L:$L,$B89,终端客户销售统计表!$H:$H,$D89,终端客户销售统计表!$G:$G,"1月")+SUMIFS(终端客户销售统计表!$K:$K,终端客户销售统计表!$L:$L,$B89,终端客户销售统计表!$H:$H,$D89,终端客户销售统计表!$G:$G,"2月")+SUMIFS(终端客户销售统计表!$K:$K,终端客户销售统计表!$L:$L,$B89,终端客户销售统计表!$H:$H,$D89,终端客户销售统计表!$G:$G,"3月"))/10000</f>
        <v>0</v>
      </c>
      <c r="M89" s="29">
        <f>(SUMIFS(终端客户销售统计表!$K:$K,终端客户销售统计表!$L:$L,$B89,终端客户销售统计表!$H:$H,$D89,终端客户销售统计表!$G:$G,"4月")+SUMIFS(终端客户销售统计表!$K:$K,终端客户销售统计表!$L:$L,$B89,终端客户销售统计表!$H:$H,$D89,终端客户销售统计表!$G:$G,"5月")+SUMIFS(终端客户销售统计表!$K:$K,终端客户销售统计表!$L:$L,$B89,终端客户销售统计表!$H:$H,$D89,终端客户销售统计表!$G:$G,"6月"))/10000</f>
        <v>0</v>
      </c>
      <c r="N89" s="29">
        <f>(SUMIFS(终端客户销售统计表!$K:$K,终端客户销售统计表!$L:$L,$B89,终端客户销售统计表!$H:$H,$D89,终端客户销售统计表!$G:$G,"7月")+SUMIFS(终端客户销售统计表!$K:$K,终端客户销售统计表!$L:$L,$B89,终端客户销售统计表!$H:$H,$D89,终端客户销售统计表!$G:$G,"8月")+SUMIFS(终端客户销售统计表!$K:$K,终端客户销售统计表!$L:$L,$B89,终端客户销售统计表!$H:$H,$D89,终端客户销售统计表!$G:$G,"9月"))/10000</f>
        <v>0</v>
      </c>
      <c r="O89" s="29">
        <f>(SUMIFS(终端客户销售统计表!$K:$K,终端客户销售统计表!$L:$L,$B89,终端客户销售统计表!$H:$H,$D89,终端客户销售统计表!$G:$G,"10月")+SUMIFS(终端客户销售统计表!$K:$K,终端客户销售统计表!$L:$L,$B89,终端客户销售统计表!$H:$H,$D89,终端客户销售统计表!$G:$G,"11月")+SUMIFS(终端客户销售统计表!$K:$K,终端客户销售统计表!$L:$L,$B89,终端客户销售统计表!$H:$H,$D89,终端客户销售统计表!$G:$G,"12月"))/10000</f>
        <v>0</v>
      </c>
      <c r="P89" s="29">
        <f>SUM(L89:O89)</f>
        <v>0</v>
      </c>
      <c r="Q89" s="44" t="str">
        <f t="shared" si="13"/>
        <v/>
      </c>
      <c r="R89" s="29">
        <f>(SUMIFS('代理商-进货明细表'!$I:$I,'代理商-进货明细表'!$B:$B,'代理商-产品进销存'!$B89,'代理商-进货明细表'!$F:$F,'代理商-产品进销存'!$D89,'代理商-进货明细表'!$E:$E,"1月")+SUMIFS('代理商-进货明细表'!$I:$I,'代理商-进货明细表'!$B:$B,'代理商-产品进销存'!$B89,'代理商-进货明细表'!$F:$F,'代理商-产品进销存'!$D89,'代理商-进货明细表'!$E:$E,"2月")+SUMIFS('代理商-进货明细表'!$I:$I,'代理商-进货明细表'!$B:$B,'代理商-产品进销存'!$B89,'代理商-进货明细表'!$F:$F,'代理商-产品进销存'!$D89,'代理商-进货明细表'!$E:$E,"3月"))/10000</f>
        <v>0</v>
      </c>
      <c r="S89" s="29">
        <f>(SUMIFS('代理商-进货明细表'!$I:$I,'代理商-进货明细表'!$B:$B,'代理商-产品进销存'!$B89,'代理商-进货明细表'!$F:$F,'代理商-产品进销存'!$D89,'代理商-进货明细表'!$E:$E,"4月")+SUMIFS('代理商-进货明细表'!$I:$I,'代理商-进货明细表'!$B:$B,'代理商-产品进销存'!$B89,'代理商-进货明细表'!$F:$F,'代理商-产品进销存'!$D89,'代理商-进货明细表'!$E:$E,"5月")+SUMIFS('代理商-进货明细表'!$I:$I,'代理商-进货明细表'!$B:$B,'代理商-产品进销存'!$B89,'代理商-进货明细表'!$F:$F,'代理商-产品进销存'!$D89,'代理商-进货明细表'!$E:$E,"6月"))/10000</f>
        <v>0</v>
      </c>
      <c r="T89" s="29">
        <f>(SUMIFS('代理商-进货明细表'!$I:$I,'代理商-进货明细表'!$B:$B,'代理商-产品进销存'!$B89,'代理商-进货明细表'!$F:$F,'代理商-产品进销存'!$D89,'代理商-进货明细表'!$E:$E,"7月")+SUMIFS('代理商-进货明细表'!$I:$I,'代理商-进货明细表'!$B:$B,'代理商-产品进销存'!$B89,'代理商-进货明细表'!$F:$F,'代理商-产品进销存'!$D89,'代理商-进货明细表'!$E:$E,"8月")+SUMIFS('代理商-进货明细表'!$I:$I,'代理商-进货明细表'!$B:$B,'代理商-产品进销存'!$B89,'代理商-进货明细表'!$F:$F,'代理商-产品进销存'!$D89,'代理商-进货明细表'!$E:$E,"9月"))/10000</f>
        <v>0</v>
      </c>
      <c r="U89" s="29">
        <f>(SUMIFS('代理商-进货明细表'!$I:$I,'代理商-进货明细表'!$B:$B,'代理商-产品进销存'!$B89,'代理商-进货明细表'!$F:$F,'代理商-产品进销存'!$D89,'代理商-进货明细表'!$E:$E,"10月")+SUMIFS('代理商-进货明细表'!$I:$I,'代理商-进货明细表'!$B:$B,'代理商-产品进销存'!$B89,'代理商-进货明细表'!$F:$F,'代理商-产品进销存'!$D89,'代理商-进货明细表'!$E:$E,"11月")+SUMIFS('代理商-进货明细表'!$I:$I,'代理商-进货明细表'!$B:$B,'代理商-产品进销存'!$B89,'代理商-进货明细表'!$F:$F,'代理商-产品进销存'!$D89,'代理商-进货明细表'!$E:$E,"12月"))/10000</f>
        <v>0</v>
      </c>
      <c r="V89" s="29">
        <f t="shared" si="14"/>
        <v>0</v>
      </c>
      <c r="W89" s="29">
        <f t="shared" si="15"/>
        <v>0</v>
      </c>
      <c r="X89" s="29">
        <f t="shared" si="16"/>
        <v>0</v>
      </c>
      <c r="Y89" s="29">
        <f t="shared" si="17"/>
        <v>0</v>
      </c>
      <c r="Z89" s="29">
        <f t="shared" si="18"/>
        <v>0</v>
      </c>
      <c r="AA89" s="29">
        <f t="shared" si="19"/>
        <v>0</v>
      </c>
    </row>
    <row r="90" spans="1:27" x14ac:dyDescent="0.3">
      <c r="A90" s="2" t="s">
        <v>182</v>
      </c>
      <c r="B90" s="2" t="s">
        <v>104</v>
      </c>
      <c r="D90" s="3" t="s">
        <v>17</v>
      </c>
      <c r="L90" s="29">
        <f>(SUMIFS(终端客户销售统计表!$K:$K,终端客户销售统计表!$L:$L,$B90,终端客户销售统计表!$H:$H,$D90,终端客户销售统计表!$G:$G,"1月")+SUMIFS(终端客户销售统计表!$K:$K,终端客户销售统计表!$L:$L,$B90,终端客户销售统计表!$H:$H,$D90,终端客户销售统计表!$G:$G,"2月")+SUMIFS(终端客户销售统计表!$K:$K,终端客户销售统计表!$L:$L,$B90,终端客户销售统计表!$H:$H,$D90,终端客户销售统计表!$G:$G,"3月"))/10000</f>
        <v>0</v>
      </c>
      <c r="M90" s="29">
        <f>(SUMIFS(终端客户销售统计表!$K:$K,终端客户销售统计表!$L:$L,$B90,终端客户销售统计表!$H:$H,$D90,终端客户销售统计表!$G:$G,"4月")+SUMIFS(终端客户销售统计表!$K:$K,终端客户销售统计表!$L:$L,$B90,终端客户销售统计表!$H:$H,$D90,终端客户销售统计表!$G:$G,"5月")+SUMIFS(终端客户销售统计表!$K:$K,终端客户销售统计表!$L:$L,$B90,终端客户销售统计表!$H:$H,$D90,终端客户销售统计表!$G:$G,"6月"))/10000</f>
        <v>0</v>
      </c>
      <c r="N90" s="29">
        <f>(SUMIFS(终端客户销售统计表!$K:$K,终端客户销售统计表!$L:$L,$B90,终端客户销售统计表!$H:$H,$D90,终端客户销售统计表!$G:$G,"7月")+SUMIFS(终端客户销售统计表!$K:$K,终端客户销售统计表!$L:$L,$B90,终端客户销售统计表!$H:$H,$D90,终端客户销售统计表!$G:$G,"8月")+SUMIFS(终端客户销售统计表!$K:$K,终端客户销售统计表!$L:$L,$B90,终端客户销售统计表!$H:$H,$D90,终端客户销售统计表!$G:$G,"9月"))/10000</f>
        <v>0</v>
      </c>
      <c r="O90" s="29">
        <f>(SUMIFS(终端客户销售统计表!$K:$K,终端客户销售统计表!$L:$L,$B90,终端客户销售统计表!$H:$H,$D90,终端客户销售统计表!$G:$G,"10月")+SUMIFS(终端客户销售统计表!$K:$K,终端客户销售统计表!$L:$L,$B90,终端客户销售统计表!$H:$H,$D90,终端客户销售统计表!$G:$G,"11月")+SUMIFS(终端客户销售统计表!$K:$K,终端客户销售统计表!$L:$L,$B90,终端客户销售统计表!$H:$H,$D90,终端客户销售统计表!$G:$G,"12月"))/10000</f>
        <v>0</v>
      </c>
      <c r="P90" s="29">
        <f>SUM(L90:O90)</f>
        <v>0</v>
      </c>
      <c r="Q90" s="44" t="str">
        <f t="shared" si="13"/>
        <v/>
      </c>
      <c r="R90" s="29">
        <f>(SUMIFS('代理商-进货明细表'!$I:$I,'代理商-进货明细表'!$B:$B,'代理商-产品进销存'!$B90,'代理商-进货明细表'!$F:$F,'代理商-产品进销存'!$D90,'代理商-进货明细表'!$E:$E,"1月")+SUMIFS('代理商-进货明细表'!$I:$I,'代理商-进货明细表'!$B:$B,'代理商-产品进销存'!$B90,'代理商-进货明细表'!$F:$F,'代理商-产品进销存'!$D90,'代理商-进货明细表'!$E:$E,"2月")+SUMIFS('代理商-进货明细表'!$I:$I,'代理商-进货明细表'!$B:$B,'代理商-产品进销存'!$B90,'代理商-进货明细表'!$F:$F,'代理商-产品进销存'!$D90,'代理商-进货明细表'!$E:$E,"3月"))/10000</f>
        <v>0</v>
      </c>
      <c r="S90" s="29">
        <f>(SUMIFS('代理商-进货明细表'!$I:$I,'代理商-进货明细表'!$B:$B,'代理商-产品进销存'!$B90,'代理商-进货明细表'!$F:$F,'代理商-产品进销存'!$D90,'代理商-进货明细表'!$E:$E,"4月")+SUMIFS('代理商-进货明细表'!$I:$I,'代理商-进货明细表'!$B:$B,'代理商-产品进销存'!$B90,'代理商-进货明细表'!$F:$F,'代理商-产品进销存'!$D90,'代理商-进货明细表'!$E:$E,"5月")+SUMIFS('代理商-进货明细表'!$I:$I,'代理商-进货明细表'!$B:$B,'代理商-产品进销存'!$B90,'代理商-进货明细表'!$F:$F,'代理商-产品进销存'!$D90,'代理商-进货明细表'!$E:$E,"6月"))/10000</f>
        <v>0</v>
      </c>
      <c r="T90" s="29">
        <f>(SUMIFS('代理商-进货明细表'!$I:$I,'代理商-进货明细表'!$B:$B,'代理商-产品进销存'!$B90,'代理商-进货明细表'!$F:$F,'代理商-产品进销存'!$D90,'代理商-进货明细表'!$E:$E,"7月")+SUMIFS('代理商-进货明细表'!$I:$I,'代理商-进货明细表'!$B:$B,'代理商-产品进销存'!$B90,'代理商-进货明细表'!$F:$F,'代理商-产品进销存'!$D90,'代理商-进货明细表'!$E:$E,"8月")+SUMIFS('代理商-进货明细表'!$I:$I,'代理商-进货明细表'!$B:$B,'代理商-产品进销存'!$B90,'代理商-进货明细表'!$F:$F,'代理商-产品进销存'!$D90,'代理商-进货明细表'!$E:$E,"9月"))/10000</f>
        <v>0</v>
      </c>
      <c r="U90" s="29">
        <f>(SUMIFS('代理商-进货明细表'!$I:$I,'代理商-进货明细表'!$B:$B,'代理商-产品进销存'!$B90,'代理商-进货明细表'!$F:$F,'代理商-产品进销存'!$D90,'代理商-进货明细表'!$E:$E,"10月")+SUMIFS('代理商-进货明细表'!$I:$I,'代理商-进货明细表'!$B:$B,'代理商-产品进销存'!$B90,'代理商-进货明细表'!$F:$F,'代理商-产品进销存'!$D90,'代理商-进货明细表'!$E:$E,"11月")+SUMIFS('代理商-进货明细表'!$I:$I,'代理商-进货明细表'!$B:$B,'代理商-产品进销存'!$B90,'代理商-进货明细表'!$F:$F,'代理商-产品进销存'!$D90,'代理商-进货明细表'!$E:$E,"12月"))/10000</f>
        <v>0</v>
      </c>
      <c r="V90" s="29">
        <f t="shared" si="14"/>
        <v>0</v>
      </c>
      <c r="W90" s="29">
        <f t="shared" si="15"/>
        <v>0</v>
      </c>
      <c r="X90" s="29">
        <f t="shared" si="16"/>
        <v>0</v>
      </c>
      <c r="Y90" s="29">
        <f t="shared" si="17"/>
        <v>0</v>
      </c>
      <c r="Z90" s="29">
        <f t="shared" si="18"/>
        <v>0</v>
      </c>
      <c r="AA90" s="29">
        <f t="shared" si="19"/>
        <v>0</v>
      </c>
    </row>
    <row r="91" spans="1:27" x14ac:dyDescent="0.3">
      <c r="A91" s="2" t="s">
        <v>183</v>
      </c>
      <c r="B91" s="2" t="s">
        <v>105</v>
      </c>
      <c r="D91" s="3" t="s">
        <v>14</v>
      </c>
      <c r="L91" s="29">
        <f>(SUMIFS(终端客户销售统计表!$K:$K,终端客户销售统计表!$L:$L,$B91,终端客户销售统计表!$H:$H,$D91,终端客户销售统计表!$G:$G,"1月")+SUMIFS(终端客户销售统计表!$K:$K,终端客户销售统计表!$L:$L,$B91,终端客户销售统计表!$H:$H,$D91,终端客户销售统计表!$G:$G,"2月")+SUMIFS(终端客户销售统计表!$K:$K,终端客户销售统计表!$L:$L,$B91,终端客户销售统计表!$H:$H,$D91,终端客户销售统计表!$G:$G,"3月"))/10000</f>
        <v>0</v>
      </c>
      <c r="M91" s="29">
        <f>(SUMIFS(终端客户销售统计表!$K:$K,终端客户销售统计表!$L:$L,$B91,终端客户销售统计表!$H:$H,$D91,终端客户销售统计表!$G:$G,"4月")+SUMIFS(终端客户销售统计表!$K:$K,终端客户销售统计表!$L:$L,$B91,终端客户销售统计表!$H:$H,$D91,终端客户销售统计表!$G:$G,"5月")+SUMIFS(终端客户销售统计表!$K:$K,终端客户销售统计表!$L:$L,$B91,终端客户销售统计表!$H:$H,$D91,终端客户销售统计表!$G:$G,"6月"))/10000</f>
        <v>0</v>
      </c>
      <c r="N91" s="29">
        <f>(SUMIFS(终端客户销售统计表!$K:$K,终端客户销售统计表!$L:$L,$B91,终端客户销售统计表!$H:$H,$D91,终端客户销售统计表!$G:$G,"7月")+SUMIFS(终端客户销售统计表!$K:$K,终端客户销售统计表!$L:$L,$B91,终端客户销售统计表!$H:$H,$D91,终端客户销售统计表!$G:$G,"8月")+SUMIFS(终端客户销售统计表!$K:$K,终端客户销售统计表!$L:$L,$B91,终端客户销售统计表!$H:$H,$D91,终端客户销售统计表!$G:$G,"9月"))/10000</f>
        <v>0</v>
      </c>
      <c r="O91" s="29">
        <f>(SUMIFS(终端客户销售统计表!$K:$K,终端客户销售统计表!$L:$L,$B91,终端客户销售统计表!$H:$H,$D91,终端客户销售统计表!$G:$G,"10月")+SUMIFS(终端客户销售统计表!$K:$K,终端客户销售统计表!$L:$L,$B91,终端客户销售统计表!$H:$H,$D91,终端客户销售统计表!$G:$G,"11月")+SUMIFS(终端客户销售统计表!$K:$K,终端客户销售统计表!$L:$L,$B91,终端客户销售统计表!$H:$H,$D91,终端客户销售统计表!$G:$G,"12月"))/10000</f>
        <v>0</v>
      </c>
      <c r="P91" s="29">
        <f>SUM(L91:O91)</f>
        <v>0</v>
      </c>
      <c r="Q91" s="44" t="str">
        <f t="shared" si="13"/>
        <v/>
      </c>
      <c r="R91" s="29">
        <f>(SUMIFS('代理商-进货明细表'!$I:$I,'代理商-进货明细表'!$B:$B,'代理商-产品进销存'!$B91,'代理商-进货明细表'!$F:$F,'代理商-产品进销存'!$D91,'代理商-进货明细表'!$E:$E,"1月")+SUMIFS('代理商-进货明细表'!$I:$I,'代理商-进货明细表'!$B:$B,'代理商-产品进销存'!$B91,'代理商-进货明细表'!$F:$F,'代理商-产品进销存'!$D91,'代理商-进货明细表'!$E:$E,"2月")+SUMIFS('代理商-进货明细表'!$I:$I,'代理商-进货明细表'!$B:$B,'代理商-产品进销存'!$B91,'代理商-进货明细表'!$F:$F,'代理商-产品进销存'!$D91,'代理商-进货明细表'!$E:$E,"3月"))/10000</f>
        <v>0</v>
      </c>
      <c r="S91" s="29">
        <f>(SUMIFS('代理商-进货明细表'!$I:$I,'代理商-进货明细表'!$B:$B,'代理商-产品进销存'!$B91,'代理商-进货明细表'!$F:$F,'代理商-产品进销存'!$D91,'代理商-进货明细表'!$E:$E,"4月")+SUMIFS('代理商-进货明细表'!$I:$I,'代理商-进货明细表'!$B:$B,'代理商-产品进销存'!$B91,'代理商-进货明细表'!$F:$F,'代理商-产品进销存'!$D91,'代理商-进货明细表'!$E:$E,"5月")+SUMIFS('代理商-进货明细表'!$I:$I,'代理商-进货明细表'!$B:$B,'代理商-产品进销存'!$B91,'代理商-进货明细表'!$F:$F,'代理商-产品进销存'!$D91,'代理商-进货明细表'!$E:$E,"6月"))/10000</f>
        <v>0</v>
      </c>
      <c r="T91" s="29">
        <f>(SUMIFS('代理商-进货明细表'!$I:$I,'代理商-进货明细表'!$B:$B,'代理商-产品进销存'!$B91,'代理商-进货明细表'!$F:$F,'代理商-产品进销存'!$D91,'代理商-进货明细表'!$E:$E,"7月")+SUMIFS('代理商-进货明细表'!$I:$I,'代理商-进货明细表'!$B:$B,'代理商-产品进销存'!$B91,'代理商-进货明细表'!$F:$F,'代理商-产品进销存'!$D91,'代理商-进货明细表'!$E:$E,"8月")+SUMIFS('代理商-进货明细表'!$I:$I,'代理商-进货明细表'!$B:$B,'代理商-产品进销存'!$B91,'代理商-进货明细表'!$F:$F,'代理商-产品进销存'!$D91,'代理商-进货明细表'!$E:$E,"9月"))/10000</f>
        <v>0</v>
      </c>
      <c r="U91" s="29">
        <f>(SUMIFS('代理商-进货明细表'!$I:$I,'代理商-进货明细表'!$B:$B,'代理商-产品进销存'!$B91,'代理商-进货明细表'!$F:$F,'代理商-产品进销存'!$D91,'代理商-进货明细表'!$E:$E,"10月")+SUMIFS('代理商-进货明细表'!$I:$I,'代理商-进货明细表'!$B:$B,'代理商-产品进销存'!$B91,'代理商-进货明细表'!$F:$F,'代理商-产品进销存'!$D91,'代理商-进货明细表'!$E:$E,"11月")+SUMIFS('代理商-进货明细表'!$I:$I,'代理商-进货明细表'!$B:$B,'代理商-产品进销存'!$B91,'代理商-进货明细表'!$F:$F,'代理商-产品进销存'!$D91,'代理商-进货明细表'!$E:$E,"12月"))/10000</f>
        <v>0</v>
      </c>
      <c r="V91" s="29">
        <f t="shared" si="14"/>
        <v>0</v>
      </c>
      <c r="W91" s="29">
        <f t="shared" si="15"/>
        <v>0</v>
      </c>
      <c r="X91" s="29">
        <f t="shared" si="16"/>
        <v>0</v>
      </c>
      <c r="Y91" s="29">
        <f t="shared" si="17"/>
        <v>0</v>
      </c>
      <c r="Z91" s="29">
        <f t="shared" si="18"/>
        <v>0</v>
      </c>
      <c r="AA91" s="29">
        <f t="shared" si="19"/>
        <v>0</v>
      </c>
    </row>
    <row r="92" spans="1:27" x14ac:dyDescent="0.3">
      <c r="A92" s="2" t="s">
        <v>183</v>
      </c>
      <c r="B92" s="2" t="s">
        <v>105</v>
      </c>
      <c r="D92" s="3" t="s">
        <v>15</v>
      </c>
      <c r="L92" s="29">
        <f>(SUMIFS(终端客户销售统计表!$K:$K,终端客户销售统计表!$L:$L,$B92,终端客户销售统计表!$H:$H,$D92,终端客户销售统计表!$G:$G,"1月")+SUMIFS(终端客户销售统计表!$K:$K,终端客户销售统计表!$L:$L,$B92,终端客户销售统计表!$H:$H,$D92,终端客户销售统计表!$G:$G,"2月")+SUMIFS(终端客户销售统计表!$K:$K,终端客户销售统计表!$L:$L,$B92,终端客户销售统计表!$H:$H,$D92,终端客户销售统计表!$G:$G,"3月"))/10000</f>
        <v>0</v>
      </c>
      <c r="M92" s="29">
        <f>(SUMIFS(终端客户销售统计表!$K:$K,终端客户销售统计表!$L:$L,$B92,终端客户销售统计表!$H:$H,$D92,终端客户销售统计表!$G:$G,"4月")+SUMIFS(终端客户销售统计表!$K:$K,终端客户销售统计表!$L:$L,$B92,终端客户销售统计表!$H:$H,$D92,终端客户销售统计表!$G:$G,"5月")+SUMIFS(终端客户销售统计表!$K:$K,终端客户销售统计表!$L:$L,$B92,终端客户销售统计表!$H:$H,$D92,终端客户销售统计表!$G:$G,"6月"))/10000</f>
        <v>0</v>
      </c>
      <c r="N92" s="29">
        <f>(SUMIFS(终端客户销售统计表!$K:$K,终端客户销售统计表!$L:$L,$B92,终端客户销售统计表!$H:$H,$D92,终端客户销售统计表!$G:$G,"7月")+SUMIFS(终端客户销售统计表!$K:$K,终端客户销售统计表!$L:$L,$B92,终端客户销售统计表!$H:$H,$D92,终端客户销售统计表!$G:$G,"8月")+SUMIFS(终端客户销售统计表!$K:$K,终端客户销售统计表!$L:$L,$B92,终端客户销售统计表!$H:$H,$D92,终端客户销售统计表!$G:$G,"9月"))/10000</f>
        <v>0</v>
      </c>
      <c r="O92" s="29">
        <f>(SUMIFS(终端客户销售统计表!$K:$K,终端客户销售统计表!$L:$L,$B92,终端客户销售统计表!$H:$H,$D92,终端客户销售统计表!$G:$G,"10月")+SUMIFS(终端客户销售统计表!$K:$K,终端客户销售统计表!$L:$L,$B92,终端客户销售统计表!$H:$H,$D92,终端客户销售统计表!$G:$G,"11月")+SUMIFS(终端客户销售统计表!$K:$K,终端客户销售统计表!$L:$L,$B92,终端客户销售统计表!$H:$H,$D92,终端客户销售统计表!$G:$G,"12月"))/10000</f>
        <v>0</v>
      </c>
      <c r="P92" s="29">
        <f>SUM(L92:O92)</f>
        <v>0</v>
      </c>
      <c r="Q92" s="44" t="str">
        <f t="shared" si="13"/>
        <v/>
      </c>
      <c r="R92" s="29">
        <f>(SUMIFS('代理商-进货明细表'!$I:$I,'代理商-进货明细表'!$B:$B,'代理商-产品进销存'!$B92,'代理商-进货明细表'!$F:$F,'代理商-产品进销存'!$D92,'代理商-进货明细表'!$E:$E,"1月")+SUMIFS('代理商-进货明细表'!$I:$I,'代理商-进货明细表'!$B:$B,'代理商-产品进销存'!$B92,'代理商-进货明细表'!$F:$F,'代理商-产品进销存'!$D92,'代理商-进货明细表'!$E:$E,"2月")+SUMIFS('代理商-进货明细表'!$I:$I,'代理商-进货明细表'!$B:$B,'代理商-产品进销存'!$B92,'代理商-进货明细表'!$F:$F,'代理商-产品进销存'!$D92,'代理商-进货明细表'!$E:$E,"3月"))/10000</f>
        <v>0</v>
      </c>
      <c r="S92" s="29">
        <f>(SUMIFS('代理商-进货明细表'!$I:$I,'代理商-进货明细表'!$B:$B,'代理商-产品进销存'!$B92,'代理商-进货明细表'!$F:$F,'代理商-产品进销存'!$D92,'代理商-进货明细表'!$E:$E,"4月")+SUMIFS('代理商-进货明细表'!$I:$I,'代理商-进货明细表'!$B:$B,'代理商-产品进销存'!$B92,'代理商-进货明细表'!$F:$F,'代理商-产品进销存'!$D92,'代理商-进货明细表'!$E:$E,"5月")+SUMIFS('代理商-进货明细表'!$I:$I,'代理商-进货明细表'!$B:$B,'代理商-产品进销存'!$B92,'代理商-进货明细表'!$F:$F,'代理商-产品进销存'!$D92,'代理商-进货明细表'!$E:$E,"6月"))/10000</f>
        <v>0</v>
      </c>
      <c r="T92" s="29">
        <f>(SUMIFS('代理商-进货明细表'!$I:$I,'代理商-进货明细表'!$B:$B,'代理商-产品进销存'!$B92,'代理商-进货明细表'!$F:$F,'代理商-产品进销存'!$D92,'代理商-进货明细表'!$E:$E,"7月")+SUMIFS('代理商-进货明细表'!$I:$I,'代理商-进货明细表'!$B:$B,'代理商-产品进销存'!$B92,'代理商-进货明细表'!$F:$F,'代理商-产品进销存'!$D92,'代理商-进货明细表'!$E:$E,"8月")+SUMIFS('代理商-进货明细表'!$I:$I,'代理商-进货明细表'!$B:$B,'代理商-产品进销存'!$B92,'代理商-进货明细表'!$F:$F,'代理商-产品进销存'!$D92,'代理商-进货明细表'!$E:$E,"9月"))/10000</f>
        <v>0</v>
      </c>
      <c r="U92" s="29">
        <f>(SUMIFS('代理商-进货明细表'!$I:$I,'代理商-进货明细表'!$B:$B,'代理商-产品进销存'!$B92,'代理商-进货明细表'!$F:$F,'代理商-产品进销存'!$D92,'代理商-进货明细表'!$E:$E,"10月")+SUMIFS('代理商-进货明细表'!$I:$I,'代理商-进货明细表'!$B:$B,'代理商-产品进销存'!$B92,'代理商-进货明细表'!$F:$F,'代理商-产品进销存'!$D92,'代理商-进货明细表'!$E:$E,"11月")+SUMIFS('代理商-进货明细表'!$I:$I,'代理商-进货明细表'!$B:$B,'代理商-产品进销存'!$B92,'代理商-进货明细表'!$F:$F,'代理商-产品进销存'!$D92,'代理商-进货明细表'!$E:$E,"12月"))/10000</f>
        <v>0</v>
      </c>
      <c r="V92" s="29">
        <f t="shared" si="14"/>
        <v>0</v>
      </c>
      <c r="W92" s="29">
        <f t="shared" si="15"/>
        <v>0</v>
      </c>
      <c r="X92" s="29">
        <f t="shared" si="16"/>
        <v>0</v>
      </c>
      <c r="Y92" s="29">
        <f t="shared" si="17"/>
        <v>0</v>
      </c>
      <c r="Z92" s="29">
        <f t="shared" si="18"/>
        <v>0</v>
      </c>
      <c r="AA92" s="29">
        <f t="shared" si="19"/>
        <v>0</v>
      </c>
    </row>
    <row r="93" spans="1:27" x14ac:dyDescent="0.3">
      <c r="A93" s="2" t="s">
        <v>183</v>
      </c>
      <c r="B93" s="2" t="s">
        <v>105</v>
      </c>
      <c r="D93" s="3" t="s">
        <v>16</v>
      </c>
      <c r="L93" s="29">
        <f>(SUMIFS(终端客户销售统计表!$K:$K,终端客户销售统计表!$L:$L,$B93,终端客户销售统计表!$H:$H,$D93,终端客户销售统计表!$G:$G,"1月")+SUMIFS(终端客户销售统计表!$K:$K,终端客户销售统计表!$L:$L,$B93,终端客户销售统计表!$H:$H,$D93,终端客户销售统计表!$G:$G,"2月")+SUMIFS(终端客户销售统计表!$K:$K,终端客户销售统计表!$L:$L,$B93,终端客户销售统计表!$H:$H,$D93,终端客户销售统计表!$G:$G,"3月"))/10000</f>
        <v>0</v>
      </c>
      <c r="M93" s="29">
        <f>(SUMIFS(终端客户销售统计表!$K:$K,终端客户销售统计表!$L:$L,$B93,终端客户销售统计表!$H:$H,$D93,终端客户销售统计表!$G:$G,"4月")+SUMIFS(终端客户销售统计表!$K:$K,终端客户销售统计表!$L:$L,$B93,终端客户销售统计表!$H:$H,$D93,终端客户销售统计表!$G:$G,"5月")+SUMIFS(终端客户销售统计表!$K:$K,终端客户销售统计表!$L:$L,$B93,终端客户销售统计表!$H:$H,$D93,终端客户销售统计表!$G:$G,"6月"))/10000</f>
        <v>0</v>
      </c>
      <c r="N93" s="29">
        <f>(SUMIFS(终端客户销售统计表!$K:$K,终端客户销售统计表!$L:$L,$B93,终端客户销售统计表!$H:$H,$D93,终端客户销售统计表!$G:$G,"7月")+SUMIFS(终端客户销售统计表!$K:$K,终端客户销售统计表!$L:$L,$B93,终端客户销售统计表!$H:$H,$D93,终端客户销售统计表!$G:$G,"8月")+SUMIFS(终端客户销售统计表!$K:$K,终端客户销售统计表!$L:$L,$B93,终端客户销售统计表!$H:$H,$D93,终端客户销售统计表!$G:$G,"9月"))/10000</f>
        <v>0</v>
      </c>
      <c r="O93" s="29">
        <f>(SUMIFS(终端客户销售统计表!$K:$K,终端客户销售统计表!$L:$L,$B93,终端客户销售统计表!$H:$H,$D93,终端客户销售统计表!$G:$G,"10月")+SUMIFS(终端客户销售统计表!$K:$K,终端客户销售统计表!$L:$L,$B93,终端客户销售统计表!$H:$H,$D93,终端客户销售统计表!$G:$G,"11月")+SUMIFS(终端客户销售统计表!$K:$K,终端客户销售统计表!$L:$L,$B93,终端客户销售统计表!$H:$H,$D93,终端客户销售统计表!$G:$G,"12月"))/10000</f>
        <v>0</v>
      </c>
      <c r="P93" s="29">
        <f>SUM(L93:O93)</f>
        <v>0</v>
      </c>
      <c r="Q93" s="44" t="str">
        <f t="shared" si="13"/>
        <v/>
      </c>
      <c r="R93" s="29">
        <f>(SUMIFS('代理商-进货明细表'!$I:$I,'代理商-进货明细表'!$B:$B,'代理商-产品进销存'!$B93,'代理商-进货明细表'!$F:$F,'代理商-产品进销存'!$D93,'代理商-进货明细表'!$E:$E,"1月")+SUMIFS('代理商-进货明细表'!$I:$I,'代理商-进货明细表'!$B:$B,'代理商-产品进销存'!$B93,'代理商-进货明细表'!$F:$F,'代理商-产品进销存'!$D93,'代理商-进货明细表'!$E:$E,"2月")+SUMIFS('代理商-进货明细表'!$I:$I,'代理商-进货明细表'!$B:$B,'代理商-产品进销存'!$B93,'代理商-进货明细表'!$F:$F,'代理商-产品进销存'!$D93,'代理商-进货明细表'!$E:$E,"3月"))/10000</f>
        <v>0</v>
      </c>
      <c r="S93" s="29">
        <f>(SUMIFS('代理商-进货明细表'!$I:$I,'代理商-进货明细表'!$B:$B,'代理商-产品进销存'!$B93,'代理商-进货明细表'!$F:$F,'代理商-产品进销存'!$D93,'代理商-进货明细表'!$E:$E,"4月")+SUMIFS('代理商-进货明细表'!$I:$I,'代理商-进货明细表'!$B:$B,'代理商-产品进销存'!$B93,'代理商-进货明细表'!$F:$F,'代理商-产品进销存'!$D93,'代理商-进货明细表'!$E:$E,"5月")+SUMIFS('代理商-进货明细表'!$I:$I,'代理商-进货明细表'!$B:$B,'代理商-产品进销存'!$B93,'代理商-进货明细表'!$F:$F,'代理商-产品进销存'!$D93,'代理商-进货明细表'!$E:$E,"6月"))/10000</f>
        <v>0</v>
      </c>
      <c r="T93" s="29">
        <f>(SUMIFS('代理商-进货明细表'!$I:$I,'代理商-进货明细表'!$B:$B,'代理商-产品进销存'!$B93,'代理商-进货明细表'!$F:$F,'代理商-产品进销存'!$D93,'代理商-进货明细表'!$E:$E,"7月")+SUMIFS('代理商-进货明细表'!$I:$I,'代理商-进货明细表'!$B:$B,'代理商-产品进销存'!$B93,'代理商-进货明细表'!$F:$F,'代理商-产品进销存'!$D93,'代理商-进货明细表'!$E:$E,"8月")+SUMIFS('代理商-进货明细表'!$I:$I,'代理商-进货明细表'!$B:$B,'代理商-产品进销存'!$B93,'代理商-进货明细表'!$F:$F,'代理商-产品进销存'!$D93,'代理商-进货明细表'!$E:$E,"9月"))/10000</f>
        <v>0</v>
      </c>
      <c r="U93" s="29">
        <f>(SUMIFS('代理商-进货明细表'!$I:$I,'代理商-进货明细表'!$B:$B,'代理商-产品进销存'!$B93,'代理商-进货明细表'!$F:$F,'代理商-产品进销存'!$D93,'代理商-进货明细表'!$E:$E,"10月")+SUMIFS('代理商-进货明细表'!$I:$I,'代理商-进货明细表'!$B:$B,'代理商-产品进销存'!$B93,'代理商-进货明细表'!$F:$F,'代理商-产品进销存'!$D93,'代理商-进货明细表'!$E:$E,"11月")+SUMIFS('代理商-进货明细表'!$I:$I,'代理商-进货明细表'!$B:$B,'代理商-产品进销存'!$B93,'代理商-进货明细表'!$F:$F,'代理商-产品进销存'!$D93,'代理商-进货明细表'!$E:$E,"12月"))/10000</f>
        <v>0</v>
      </c>
      <c r="V93" s="29">
        <f t="shared" si="14"/>
        <v>0</v>
      </c>
      <c r="W93" s="29">
        <f t="shared" si="15"/>
        <v>0</v>
      </c>
      <c r="X93" s="29">
        <f t="shared" si="16"/>
        <v>0</v>
      </c>
      <c r="Y93" s="29">
        <f t="shared" si="17"/>
        <v>0</v>
      </c>
      <c r="Z93" s="29">
        <f t="shared" si="18"/>
        <v>0</v>
      </c>
      <c r="AA93" s="29">
        <f t="shared" si="19"/>
        <v>0</v>
      </c>
    </row>
    <row r="94" spans="1:27" x14ac:dyDescent="0.3">
      <c r="A94" s="2" t="s">
        <v>183</v>
      </c>
      <c r="B94" s="2" t="s">
        <v>105</v>
      </c>
      <c r="D94" s="3" t="s">
        <v>17</v>
      </c>
      <c r="L94" s="29">
        <f>(SUMIFS(终端客户销售统计表!$K:$K,终端客户销售统计表!$L:$L,$B94,终端客户销售统计表!$H:$H,$D94,终端客户销售统计表!$G:$G,"1月")+SUMIFS(终端客户销售统计表!$K:$K,终端客户销售统计表!$L:$L,$B94,终端客户销售统计表!$H:$H,$D94,终端客户销售统计表!$G:$G,"2月")+SUMIFS(终端客户销售统计表!$K:$K,终端客户销售统计表!$L:$L,$B94,终端客户销售统计表!$H:$H,$D94,终端客户销售统计表!$G:$G,"3月"))/10000</f>
        <v>0</v>
      </c>
      <c r="M94" s="29">
        <f>(SUMIFS(终端客户销售统计表!$K:$K,终端客户销售统计表!$L:$L,$B94,终端客户销售统计表!$H:$H,$D94,终端客户销售统计表!$G:$G,"4月")+SUMIFS(终端客户销售统计表!$K:$K,终端客户销售统计表!$L:$L,$B94,终端客户销售统计表!$H:$H,$D94,终端客户销售统计表!$G:$G,"5月")+SUMIFS(终端客户销售统计表!$K:$K,终端客户销售统计表!$L:$L,$B94,终端客户销售统计表!$H:$H,$D94,终端客户销售统计表!$G:$G,"6月"))/10000</f>
        <v>0</v>
      </c>
      <c r="N94" s="29">
        <f>(SUMIFS(终端客户销售统计表!$K:$K,终端客户销售统计表!$L:$L,$B94,终端客户销售统计表!$H:$H,$D94,终端客户销售统计表!$G:$G,"7月")+SUMIFS(终端客户销售统计表!$K:$K,终端客户销售统计表!$L:$L,$B94,终端客户销售统计表!$H:$H,$D94,终端客户销售统计表!$G:$G,"8月")+SUMIFS(终端客户销售统计表!$K:$K,终端客户销售统计表!$L:$L,$B94,终端客户销售统计表!$H:$H,$D94,终端客户销售统计表!$G:$G,"9月"))/10000</f>
        <v>0</v>
      </c>
      <c r="O94" s="29">
        <f>(SUMIFS(终端客户销售统计表!$K:$K,终端客户销售统计表!$L:$L,$B94,终端客户销售统计表!$H:$H,$D94,终端客户销售统计表!$G:$G,"10月")+SUMIFS(终端客户销售统计表!$K:$K,终端客户销售统计表!$L:$L,$B94,终端客户销售统计表!$H:$H,$D94,终端客户销售统计表!$G:$G,"11月")+SUMIFS(终端客户销售统计表!$K:$K,终端客户销售统计表!$L:$L,$B94,终端客户销售统计表!$H:$H,$D94,终端客户销售统计表!$G:$G,"12月"))/10000</f>
        <v>0</v>
      </c>
      <c r="P94" s="29">
        <f>SUM(L94:O94)</f>
        <v>0</v>
      </c>
      <c r="Q94" s="44" t="str">
        <f t="shared" si="13"/>
        <v/>
      </c>
      <c r="R94" s="29">
        <f>(SUMIFS('代理商-进货明细表'!$I:$I,'代理商-进货明细表'!$B:$B,'代理商-产品进销存'!$B94,'代理商-进货明细表'!$F:$F,'代理商-产品进销存'!$D94,'代理商-进货明细表'!$E:$E,"1月")+SUMIFS('代理商-进货明细表'!$I:$I,'代理商-进货明细表'!$B:$B,'代理商-产品进销存'!$B94,'代理商-进货明细表'!$F:$F,'代理商-产品进销存'!$D94,'代理商-进货明细表'!$E:$E,"2月")+SUMIFS('代理商-进货明细表'!$I:$I,'代理商-进货明细表'!$B:$B,'代理商-产品进销存'!$B94,'代理商-进货明细表'!$F:$F,'代理商-产品进销存'!$D94,'代理商-进货明细表'!$E:$E,"3月"))/10000</f>
        <v>0</v>
      </c>
      <c r="S94" s="29">
        <f>(SUMIFS('代理商-进货明细表'!$I:$I,'代理商-进货明细表'!$B:$B,'代理商-产品进销存'!$B94,'代理商-进货明细表'!$F:$F,'代理商-产品进销存'!$D94,'代理商-进货明细表'!$E:$E,"4月")+SUMIFS('代理商-进货明细表'!$I:$I,'代理商-进货明细表'!$B:$B,'代理商-产品进销存'!$B94,'代理商-进货明细表'!$F:$F,'代理商-产品进销存'!$D94,'代理商-进货明细表'!$E:$E,"5月")+SUMIFS('代理商-进货明细表'!$I:$I,'代理商-进货明细表'!$B:$B,'代理商-产品进销存'!$B94,'代理商-进货明细表'!$F:$F,'代理商-产品进销存'!$D94,'代理商-进货明细表'!$E:$E,"6月"))/10000</f>
        <v>0</v>
      </c>
      <c r="T94" s="29">
        <f>(SUMIFS('代理商-进货明细表'!$I:$I,'代理商-进货明细表'!$B:$B,'代理商-产品进销存'!$B94,'代理商-进货明细表'!$F:$F,'代理商-产品进销存'!$D94,'代理商-进货明细表'!$E:$E,"7月")+SUMIFS('代理商-进货明细表'!$I:$I,'代理商-进货明细表'!$B:$B,'代理商-产品进销存'!$B94,'代理商-进货明细表'!$F:$F,'代理商-产品进销存'!$D94,'代理商-进货明细表'!$E:$E,"8月")+SUMIFS('代理商-进货明细表'!$I:$I,'代理商-进货明细表'!$B:$B,'代理商-产品进销存'!$B94,'代理商-进货明细表'!$F:$F,'代理商-产品进销存'!$D94,'代理商-进货明细表'!$E:$E,"9月"))/10000</f>
        <v>0</v>
      </c>
      <c r="U94" s="29">
        <f>(SUMIFS('代理商-进货明细表'!$I:$I,'代理商-进货明细表'!$B:$B,'代理商-产品进销存'!$B94,'代理商-进货明细表'!$F:$F,'代理商-产品进销存'!$D94,'代理商-进货明细表'!$E:$E,"10月")+SUMIFS('代理商-进货明细表'!$I:$I,'代理商-进货明细表'!$B:$B,'代理商-产品进销存'!$B94,'代理商-进货明细表'!$F:$F,'代理商-产品进销存'!$D94,'代理商-进货明细表'!$E:$E,"11月")+SUMIFS('代理商-进货明细表'!$I:$I,'代理商-进货明细表'!$B:$B,'代理商-产品进销存'!$B94,'代理商-进货明细表'!$F:$F,'代理商-产品进销存'!$D94,'代理商-进货明细表'!$E:$E,"12月"))/10000</f>
        <v>0</v>
      </c>
      <c r="V94" s="29">
        <f t="shared" si="14"/>
        <v>0</v>
      </c>
      <c r="W94" s="29">
        <f t="shared" si="15"/>
        <v>0</v>
      </c>
      <c r="X94" s="29">
        <f t="shared" si="16"/>
        <v>0</v>
      </c>
      <c r="Y94" s="29">
        <f t="shared" si="17"/>
        <v>0</v>
      </c>
      <c r="Z94" s="29">
        <f t="shared" si="18"/>
        <v>0</v>
      </c>
      <c r="AA94" s="29">
        <f t="shared" si="19"/>
        <v>0</v>
      </c>
    </row>
    <row r="95" spans="1:27" x14ac:dyDescent="0.3">
      <c r="A95" s="2" t="s">
        <v>184</v>
      </c>
      <c r="B95" s="2" t="s">
        <v>106</v>
      </c>
      <c r="D95" s="3" t="s">
        <v>14</v>
      </c>
      <c r="L95" s="29">
        <f>(SUMIFS(终端客户销售统计表!$K:$K,终端客户销售统计表!$L:$L,$B95,终端客户销售统计表!$H:$H,$D95,终端客户销售统计表!$G:$G,"1月")+SUMIFS(终端客户销售统计表!$K:$K,终端客户销售统计表!$L:$L,$B95,终端客户销售统计表!$H:$H,$D95,终端客户销售统计表!$G:$G,"2月")+SUMIFS(终端客户销售统计表!$K:$K,终端客户销售统计表!$L:$L,$B95,终端客户销售统计表!$H:$H,$D95,终端客户销售统计表!$G:$G,"3月"))/10000</f>
        <v>0</v>
      </c>
      <c r="M95" s="29">
        <f>(SUMIFS(终端客户销售统计表!$K:$K,终端客户销售统计表!$L:$L,$B95,终端客户销售统计表!$H:$H,$D95,终端客户销售统计表!$G:$G,"4月")+SUMIFS(终端客户销售统计表!$K:$K,终端客户销售统计表!$L:$L,$B95,终端客户销售统计表!$H:$H,$D95,终端客户销售统计表!$G:$G,"5月")+SUMIFS(终端客户销售统计表!$K:$K,终端客户销售统计表!$L:$L,$B95,终端客户销售统计表!$H:$H,$D95,终端客户销售统计表!$G:$G,"6月"))/10000</f>
        <v>0</v>
      </c>
      <c r="N95" s="29">
        <f>(SUMIFS(终端客户销售统计表!$K:$K,终端客户销售统计表!$L:$L,$B95,终端客户销售统计表!$H:$H,$D95,终端客户销售统计表!$G:$G,"7月")+SUMIFS(终端客户销售统计表!$K:$K,终端客户销售统计表!$L:$L,$B95,终端客户销售统计表!$H:$H,$D95,终端客户销售统计表!$G:$G,"8月")+SUMIFS(终端客户销售统计表!$K:$K,终端客户销售统计表!$L:$L,$B95,终端客户销售统计表!$H:$H,$D95,终端客户销售统计表!$G:$G,"9月"))/10000</f>
        <v>0</v>
      </c>
      <c r="O95" s="29">
        <f>(SUMIFS(终端客户销售统计表!$K:$K,终端客户销售统计表!$L:$L,$B95,终端客户销售统计表!$H:$H,$D95,终端客户销售统计表!$G:$G,"10月")+SUMIFS(终端客户销售统计表!$K:$K,终端客户销售统计表!$L:$L,$B95,终端客户销售统计表!$H:$H,$D95,终端客户销售统计表!$G:$G,"11月")+SUMIFS(终端客户销售统计表!$K:$K,终端客户销售统计表!$L:$L,$B95,终端客户销售统计表!$H:$H,$D95,终端客户销售统计表!$G:$G,"12月"))/10000</f>
        <v>0</v>
      </c>
      <c r="P95" s="29">
        <f>SUM(L95:O95)</f>
        <v>0</v>
      </c>
      <c r="Q95" s="44" t="str">
        <f t="shared" si="13"/>
        <v/>
      </c>
      <c r="R95" s="29">
        <f>(SUMIFS('代理商-进货明细表'!$I:$I,'代理商-进货明细表'!$B:$B,'代理商-产品进销存'!$B95,'代理商-进货明细表'!$F:$F,'代理商-产品进销存'!$D95,'代理商-进货明细表'!$E:$E,"1月")+SUMIFS('代理商-进货明细表'!$I:$I,'代理商-进货明细表'!$B:$B,'代理商-产品进销存'!$B95,'代理商-进货明细表'!$F:$F,'代理商-产品进销存'!$D95,'代理商-进货明细表'!$E:$E,"2月")+SUMIFS('代理商-进货明细表'!$I:$I,'代理商-进货明细表'!$B:$B,'代理商-产品进销存'!$B95,'代理商-进货明细表'!$F:$F,'代理商-产品进销存'!$D95,'代理商-进货明细表'!$E:$E,"3月"))/10000</f>
        <v>0</v>
      </c>
      <c r="S95" s="29">
        <f>(SUMIFS('代理商-进货明细表'!$I:$I,'代理商-进货明细表'!$B:$B,'代理商-产品进销存'!$B95,'代理商-进货明细表'!$F:$F,'代理商-产品进销存'!$D95,'代理商-进货明细表'!$E:$E,"4月")+SUMIFS('代理商-进货明细表'!$I:$I,'代理商-进货明细表'!$B:$B,'代理商-产品进销存'!$B95,'代理商-进货明细表'!$F:$F,'代理商-产品进销存'!$D95,'代理商-进货明细表'!$E:$E,"5月")+SUMIFS('代理商-进货明细表'!$I:$I,'代理商-进货明细表'!$B:$B,'代理商-产品进销存'!$B95,'代理商-进货明细表'!$F:$F,'代理商-产品进销存'!$D95,'代理商-进货明细表'!$E:$E,"6月"))/10000</f>
        <v>0</v>
      </c>
      <c r="T95" s="29">
        <f>(SUMIFS('代理商-进货明细表'!$I:$I,'代理商-进货明细表'!$B:$B,'代理商-产品进销存'!$B95,'代理商-进货明细表'!$F:$F,'代理商-产品进销存'!$D95,'代理商-进货明细表'!$E:$E,"7月")+SUMIFS('代理商-进货明细表'!$I:$I,'代理商-进货明细表'!$B:$B,'代理商-产品进销存'!$B95,'代理商-进货明细表'!$F:$F,'代理商-产品进销存'!$D95,'代理商-进货明细表'!$E:$E,"8月")+SUMIFS('代理商-进货明细表'!$I:$I,'代理商-进货明细表'!$B:$B,'代理商-产品进销存'!$B95,'代理商-进货明细表'!$F:$F,'代理商-产品进销存'!$D95,'代理商-进货明细表'!$E:$E,"9月"))/10000</f>
        <v>0</v>
      </c>
      <c r="U95" s="29">
        <f>(SUMIFS('代理商-进货明细表'!$I:$I,'代理商-进货明细表'!$B:$B,'代理商-产品进销存'!$B95,'代理商-进货明细表'!$F:$F,'代理商-产品进销存'!$D95,'代理商-进货明细表'!$E:$E,"10月")+SUMIFS('代理商-进货明细表'!$I:$I,'代理商-进货明细表'!$B:$B,'代理商-产品进销存'!$B95,'代理商-进货明细表'!$F:$F,'代理商-产品进销存'!$D95,'代理商-进货明细表'!$E:$E,"11月")+SUMIFS('代理商-进货明细表'!$I:$I,'代理商-进货明细表'!$B:$B,'代理商-产品进销存'!$B95,'代理商-进货明细表'!$F:$F,'代理商-产品进销存'!$D95,'代理商-进货明细表'!$E:$E,"12月"))/10000</f>
        <v>0</v>
      </c>
      <c r="V95" s="29">
        <f t="shared" si="14"/>
        <v>0</v>
      </c>
      <c r="W95" s="29">
        <f t="shared" si="15"/>
        <v>0</v>
      </c>
      <c r="X95" s="29">
        <f t="shared" si="16"/>
        <v>0</v>
      </c>
      <c r="Y95" s="29">
        <f t="shared" si="17"/>
        <v>0</v>
      </c>
      <c r="Z95" s="29">
        <f t="shared" si="18"/>
        <v>0</v>
      </c>
      <c r="AA95" s="29">
        <f t="shared" si="19"/>
        <v>0</v>
      </c>
    </row>
    <row r="96" spans="1:27" x14ac:dyDescent="0.3">
      <c r="A96" s="2" t="s">
        <v>184</v>
      </c>
      <c r="B96" s="2" t="s">
        <v>106</v>
      </c>
      <c r="D96" s="3" t="s">
        <v>15</v>
      </c>
      <c r="L96" s="29">
        <f>(SUMIFS(终端客户销售统计表!$K:$K,终端客户销售统计表!$L:$L,$B96,终端客户销售统计表!$H:$H,$D96,终端客户销售统计表!$G:$G,"1月")+SUMIFS(终端客户销售统计表!$K:$K,终端客户销售统计表!$L:$L,$B96,终端客户销售统计表!$H:$H,$D96,终端客户销售统计表!$G:$G,"2月")+SUMIFS(终端客户销售统计表!$K:$K,终端客户销售统计表!$L:$L,$B96,终端客户销售统计表!$H:$H,$D96,终端客户销售统计表!$G:$G,"3月"))/10000</f>
        <v>0</v>
      </c>
      <c r="M96" s="29">
        <f>(SUMIFS(终端客户销售统计表!$K:$K,终端客户销售统计表!$L:$L,$B96,终端客户销售统计表!$H:$H,$D96,终端客户销售统计表!$G:$G,"4月")+SUMIFS(终端客户销售统计表!$K:$K,终端客户销售统计表!$L:$L,$B96,终端客户销售统计表!$H:$H,$D96,终端客户销售统计表!$G:$G,"5月")+SUMIFS(终端客户销售统计表!$K:$K,终端客户销售统计表!$L:$L,$B96,终端客户销售统计表!$H:$H,$D96,终端客户销售统计表!$G:$G,"6月"))/10000</f>
        <v>0</v>
      </c>
      <c r="N96" s="29">
        <f>(SUMIFS(终端客户销售统计表!$K:$K,终端客户销售统计表!$L:$L,$B96,终端客户销售统计表!$H:$H,$D96,终端客户销售统计表!$G:$G,"7月")+SUMIFS(终端客户销售统计表!$K:$K,终端客户销售统计表!$L:$L,$B96,终端客户销售统计表!$H:$H,$D96,终端客户销售统计表!$G:$G,"8月")+SUMIFS(终端客户销售统计表!$K:$K,终端客户销售统计表!$L:$L,$B96,终端客户销售统计表!$H:$H,$D96,终端客户销售统计表!$G:$G,"9月"))/10000</f>
        <v>0</v>
      </c>
      <c r="O96" s="29">
        <f>(SUMIFS(终端客户销售统计表!$K:$K,终端客户销售统计表!$L:$L,$B96,终端客户销售统计表!$H:$H,$D96,终端客户销售统计表!$G:$G,"10月")+SUMIFS(终端客户销售统计表!$K:$K,终端客户销售统计表!$L:$L,$B96,终端客户销售统计表!$H:$H,$D96,终端客户销售统计表!$G:$G,"11月")+SUMIFS(终端客户销售统计表!$K:$K,终端客户销售统计表!$L:$L,$B96,终端客户销售统计表!$H:$H,$D96,终端客户销售统计表!$G:$G,"12月"))/10000</f>
        <v>0</v>
      </c>
      <c r="P96" s="29">
        <f>SUM(L96:O96)</f>
        <v>0</v>
      </c>
      <c r="Q96" s="44" t="str">
        <f t="shared" si="13"/>
        <v/>
      </c>
      <c r="R96" s="29">
        <f>(SUMIFS('代理商-进货明细表'!$I:$I,'代理商-进货明细表'!$B:$B,'代理商-产品进销存'!$B96,'代理商-进货明细表'!$F:$F,'代理商-产品进销存'!$D96,'代理商-进货明细表'!$E:$E,"1月")+SUMIFS('代理商-进货明细表'!$I:$I,'代理商-进货明细表'!$B:$B,'代理商-产品进销存'!$B96,'代理商-进货明细表'!$F:$F,'代理商-产品进销存'!$D96,'代理商-进货明细表'!$E:$E,"2月")+SUMIFS('代理商-进货明细表'!$I:$I,'代理商-进货明细表'!$B:$B,'代理商-产品进销存'!$B96,'代理商-进货明细表'!$F:$F,'代理商-产品进销存'!$D96,'代理商-进货明细表'!$E:$E,"3月"))/10000</f>
        <v>0</v>
      </c>
      <c r="S96" s="29">
        <f>(SUMIFS('代理商-进货明细表'!$I:$I,'代理商-进货明细表'!$B:$B,'代理商-产品进销存'!$B96,'代理商-进货明细表'!$F:$F,'代理商-产品进销存'!$D96,'代理商-进货明细表'!$E:$E,"4月")+SUMIFS('代理商-进货明细表'!$I:$I,'代理商-进货明细表'!$B:$B,'代理商-产品进销存'!$B96,'代理商-进货明细表'!$F:$F,'代理商-产品进销存'!$D96,'代理商-进货明细表'!$E:$E,"5月")+SUMIFS('代理商-进货明细表'!$I:$I,'代理商-进货明细表'!$B:$B,'代理商-产品进销存'!$B96,'代理商-进货明细表'!$F:$F,'代理商-产品进销存'!$D96,'代理商-进货明细表'!$E:$E,"6月"))/10000</f>
        <v>0</v>
      </c>
      <c r="T96" s="29">
        <f>(SUMIFS('代理商-进货明细表'!$I:$I,'代理商-进货明细表'!$B:$B,'代理商-产品进销存'!$B96,'代理商-进货明细表'!$F:$F,'代理商-产品进销存'!$D96,'代理商-进货明细表'!$E:$E,"7月")+SUMIFS('代理商-进货明细表'!$I:$I,'代理商-进货明细表'!$B:$B,'代理商-产品进销存'!$B96,'代理商-进货明细表'!$F:$F,'代理商-产品进销存'!$D96,'代理商-进货明细表'!$E:$E,"8月")+SUMIFS('代理商-进货明细表'!$I:$I,'代理商-进货明细表'!$B:$B,'代理商-产品进销存'!$B96,'代理商-进货明细表'!$F:$F,'代理商-产品进销存'!$D96,'代理商-进货明细表'!$E:$E,"9月"))/10000</f>
        <v>0</v>
      </c>
      <c r="U96" s="29">
        <f>(SUMIFS('代理商-进货明细表'!$I:$I,'代理商-进货明细表'!$B:$B,'代理商-产品进销存'!$B96,'代理商-进货明细表'!$F:$F,'代理商-产品进销存'!$D96,'代理商-进货明细表'!$E:$E,"10月")+SUMIFS('代理商-进货明细表'!$I:$I,'代理商-进货明细表'!$B:$B,'代理商-产品进销存'!$B96,'代理商-进货明细表'!$F:$F,'代理商-产品进销存'!$D96,'代理商-进货明细表'!$E:$E,"11月")+SUMIFS('代理商-进货明细表'!$I:$I,'代理商-进货明细表'!$B:$B,'代理商-产品进销存'!$B96,'代理商-进货明细表'!$F:$F,'代理商-产品进销存'!$D96,'代理商-进货明细表'!$E:$E,"12月"))/10000</f>
        <v>0</v>
      </c>
      <c r="V96" s="29">
        <f t="shared" si="14"/>
        <v>0</v>
      </c>
      <c r="W96" s="29">
        <f t="shared" si="15"/>
        <v>0</v>
      </c>
      <c r="X96" s="29">
        <f t="shared" si="16"/>
        <v>0</v>
      </c>
      <c r="Y96" s="29">
        <f t="shared" si="17"/>
        <v>0</v>
      </c>
      <c r="Z96" s="29">
        <f t="shared" si="18"/>
        <v>0</v>
      </c>
      <c r="AA96" s="29">
        <f t="shared" si="19"/>
        <v>0</v>
      </c>
    </row>
    <row r="97" spans="1:27" x14ac:dyDescent="0.3">
      <c r="A97" s="2" t="s">
        <v>184</v>
      </c>
      <c r="B97" s="2" t="s">
        <v>106</v>
      </c>
      <c r="D97" s="3" t="s">
        <v>16</v>
      </c>
      <c r="L97" s="29">
        <f>(SUMIFS(终端客户销售统计表!$K:$K,终端客户销售统计表!$L:$L,$B97,终端客户销售统计表!$H:$H,$D97,终端客户销售统计表!$G:$G,"1月")+SUMIFS(终端客户销售统计表!$K:$K,终端客户销售统计表!$L:$L,$B97,终端客户销售统计表!$H:$H,$D97,终端客户销售统计表!$G:$G,"2月")+SUMIFS(终端客户销售统计表!$K:$K,终端客户销售统计表!$L:$L,$B97,终端客户销售统计表!$H:$H,$D97,终端客户销售统计表!$G:$G,"3月"))/10000</f>
        <v>0</v>
      </c>
      <c r="M97" s="29">
        <f>(SUMIFS(终端客户销售统计表!$K:$K,终端客户销售统计表!$L:$L,$B97,终端客户销售统计表!$H:$H,$D97,终端客户销售统计表!$G:$G,"4月")+SUMIFS(终端客户销售统计表!$K:$K,终端客户销售统计表!$L:$L,$B97,终端客户销售统计表!$H:$H,$D97,终端客户销售统计表!$G:$G,"5月")+SUMIFS(终端客户销售统计表!$K:$K,终端客户销售统计表!$L:$L,$B97,终端客户销售统计表!$H:$H,$D97,终端客户销售统计表!$G:$G,"6月"))/10000</f>
        <v>0</v>
      </c>
      <c r="N97" s="29">
        <f>(SUMIFS(终端客户销售统计表!$K:$K,终端客户销售统计表!$L:$L,$B97,终端客户销售统计表!$H:$H,$D97,终端客户销售统计表!$G:$G,"7月")+SUMIFS(终端客户销售统计表!$K:$K,终端客户销售统计表!$L:$L,$B97,终端客户销售统计表!$H:$H,$D97,终端客户销售统计表!$G:$G,"8月")+SUMIFS(终端客户销售统计表!$K:$K,终端客户销售统计表!$L:$L,$B97,终端客户销售统计表!$H:$H,$D97,终端客户销售统计表!$G:$G,"9月"))/10000</f>
        <v>0</v>
      </c>
      <c r="O97" s="29">
        <f>(SUMIFS(终端客户销售统计表!$K:$K,终端客户销售统计表!$L:$L,$B97,终端客户销售统计表!$H:$H,$D97,终端客户销售统计表!$G:$G,"10月")+SUMIFS(终端客户销售统计表!$K:$K,终端客户销售统计表!$L:$L,$B97,终端客户销售统计表!$H:$H,$D97,终端客户销售统计表!$G:$G,"11月")+SUMIFS(终端客户销售统计表!$K:$K,终端客户销售统计表!$L:$L,$B97,终端客户销售统计表!$H:$H,$D97,终端客户销售统计表!$G:$G,"12月"))/10000</f>
        <v>0</v>
      </c>
      <c r="P97" s="29">
        <f>SUM(L97:O97)</f>
        <v>0</v>
      </c>
      <c r="Q97" s="44" t="str">
        <f t="shared" si="13"/>
        <v/>
      </c>
      <c r="R97" s="29">
        <f>(SUMIFS('代理商-进货明细表'!$I:$I,'代理商-进货明细表'!$B:$B,'代理商-产品进销存'!$B97,'代理商-进货明细表'!$F:$F,'代理商-产品进销存'!$D97,'代理商-进货明细表'!$E:$E,"1月")+SUMIFS('代理商-进货明细表'!$I:$I,'代理商-进货明细表'!$B:$B,'代理商-产品进销存'!$B97,'代理商-进货明细表'!$F:$F,'代理商-产品进销存'!$D97,'代理商-进货明细表'!$E:$E,"2月")+SUMIFS('代理商-进货明细表'!$I:$I,'代理商-进货明细表'!$B:$B,'代理商-产品进销存'!$B97,'代理商-进货明细表'!$F:$F,'代理商-产品进销存'!$D97,'代理商-进货明细表'!$E:$E,"3月"))/10000</f>
        <v>0</v>
      </c>
      <c r="S97" s="29">
        <f>(SUMIFS('代理商-进货明细表'!$I:$I,'代理商-进货明细表'!$B:$B,'代理商-产品进销存'!$B97,'代理商-进货明细表'!$F:$F,'代理商-产品进销存'!$D97,'代理商-进货明细表'!$E:$E,"4月")+SUMIFS('代理商-进货明细表'!$I:$I,'代理商-进货明细表'!$B:$B,'代理商-产品进销存'!$B97,'代理商-进货明细表'!$F:$F,'代理商-产品进销存'!$D97,'代理商-进货明细表'!$E:$E,"5月")+SUMIFS('代理商-进货明细表'!$I:$I,'代理商-进货明细表'!$B:$B,'代理商-产品进销存'!$B97,'代理商-进货明细表'!$F:$F,'代理商-产品进销存'!$D97,'代理商-进货明细表'!$E:$E,"6月"))/10000</f>
        <v>0</v>
      </c>
      <c r="T97" s="29">
        <f>(SUMIFS('代理商-进货明细表'!$I:$I,'代理商-进货明细表'!$B:$B,'代理商-产品进销存'!$B97,'代理商-进货明细表'!$F:$F,'代理商-产品进销存'!$D97,'代理商-进货明细表'!$E:$E,"7月")+SUMIFS('代理商-进货明细表'!$I:$I,'代理商-进货明细表'!$B:$B,'代理商-产品进销存'!$B97,'代理商-进货明细表'!$F:$F,'代理商-产品进销存'!$D97,'代理商-进货明细表'!$E:$E,"8月")+SUMIFS('代理商-进货明细表'!$I:$I,'代理商-进货明细表'!$B:$B,'代理商-产品进销存'!$B97,'代理商-进货明细表'!$F:$F,'代理商-产品进销存'!$D97,'代理商-进货明细表'!$E:$E,"9月"))/10000</f>
        <v>0</v>
      </c>
      <c r="U97" s="29">
        <f>(SUMIFS('代理商-进货明细表'!$I:$I,'代理商-进货明细表'!$B:$B,'代理商-产品进销存'!$B97,'代理商-进货明细表'!$F:$F,'代理商-产品进销存'!$D97,'代理商-进货明细表'!$E:$E,"10月")+SUMIFS('代理商-进货明细表'!$I:$I,'代理商-进货明细表'!$B:$B,'代理商-产品进销存'!$B97,'代理商-进货明细表'!$F:$F,'代理商-产品进销存'!$D97,'代理商-进货明细表'!$E:$E,"11月")+SUMIFS('代理商-进货明细表'!$I:$I,'代理商-进货明细表'!$B:$B,'代理商-产品进销存'!$B97,'代理商-进货明细表'!$F:$F,'代理商-产品进销存'!$D97,'代理商-进货明细表'!$E:$E,"12月"))/10000</f>
        <v>0</v>
      </c>
      <c r="V97" s="29">
        <f t="shared" si="14"/>
        <v>0</v>
      </c>
      <c r="W97" s="29">
        <f t="shared" si="15"/>
        <v>0</v>
      </c>
      <c r="X97" s="29">
        <f t="shared" si="16"/>
        <v>0</v>
      </c>
      <c r="Y97" s="29">
        <f t="shared" si="17"/>
        <v>0</v>
      </c>
      <c r="Z97" s="29">
        <f t="shared" si="18"/>
        <v>0</v>
      </c>
      <c r="AA97" s="29">
        <f t="shared" si="19"/>
        <v>0</v>
      </c>
    </row>
    <row r="98" spans="1:27" x14ac:dyDescent="0.3">
      <c r="A98" s="2" t="s">
        <v>184</v>
      </c>
      <c r="B98" s="2" t="s">
        <v>106</v>
      </c>
      <c r="D98" s="3" t="s">
        <v>17</v>
      </c>
      <c r="L98" s="29">
        <f>(SUMIFS(终端客户销售统计表!$K:$K,终端客户销售统计表!$L:$L,$B98,终端客户销售统计表!$H:$H,$D98,终端客户销售统计表!$G:$G,"1月")+SUMIFS(终端客户销售统计表!$K:$K,终端客户销售统计表!$L:$L,$B98,终端客户销售统计表!$H:$H,$D98,终端客户销售统计表!$G:$G,"2月")+SUMIFS(终端客户销售统计表!$K:$K,终端客户销售统计表!$L:$L,$B98,终端客户销售统计表!$H:$H,$D98,终端客户销售统计表!$G:$G,"3月"))/10000</f>
        <v>0</v>
      </c>
      <c r="M98" s="29">
        <f>(SUMIFS(终端客户销售统计表!$K:$K,终端客户销售统计表!$L:$L,$B98,终端客户销售统计表!$H:$H,$D98,终端客户销售统计表!$G:$G,"4月")+SUMIFS(终端客户销售统计表!$K:$K,终端客户销售统计表!$L:$L,$B98,终端客户销售统计表!$H:$H,$D98,终端客户销售统计表!$G:$G,"5月")+SUMIFS(终端客户销售统计表!$K:$K,终端客户销售统计表!$L:$L,$B98,终端客户销售统计表!$H:$H,$D98,终端客户销售统计表!$G:$G,"6月"))/10000</f>
        <v>0</v>
      </c>
      <c r="N98" s="29">
        <f>(SUMIFS(终端客户销售统计表!$K:$K,终端客户销售统计表!$L:$L,$B98,终端客户销售统计表!$H:$H,$D98,终端客户销售统计表!$G:$G,"7月")+SUMIFS(终端客户销售统计表!$K:$K,终端客户销售统计表!$L:$L,$B98,终端客户销售统计表!$H:$H,$D98,终端客户销售统计表!$G:$G,"8月")+SUMIFS(终端客户销售统计表!$K:$K,终端客户销售统计表!$L:$L,$B98,终端客户销售统计表!$H:$H,$D98,终端客户销售统计表!$G:$G,"9月"))/10000</f>
        <v>0</v>
      </c>
      <c r="O98" s="29">
        <f>(SUMIFS(终端客户销售统计表!$K:$K,终端客户销售统计表!$L:$L,$B98,终端客户销售统计表!$H:$H,$D98,终端客户销售统计表!$G:$G,"10月")+SUMIFS(终端客户销售统计表!$K:$K,终端客户销售统计表!$L:$L,$B98,终端客户销售统计表!$H:$H,$D98,终端客户销售统计表!$G:$G,"11月")+SUMIFS(终端客户销售统计表!$K:$K,终端客户销售统计表!$L:$L,$B98,终端客户销售统计表!$H:$H,$D98,终端客户销售统计表!$G:$G,"12月"))/10000</f>
        <v>0</v>
      </c>
      <c r="P98" s="29">
        <f>SUM(L98:O98)</f>
        <v>0</v>
      </c>
      <c r="Q98" s="44" t="str">
        <f t="shared" si="13"/>
        <v/>
      </c>
      <c r="R98" s="29">
        <f>(SUMIFS('代理商-进货明细表'!$I:$I,'代理商-进货明细表'!$B:$B,'代理商-产品进销存'!$B98,'代理商-进货明细表'!$F:$F,'代理商-产品进销存'!$D98,'代理商-进货明细表'!$E:$E,"1月")+SUMIFS('代理商-进货明细表'!$I:$I,'代理商-进货明细表'!$B:$B,'代理商-产品进销存'!$B98,'代理商-进货明细表'!$F:$F,'代理商-产品进销存'!$D98,'代理商-进货明细表'!$E:$E,"2月")+SUMIFS('代理商-进货明细表'!$I:$I,'代理商-进货明细表'!$B:$B,'代理商-产品进销存'!$B98,'代理商-进货明细表'!$F:$F,'代理商-产品进销存'!$D98,'代理商-进货明细表'!$E:$E,"3月"))/10000</f>
        <v>0</v>
      </c>
      <c r="S98" s="29">
        <f>(SUMIFS('代理商-进货明细表'!$I:$I,'代理商-进货明细表'!$B:$B,'代理商-产品进销存'!$B98,'代理商-进货明细表'!$F:$F,'代理商-产品进销存'!$D98,'代理商-进货明细表'!$E:$E,"4月")+SUMIFS('代理商-进货明细表'!$I:$I,'代理商-进货明细表'!$B:$B,'代理商-产品进销存'!$B98,'代理商-进货明细表'!$F:$F,'代理商-产品进销存'!$D98,'代理商-进货明细表'!$E:$E,"5月")+SUMIFS('代理商-进货明细表'!$I:$I,'代理商-进货明细表'!$B:$B,'代理商-产品进销存'!$B98,'代理商-进货明细表'!$F:$F,'代理商-产品进销存'!$D98,'代理商-进货明细表'!$E:$E,"6月"))/10000</f>
        <v>0</v>
      </c>
      <c r="T98" s="29">
        <f>(SUMIFS('代理商-进货明细表'!$I:$I,'代理商-进货明细表'!$B:$B,'代理商-产品进销存'!$B98,'代理商-进货明细表'!$F:$F,'代理商-产品进销存'!$D98,'代理商-进货明细表'!$E:$E,"7月")+SUMIFS('代理商-进货明细表'!$I:$I,'代理商-进货明细表'!$B:$B,'代理商-产品进销存'!$B98,'代理商-进货明细表'!$F:$F,'代理商-产品进销存'!$D98,'代理商-进货明细表'!$E:$E,"8月")+SUMIFS('代理商-进货明细表'!$I:$I,'代理商-进货明细表'!$B:$B,'代理商-产品进销存'!$B98,'代理商-进货明细表'!$F:$F,'代理商-产品进销存'!$D98,'代理商-进货明细表'!$E:$E,"9月"))/10000</f>
        <v>0</v>
      </c>
      <c r="U98" s="29">
        <f>(SUMIFS('代理商-进货明细表'!$I:$I,'代理商-进货明细表'!$B:$B,'代理商-产品进销存'!$B98,'代理商-进货明细表'!$F:$F,'代理商-产品进销存'!$D98,'代理商-进货明细表'!$E:$E,"10月")+SUMIFS('代理商-进货明细表'!$I:$I,'代理商-进货明细表'!$B:$B,'代理商-产品进销存'!$B98,'代理商-进货明细表'!$F:$F,'代理商-产品进销存'!$D98,'代理商-进货明细表'!$E:$E,"11月")+SUMIFS('代理商-进货明细表'!$I:$I,'代理商-进货明细表'!$B:$B,'代理商-产品进销存'!$B98,'代理商-进货明细表'!$F:$F,'代理商-产品进销存'!$D98,'代理商-进货明细表'!$E:$E,"12月"))/10000</f>
        <v>0</v>
      </c>
      <c r="V98" s="29">
        <f t="shared" si="14"/>
        <v>0</v>
      </c>
      <c r="W98" s="29">
        <f t="shared" si="15"/>
        <v>0</v>
      </c>
      <c r="X98" s="29">
        <f t="shared" si="16"/>
        <v>0</v>
      </c>
      <c r="Y98" s="29">
        <f t="shared" si="17"/>
        <v>0</v>
      </c>
      <c r="Z98" s="29">
        <f t="shared" si="18"/>
        <v>0</v>
      </c>
      <c r="AA98" s="29">
        <f t="shared" si="19"/>
        <v>0</v>
      </c>
    </row>
    <row r="99" spans="1:27" x14ac:dyDescent="0.3">
      <c r="A99" s="2" t="s">
        <v>185</v>
      </c>
      <c r="B99" s="2" t="s">
        <v>107</v>
      </c>
      <c r="D99" s="3" t="s">
        <v>14</v>
      </c>
      <c r="L99" s="29">
        <f>(SUMIFS(终端客户销售统计表!$K:$K,终端客户销售统计表!$L:$L,$B99,终端客户销售统计表!$H:$H,$D99,终端客户销售统计表!$G:$G,"1月")+SUMIFS(终端客户销售统计表!$K:$K,终端客户销售统计表!$L:$L,$B99,终端客户销售统计表!$H:$H,$D99,终端客户销售统计表!$G:$G,"2月")+SUMIFS(终端客户销售统计表!$K:$K,终端客户销售统计表!$L:$L,$B99,终端客户销售统计表!$H:$H,$D99,终端客户销售统计表!$G:$G,"3月"))/10000</f>
        <v>0</v>
      </c>
      <c r="M99" s="29">
        <f>(SUMIFS(终端客户销售统计表!$K:$K,终端客户销售统计表!$L:$L,$B99,终端客户销售统计表!$H:$H,$D99,终端客户销售统计表!$G:$G,"4月")+SUMIFS(终端客户销售统计表!$K:$K,终端客户销售统计表!$L:$L,$B99,终端客户销售统计表!$H:$H,$D99,终端客户销售统计表!$G:$G,"5月")+SUMIFS(终端客户销售统计表!$K:$K,终端客户销售统计表!$L:$L,$B99,终端客户销售统计表!$H:$H,$D99,终端客户销售统计表!$G:$G,"6月"))/10000</f>
        <v>0</v>
      </c>
      <c r="N99" s="29">
        <f>(SUMIFS(终端客户销售统计表!$K:$K,终端客户销售统计表!$L:$L,$B99,终端客户销售统计表!$H:$H,$D99,终端客户销售统计表!$G:$G,"7月")+SUMIFS(终端客户销售统计表!$K:$K,终端客户销售统计表!$L:$L,$B99,终端客户销售统计表!$H:$H,$D99,终端客户销售统计表!$G:$G,"8月")+SUMIFS(终端客户销售统计表!$K:$K,终端客户销售统计表!$L:$L,$B99,终端客户销售统计表!$H:$H,$D99,终端客户销售统计表!$G:$G,"9月"))/10000</f>
        <v>0</v>
      </c>
      <c r="O99" s="29">
        <f>(SUMIFS(终端客户销售统计表!$K:$K,终端客户销售统计表!$L:$L,$B99,终端客户销售统计表!$H:$H,$D99,终端客户销售统计表!$G:$G,"10月")+SUMIFS(终端客户销售统计表!$K:$K,终端客户销售统计表!$L:$L,$B99,终端客户销售统计表!$H:$H,$D99,终端客户销售统计表!$G:$G,"11月")+SUMIFS(终端客户销售统计表!$K:$K,终端客户销售统计表!$L:$L,$B99,终端客户销售统计表!$H:$H,$D99,终端客户销售统计表!$G:$G,"12月"))/10000</f>
        <v>0</v>
      </c>
      <c r="P99" s="29">
        <f>SUM(L99:O99)</f>
        <v>0</v>
      </c>
      <c r="Q99" s="44" t="str">
        <f t="shared" si="13"/>
        <v/>
      </c>
      <c r="R99" s="29">
        <f>(SUMIFS('代理商-进货明细表'!$I:$I,'代理商-进货明细表'!$B:$B,'代理商-产品进销存'!$B99,'代理商-进货明细表'!$F:$F,'代理商-产品进销存'!$D99,'代理商-进货明细表'!$E:$E,"1月")+SUMIFS('代理商-进货明细表'!$I:$I,'代理商-进货明细表'!$B:$B,'代理商-产品进销存'!$B99,'代理商-进货明细表'!$F:$F,'代理商-产品进销存'!$D99,'代理商-进货明细表'!$E:$E,"2月")+SUMIFS('代理商-进货明细表'!$I:$I,'代理商-进货明细表'!$B:$B,'代理商-产品进销存'!$B99,'代理商-进货明细表'!$F:$F,'代理商-产品进销存'!$D99,'代理商-进货明细表'!$E:$E,"3月"))/10000</f>
        <v>0</v>
      </c>
      <c r="S99" s="29">
        <f>(SUMIFS('代理商-进货明细表'!$I:$I,'代理商-进货明细表'!$B:$B,'代理商-产品进销存'!$B99,'代理商-进货明细表'!$F:$F,'代理商-产品进销存'!$D99,'代理商-进货明细表'!$E:$E,"4月")+SUMIFS('代理商-进货明细表'!$I:$I,'代理商-进货明细表'!$B:$B,'代理商-产品进销存'!$B99,'代理商-进货明细表'!$F:$F,'代理商-产品进销存'!$D99,'代理商-进货明细表'!$E:$E,"5月")+SUMIFS('代理商-进货明细表'!$I:$I,'代理商-进货明细表'!$B:$B,'代理商-产品进销存'!$B99,'代理商-进货明细表'!$F:$F,'代理商-产品进销存'!$D99,'代理商-进货明细表'!$E:$E,"6月"))/10000</f>
        <v>0</v>
      </c>
      <c r="T99" s="29">
        <f>(SUMIFS('代理商-进货明细表'!$I:$I,'代理商-进货明细表'!$B:$B,'代理商-产品进销存'!$B99,'代理商-进货明细表'!$F:$F,'代理商-产品进销存'!$D99,'代理商-进货明细表'!$E:$E,"7月")+SUMIFS('代理商-进货明细表'!$I:$I,'代理商-进货明细表'!$B:$B,'代理商-产品进销存'!$B99,'代理商-进货明细表'!$F:$F,'代理商-产品进销存'!$D99,'代理商-进货明细表'!$E:$E,"8月")+SUMIFS('代理商-进货明细表'!$I:$I,'代理商-进货明细表'!$B:$B,'代理商-产品进销存'!$B99,'代理商-进货明细表'!$F:$F,'代理商-产品进销存'!$D99,'代理商-进货明细表'!$E:$E,"9月"))/10000</f>
        <v>0</v>
      </c>
      <c r="U99" s="29">
        <f>(SUMIFS('代理商-进货明细表'!$I:$I,'代理商-进货明细表'!$B:$B,'代理商-产品进销存'!$B99,'代理商-进货明细表'!$F:$F,'代理商-产品进销存'!$D99,'代理商-进货明细表'!$E:$E,"10月")+SUMIFS('代理商-进货明细表'!$I:$I,'代理商-进货明细表'!$B:$B,'代理商-产品进销存'!$B99,'代理商-进货明细表'!$F:$F,'代理商-产品进销存'!$D99,'代理商-进货明细表'!$E:$E,"11月")+SUMIFS('代理商-进货明细表'!$I:$I,'代理商-进货明细表'!$B:$B,'代理商-产品进销存'!$B99,'代理商-进货明细表'!$F:$F,'代理商-产品进销存'!$D99,'代理商-进货明细表'!$E:$E,"12月"))/10000</f>
        <v>0</v>
      </c>
      <c r="V99" s="29">
        <f t="shared" si="14"/>
        <v>0</v>
      </c>
      <c r="W99" s="29">
        <f t="shared" si="15"/>
        <v>0</v>
      </c>
      <c r="X99" s="29">
        <f t="shared" si="16"/>
        <v>0</v>
      </c>
      <c r="Y99" s="29">
        <f t="shared" si="17"/>
        <v>0</v>
      </c>
      <c r="Z99" s="29">
        <f t="shared" si="18"/>
        <v>0</v>
      </c>
      <c r="AA99" s="29">
        <f t="shared" si="19"/>
        <v>0</v>
      </c>
    </row>
    <row r="100" spans="1:27" x14ac:dyDescent="0.3">
      <c r="A100" s="2" t="s">
        <v>185</v>
      </c>
      <c r="B100" s="2" t="s">
        <v>107</v>
      </c>
      <c r="D100" s="3" t="s">
        <v>15</v>
      </c>
      <c r="L100" s="29">
        <f>(SUMIFS(终端客户销售统计表!$K:$K,终端客户销售统计表!$L:$L,$B100,终端客户销售统计表!$H:$H,$D100,终端客户销售统计表!$G:$G,"1月")+SUMIFS(终端客户销售统计表!$K:$K,终端客户销售统计表!$L:$L,$B100,终端客户销售统计表!$H:$H,$D100,终端客户销售统计表!$G:$G,"2月")+SUMIFS(终端客户销售统计表!$K:$K,终端客户销售统计表!$L:$L,$B100,终端客户销售统计表!$H:$H,$D100,终端客户销售统计表!$G:$G,"3月"))/10000</f>
        <v>0</v>
      </c>
      <c r="M100" s="29">
        <f>(SUMIFS(终端客户销售统计表!$K:$K,终端客户销售统计表!$L:$L,$B100,终端客户销售统计表!$H:$H,$D100,终端客户销售统计表!$G:$G,"4月")+SUMIFS(终端客户销售统计表!$K:$K,终端客户销售统计表!$L:$L,$B100,终端客户销售统计表!$H:$H,$D100,终端客户销售统计表!$G:$G,"5月")+SUMIFS(终端客户销售统计表!$K:$K,终端客户销售统计表!$L:$L,$B100,终端客户销售统计表!$H:$H,$D100,终端客户销售统计表!$G:$G,"6月"))/10000</f>
        <v>0</v>
      </c>
      <c r="N100" s="29">
        <f>(SUMIFS(终端客户销售统计表!$K:$K,终端客户销售统计表!$L:$L,$B100,终端客户销售统计表!$H:$H,$D100,终端客户销售统计表!$G:$G,"7月")+SUMIFS(终端客户销售统计表!$K:$K,终端客户销售统计表!$L:$L,$B100,终端客户销售统计表!$H:$H,$D100,终端客户销售统计表!$G:$G,"8月")+SUMIFS(终端客户销售统计表!$K:$K,终端客户销售统计表!$L:$L,$B100,终端客户销售统计表!$H:$H,$D100,终端客户销售统计表!$G:$G,"9月"))/10000</f>
        <v>0</v>
      </c>
      <c r="O100" s="29">
        <f>(SUMIFS(终端客户销售统计表!$K:$K,终端客户销售统计表!$L:$L,$B100,终端客户销售统计表!$H:$H,$D100,终端客户销售统计表!$G:$G,"10月")+SUMIFS(终端客户销售统计表!$K:$K,终端客户销售统计表!$L:$L,$B100,终端客户销售统计表!$H:$H,$D100,终端客户销售统计表!$G:$G,"11月")+SUMIFS(终端客户销售统计表!$K:$K,终端客户销售统计表!$L:$L,$B100,终端客户销售统计表!$H:$H,$D100,终端客户销售统计表!$G:$G,"12月"))/10000</f>
        <v>0</v>
      </c>
      <c r="P100" s="29">
        <f>SUM(L100:O100)</f>
        <v>0</v>
      </c>
      <c r="Q100" s="44" t="str">
        <f t="shared" si="13"/>
        <v/>
      </c>
      <c r="R100" s="29">
        <f>(SUMIFS('代理商-进货明细表'!$I:$I,'代理商-进货明细表'!$B:$B,'代理商-产品进销存'!$B100,'代理商-进货明细表'!$F:$F,'代理商-产品进销存'!$D100,'代理商-进货明细表'!$E:$E,"1月")+SUMIFS('代理商-进货明细表'!$I:$I,'代理商-进货明细表'!$B:$B,'代理商-产品进销存'!$B100,'代理商-进货明细表'!$F:$F,'代理商-产品进销存'!$D100,'代理商-进货明细表'!$E:$E,"2月")+SUMIFS('代理商-进货明细表'!$I:$I,'代理商-进货明细表'!$B:$B,'代理商-产品进销存'!$B100,'代理商-进货明细表'!$F:$F,'代理商-产品进销存'!$D100,'代理商-进货明细表'!$E:$E,"3月"))/10000</f>
        <v>0</v>
      </c>
      <c r="S100" s="29">
        <f>(SUMIFS('代理商-进货明细表'!$I:$I,'代理商-进货明细表'!$B:$B,'代理商-产品进销存'!$B100,'代理商-进货明细表'!$F:$F,'代理商-产品进销存'!$D100,'代理商-进货明细表'!$E:$E,"4月")+SUMIFS('代理商-进货明细表'!$I:$I,'代理商-进货明细表'!$B:$B,'代理商-产品进销存'!$B100,'代理商-进货明细表'!$F:$F,'代理商-产品进销存'!$D100,'代理商-进货明细表'!$E:$E,"5月")+SUMIFS('代理商-进货明细表'!$I:$I,'代理商-进货明细表'!$B:$B,'代理商-产品进销存'!$B100,'代理商-进货明细表'!$F:$F,'代理商-产品进销存'!$D100,'代理商-进货明细表'!$E:$E,"6月"))/10000</f>
        <v>0</v>
      </c>
      <c r="T100" s="29">
        <f>(SUMIFS('代理商-进货明细表'!$I:$I,'代理商-进货明细表'!$B:$B,'代理商-产品进销存'!$B100,'代理商-进货明细表'!$F:$F,'代理商-产品进销存'!$D100,'代理商-进货明细表'!$E:$E,"7月")+SUMIFS('代理商-进货明细表'!$I:$I,'代理商-进货明细表'!$B:$B,'代理商-产品进销存'!$B100,'代理商-进货明细表'!$F:$F,'代理商-产品进销存'!$D100,'代理商-进货明细表'!$E:$E,"8月")+SUMIFS('代理商-进货明细表'!$I:$I,'代理商-进货明细表'!$B:$B,'代理商-产品进销存'!$B100,'代理商-进货明细表'!$F:$F,'代理商-产品进销存'!$D100,'代理商-进货明细表'!$E:$E,"9月"))/10000</f>
        <v>0</v>
      </c>
      <c r="U100" s="29">
        <f>(SUMIFS('代理商-进货明细表'!$I:$I,'代理商-进货明细表'!$B:$B,'代理商-产品进销存'!$B100,'代理商-进货明细表'!$F:$F,'代理商-产品进销存'!$D100,'代理商-进货明细表'!$E:$E,"10月")+SUMIFS('代理商-进货明细表'!$I:$I,'代理商-进货明细表'!$B:$B,'代理商-产品进销存'!$B100,'代理商-进货明细表'!$F:$F,'代理商-产品进销存'!$D100,'代理商-进货明细表'!$E:$E,"11月")+SUMIFS('代理商-进货明细表'!$I:$I,'代理商-进货明细表'!$B:$B,'代理商-产品进销存'!$B100,'代理商-进货明细表'!$F:$F,'代理商-产品进销存'!$D100,'代理商-进货明细表'!$E:$E,"12月"))/10000</f>
        <v>0</v>
      </c>
      <c r="V100" s="29">
        <f t="shared" si="14"/>
        <v>0</v>
      </c>
      <c r="W100" s="29">
        <f t="shared" si="15"/>
        <v>0</v>
      </c>
      <c r="X100" s="29">
        <f t="shared" si="16"/>
        <v>0</v>
      </c>
      <c r="Y100" s="29">
        <f t="shared" si="17"/>
        <v>0</v>
      </c>
      <c r="Z100" s="29">
        <f t="shared" si="18"/>
        <v>0</v>
      </c>
      <c r="AA100" s="29">
        <f t="shared" si="19"/>
        <v>0</v>
      </c>
    </row>
    <row r="101" spans="1:27" x14ac:dyDescent="0.3">
      <c r="A101" s="2" t="s">
        <v>185</v>
      </c>
      <c r="B101" s="2" t="s">
        <v>107</v>
      </c>
      <c r="D101" s="3" t="s">
        <v>16</v>
      </c>
      <c r="L101" s="29">
        <f>(SUMIFS(终端客户销售统计表!$K:$K,终端客户销售统计表!$L:$L,$B101,终端客户销售统计表!$H:$H,$D101,终端客户销售统计表!$G:$G,"1月")+SUMIFS(终端客户销售统计表!$K:$K,终端客户销售统计表!$L:$L,$B101,终端客户销售统计表!$H:$H,$D101,终端客户销售统计表!$G:$G,"2月")+SUMIFS(终端客户销售统计表!$K:$K,终端客户销售统计表!$L:$L,$B101,终端客户销售统计表!$H:$H,$D101,终端客户销售统计表!$G:$G,"3月"))/10000</f>
        <v>0</v>
      </c>
      <c r="M101" s="29">
        <f>(SUMIFS(终端客户销售统计表!$K:$K,终端客户销售统计表!$L:$L,$B101,终端客户销售统计表!$H:$H,$D101,终端客户销售统计表!$G:$G,"4月")+SUMIFS(终端客户销售统计表!$K:$K,终端客户销售统计表!$L:$L,$B101,终端客户销售统计表!$H:$H,$D101,终端客户销售统计表!$G:$G,"5月")+SUMIFS(终端客户销售统计表!$K:$K,终端客户销售统计表!$L:$L,$B101,终端客户销售统计表!$H:$H,$D101,终端客户销售统计表!$G:$G,"6月"))/10000</f>
        <v>0</v>
      </c>
      <c r="N101" s="29">
        <f>(SUMIFS(终端客户销售统计表!$K:$K,终端客户销售统计表!$L:$L,$B101,终端客户销售统计表!$H:$H,$D101,终端客户销售统计表!$G:$G,"7月")+SUMIFS(终端客户销售统计表!$K:$K,终端客户销售统计表!$L:$L,$B101,终端客户销售统计表!$H:$H,$D101,终端客户销售统计表!$G:$G,"8月")+SUMIFS(终端客户销售统计表!$K:$K,终端客户销售统计表!$L:$L,$B101,终端客户销售统计表!$H:$H,$D101,终端客户销售统计表!$G:$G,"9月"))/10000</f>
        <v>0</v>
      </c>
      <c r="O101" s="29">
        <f>(SUMIFS(终端客户销售统计表!$K:$K,终端客户销售统计表!$L:$L,$B101,终端客户销售统计表!$H:$H,$D101,终端客户销售统计表!$G:$G,"10月")+SUMIFS(终端客户销售统计表!$K:$K,终端客户销售统计表!$L:$L,$B101,终端客户销售统计表!$H:$H,$D101,终端客户销售统计表!$G:$G,"11月")+SUMIFS(终端客户销售统计表!$K:$K,终端客户销售统计表!$L:$L,$B101,终端客户销售统计表!$H:$H,$D101,终端客户销售统计表!$G:$G,"12月"))/10000</f>
        <v>0</v>
      </c>
      <c r="P101" s="29">
        <f>SUM(L101:O101)</f>
        <v>0</v>
      </c>
      <c r="Q101" s="44" t="str">
        <f t="shared" si="13"/>
        <v/>
      </c>
      <c r="R101" s="29">
        <f>(SUMIFS('代理商-进货明细表'!$I:$I,'代理商-进货明细表'!$B:$B,'代理商-产品进销存'!$B101,'代理商-进货明细表'!$F:$F,'代理商-产品进销存'!$D101,'代理商-进货明细表'!$E:$E,"1月")+SUMIFS('代理商-进货明细表'!$I:$I,'代理商-进货明细表'!$B:$B,'代理商-产品进销存'!$B101,'代理商-进货明细表'!$F:$F,'代理商-产品进销存'!$D101,'代理商-进货明细表'!$E:$E,"2月")+SUMIFS('代理商-进货明细表'!$I:$I,'代理商-进货明细表'!$B:$B,'代理商-产品进销存'!$B101,'代理商-进货明细表'!$F:$F,'代理商-产品进销存'!$D101,'代理商-进货明细表'!$E:$E,"3月"))/10000</f>
        <v>0</v>
      </c>
      <c r="S101" s="29">
        <f>(SUMIFS('代理商-进货明细表'!$I:$I,'代理商-进货明细表'!$B:$B,'代理商-产品进销存'!$B101,'代理商-进货明细表'!$F:$F,'代理商-产品进销存'!$D101,'代理商-进货明细表'!$E:$E,"4月")+SUMIFS('代理商-进货明细表'!$I:$I,'代理商-进货明细表'!$B:$B,'代理商-产品进销存'!$B101,'代理商-进货明细表'!$F:$F,'代理商-产品进销存'!$D101,'代理商-进货明细表'!$E:$E,"5月")+SUMIFS('代理商-进货明细表'!$I:$I,'代理商-进货明细表'!$B:$B,'代理商-产品进销存'!$B101,'代理商-进货明细表'!$F:$F,'代理商-产品进销存'!$D101,'代理商-进货明细表'!$E:$E,"6月"))/10000</f>
        <v>0</v>
      </c>
      <c r="T101" s="29">
        <f>(SUMIFS('代理商-进货明细表'!$I:$I,'代理商-进货明细表'!$B:$B,'代理商-产品进销存'!$B101,'代理商-进货明细表'!$F:$F,'代理商-产品进销存'!$D101,'代理商-进货明细表'!$E:$E,"7月")+SUMIFS('代理商-进货明细表'!$I:$I,'代理商-进货明细表'!$B:$B,'代理商-产品进销存'!$B101,'代理商-进货明细表'!$F:$F,'代理商-产品进销存'!$D101,'代理商-进货明细表'!$E:$E,"8月")+SUMIFS('代理商-进货明细表'!$I:$I,'代理商-进货明细表'!$B:$B,'代理商-产品进销存'!$B101,'代理商-进货明细表'!$F:$F,'代理商-产品进销存'!$D101,'代理商-进货明细表'!$E:$E,"9月"))/10000</f>
        <v>0</v>
      </c>
      <c r="U101" s="29">
        <f>(SUMIFS('代理商-进货明细表'!$I:$I,'代理商-进货明细表'!$B:$B,'代理商-产品进销存'!$B101,'代理商-进货明细表'!$F:$F,'代理商-产品进销存'!$D101,'代理商-进货明细表'!$E:$E,"10月")+SUMIFS('代理商-进货明细表'!$I:$I,'代理商-进货明细表'!$B:$B,'代理商-产品进销存'!$B101,'代理商-进货明细表'!$F:$F,'代理商-产品进销存'!$D101,'代理商-进货明细表'!$E:$E,"11月")+SUMIFS('代理商-进货明细表'!$I:$I,'代理商-进货明细表'!$B:$B,'代理商-产品进销存'!$B101,'代理商-进货明细表'!$F:$F,'代理商-产品进销存'!$D101,'代理商-进货明细表'!$E:$E,"12月"))/10000</f>
        <v>0</v>
      </c>
      <c r="V101" s="29">
        <f t="shared" si="14"/>
        <v>0</v>
      </c>
      <c r="W101" s="29">
        <f t="shared" si="15"/>
        <v>0</v>
      </c>
      <c r="X101" s="29">
        <f t="shared" si="16"/>
        <v>0</v>
      </c>
      <c r="Y101" s="29">
        <f t="shared" si="17"/>
        <v>0</v>
      </c>
      <c r="Z101" s="29">
        <f t="shared" si="18"/>
        <v>0</v>
      </c>
      <c r="AA101" s="29">
        <f t="shared" si="19"/>
        <v>0</v>
      </c>
    </row>
    <row r="102" spans="1:27" x14ac:dyDescent="0.3">
      <c r="A102" s="2" t="s">
        <v>185</v>
      </c>
      <c r="B102" s="2" t="s">
        <v>107</v>
      </c>
      <c r="D102" s="3" t="s">
        <v>17</v>
      </c>
      <c r="L102" s="29">
        <f>(SUMIFS(终端客户销售统计表!$K:$K,终端客户销售统计表!$L:$L,$B102,终端客户销售统计表!$H:$H,$D102,终端客户销售统计表!$G:$G,"1月")+SUMIFS(终端客户销售统计表!$K:$K,终端客户销售统计表!$L:$L,$B102,终端客户销售统计表!$H:$H,$D102,终端客户销售统计表!$G:$G,"2月")+SUMIFS(终端客户销售统计表!$K:$K,终端客户销售统计表!$L:$L,$B102,终端客户销售统计表!$H:$H,$D102,终端客户销售统计表!$G:$G,"3月"))/10000</f>
        <v>0</v>
      </c>
      <c r="M102" s="29">
        <f>(SUMIFS(终端客户销售统计表!$K:$K,终端客户销售统计表!$L:$L,$B102,终端客户销售统计表!$H:$H,$D102,终端客户销售统计表!$G:$G,"4月")+SUMIFS(终端客户销售统计表!$K:$K,终端客户销售统计表!$L:$L,$B102,终端客户销售统计表!$H:$H,$D102,终端客户销售统计表!$G:$G,"5月")+SUMIFS(终端客户销售统计表!$K:$K,终端客户销售统计表!$L:$L,$B102,终端客户销售统计表!$H:$H,$D102,终端客户销售统计表!$G:$G,"6月"))/10000</f>
        <v>0</v>
      </c>
      <c r="N102" s="29">
        <f>(SUMIFS(终端客户销售统计表!$K:$K,终端客户销售统计表!$L:$L,$B102,终端客户销售统计表!$H:$H,$D102,终端客户销售统计表!$G:$G,"7月")+SUMIFS(终端客户销售统计表!$K:$K,终端客户销售统计表!$L:$L,$B102,终端客户销售统计表!$H:$H,$D102,终端客户销售统计表!$G:$G,"8月")+SUMIFS(终端客户销售统计表!$K:$K,终端客户销售统计表!$L:$L,$B102,终端客户销售统计表!$H:$H,$D102,终端客户销售统计表!$G:$G,"9月"))/10000</f>
        <v>0</v>
      </c>
      <c r="O102" s="29">
        <f>(SUMIFS(终端客户销售统计表!$K:$K,终端客户销售统计表!$L:$L,$B102,终端客户销售统计表!$H:$H,$D102,终端客户销售统计表!$G:$G,"10月")+SUMIFS(终端客户销售统计表!$K:$K,终端客户销售统计表!$L:$L,$B102,终端客户销售统计表!$H:$H,$D102,终端客户销售统计表!$G:$G,"11月")+SUMIFS(终端客户销售统计表!$K:$K,终端客户销售统计表!$L:$L,$B102,终端客户销售统计表!$H:$H,$D102,终端客户销售统计表!$G:$G,"12月"))/10000</f>
        <v>0</v>
      </c>
      <c r="P102" s="29">
        <f>SUM(L102:O102)</f>
        <v>0</v>
      </c>
      <c r="Q102" s="44" t="str">
        <f t="shared" si="13"/>
        <v/>
      </c>
      <c r="R102" s="29">
        <f>(SUMIFS('代理商-进货明细表'!$I:$I,'代理商-进货明细表'!$B:$B,'代理商-产品进销存'!$B102,'代理商-进货明细表'!$F:$F,'代理商-产品进销存'!$D102,'代理商-进货明细表'!$E:$E,"1月")+SUMIFS('代理商-进货明细表'!$I:$I,'代理商-进货明细表'!$B:$B,'代理商-产品进销存'!$B102,'代理商-进货明细表'!$F:$F,'代理商-产品进销存'!$D102,'代理商-进货明细表'!$E:$E,"2月")+SUMIFS('代理商-进货明细表'!$I:$I,'代理商-进货明细表'!$B:$B,'代理商-产品进销存'!$B102,'代理商-进货明细表'!$F:$F,'代理商-产品进销存'!$D102,'代理商-进货明细表'!$E:$E,"3月"))/10000</f>
        <v>0</v>
      </c>
      <c r="S102" s="29">
        <f>(SUMIFS('代理商-进货明细表'!$I:$I,'代理商-进货明细表'!$B:$B,'代理商-产品进销存'!$B102,'代理商-进货明细表'!$F:$F,'代理商-产品进销存'!$D102,'代理商-进货明细表'!$E:$E,"4月")+SUMIFS('代理商-进货明细表'!$I:$I,'代理商-进货明细表'!$B:$B,'代理商-产品进销存'!$B102,'代理商-进货明细表'!$F:$F,'代理商-产品进销存'!$D102,'代理商-进货明细表'!$E:$E,"5月")+SUMIFS('代理商-进货明细表'!$I:$I,'代理商-进货明细表'!$B:$B,'代理商-产品进销存'!$B102,'代理商-进货明细表'!$F:$F,'代理商-产品进销存'!$D102,'代理商-进货明细表'!$E:$E,"6月"))/10000</f>
        <v>0</v>
      </c>
      <c r="T102" s="29">
        <f>(SUMIFS('代理商-进货明细表'!$I:$I,'代理商-进货明细表'!$B:$B,'代理商-产品进销存'!$B102,'代理商-进货明细表'!$F:$F,'代理商-产品进销存'!$D102,'代理商-进货明细表'!$E:$E,"7月")+SUMIFS('代理商-进货明细表'!$I:$I,'代理商-进货明细表'!$B:$B,'代理商-产品进销存'!$B102,'代理商-进货明细表'!$F:$F,'代理商-产品进销存'!$D102,'代理商-进货明细表'!$E:$E,"8月")+SUMIFS('代理商-进货明细表'!$I:$I,'代理商-进货明细表'!$B:$B,'代理商-产品进销存'!$B102,'代理商-进货明细表'!$F:$F,'代理商-产品进销存'!$D102,'代理商-进货明细表'!$E:$E,"9月"))/10000</f>
        <v>0</v>
      </c>
      <c r="U102" s="29">
        <f>(SUMIFS('代理商-进货明细表'!$I:$I,'代理商-进货明细表'!$B:$B,'代理商-产品进销存'!$B102,'代理商-进货明细表'!$F:$F,'代理商-产品进销存'!$D102,'代理商-进货明细表'!$E:$E,"10月")+SUMIFS('代理商-进货明细表'!$I:$I,'代理商-进货明细表'!$B:$B,'代理商-产品进销存'!$B102,'代理商-进货明细表'!$F:$F,'代理商-产品进销存'!$D102,'代理商-进货明细表'!$E:$E,"11月")+SUMIFS('代理商-进货明细表'!$I:$I,'代理商-进货明细表'!$B:$B,'代理商-产品进销存'!$B102,'代理商-进货明细表'!$F:$F,'代理商-产品进销存'!$D102,'代理商-进货明细表'!$E:$E,"12月"))/10000</f>
        <v>0</v>
      </c>
      <c r="V102" s="29">
        <f t="shared" si="14"/>
        <v>0</v>
      </c>
      <c r="W102" s="29">
        <f t="shared" si="15"/>
        <v>0</v>
      </c>
      <c r="X102" s="29">
        <f t="shared" si="16"/>
        <v>0</v>
      </c>
      <c r="Y102" s="29">
        <f t="shared" si="17"/>
        <v>0</v>
      </c>
      <c r="Z102" s="29">
        <f t="shared" si="18"/>
        <v>0</v>
      </c>
      <c r="AA102" s="29">
        <f t="shared" si="19"/>
        <v>0</v>
      </c>
    </row>
    <row r="103" spans="1:27" x14ac:dyDescent="0.3">
      <c r="A103" s="2" t="s">
        <v>186</v>
      </c>
      <c r="B103" s="2" t="s">
        <v>108</v>
      </c>
      <c r="D103" s="3" t="s">
        <v>14</v>
      </c>
      <c r="L103" s="29">
        <f>(SUMIFS(终端客户销售统计表!$K:$K,终端客户销售统计表!$L:$L,$B103,终端客户销售统计表!$H:$H,$D103,终端客户销售统计表!$G:$G,"1月")+SUMIFS(终端客户销售统计表!$K:$K,终端客户销售统计表!$L:$L,$B103,终端客户销售统计表!$H:$H,$D103,终端客户销售统计表!$G:$G,"2月")+SUMIFS(终端客户销售统计表!$K:$K,终端客户销售统计表!$L:$L,$B103,终端客户销售统计表!$H:$H,$D103,终端客户销售统计表!$G:$G,"3月"))/10000</f>
        <v>0</v>
      </c>
      <c r="M103" s="29">
        <f>(SUMIFS(终端客户销售统计表!$K:$K,终端客户销售统计表!$L:$L,$B103,终端客户销售统计表!$H:$H,$D103,终端客户销售统计表!$G:$G,"4月")+SUMIFS(终端客户销售统计表!$K:$K,终端客户销售统计表!$L:$L,$B103,终端客户销售统计表!$H:$H,$D103,终端客户销售统计表!$G:$G,"5月")+SUMIFS(终端客户销售统计表!$K:$K,终端客户销售统计表!$L:$L,$B103,终端客户销售统计表!$H:$H,$D103,终端客户销售统计表!$G:$G,"6月"))/10000</f>
        <v>0</v>
      </c>
      <c r="N103" s="29">
        <f>(SUMIFS(终端客户销售统计表!$K:$K,终端客户销售统计表!$L:$L,$B103,终端客户销售统计表!$H:$H,$D103,终端客户销售统计表!$G:$G,"7月")+SUMIFS(终端客户销售统计表!$K:$K,终端客户销售统计表!$L:$L,$B103,终端客户销售统计表!$H:$H,$D103,终端客户销售统计表!$G:$G,"8月")+SUMIFS(终端客户销售统计表!$K:$K,终端客户销售统计表!$L:$L,$B103,终端客户销售统计表!$H:$H,$D103,终端客户销售统计表!$G:$G,"9月"))/10000</f>
        <v>0</v>
      </c>
      <c r="O103" s="29">
        <f>(SUMIFS(终端客户销售统计表!$K:$K,终端客户销售统计表!$L:$L,$B103,终端客户销售统计表!$H:$H,$D103,终端客户销售统计表!$G:$G,"10月")+SUMIFS(终端客户销售统计表!$K:$K,终端客户销售统计表!$L:$L,$B103,终端客户销售统计表!$H:$H,$D103,终端客户销售统计表!$G:$G,"11月")+SUMIFS(终端客户销售统计表!$K:$K,终端客户销售统计表!$L:$L,$B103,终端客户销售统计表!$H:$H,$D103,终端客户销售统计表!$G:$G,"12月"))/10000</f>
        <v>0</v>
      </c>
      <c r="P103" s="29">
        <f>SUM(L103:O103)</f>
        <v>0</v>
      </c>
      <c r="Q103" s="44" t="str">
        <f t="shared" si="13"/>
        <v/>
      </c>
      <c r="R103" s="29">
        <f>(SUMIFS('代理商-进货明细表'!$I:$I,'代理商-进货明细表'!$B:$B,'代理商-产品进销存'!$B103,'代理商-进货明细表'!$F:$F,'代理商-产品进销存'!$D103,'代理商-进货明细表'!$E:$E,"1月")+SUMIFS('代理商-进货明细表'!$I:$I,'代理商-进货明细表'!$B:$B,'代理商-产品进销存'!$B103,'代理商-进货明细表'!$F:$F,'代理商-产品进销存'!$D103,'代理商-进货明细表'!$E:$E,"2月")+SUMIFS('代理商-进货明细表'!$I:$I,'代理商-进货明细表'!$B:$B,'代理商-产品进销存'!$B103,'代理商-进货明细表'!$F:$F,'代理商-产品进销存'!$D103,'代理商-进货明细表'!$E:$E,"3月"))/10000</f>
        <v>0</v>
      </c>
      <c r="S103" s="29">
        <f>(SUMIFS('代理商-进货明细表'!$I:$I,'代理商-进货明细表'!$B:$B,'代理商-产品进销存'!$B103,'代理商-进货明细表'!$F:$F,'代理商-产品进销存'!$D103,'代理商-进货明细表'!$E:$E,"4月")+SUMIFS('代理商-进货明细表'!$I:$I,'代理商-进货明细表'!$B:$B,'代理商-产品进销存'!$B103,'代理商-进货明细表'!$F:$F,'代理商-产品进销存'!$D103,'代理商-进货明细表'!$E:$E,"5月")+SUMIFS('代理商-进货明细表'!$I:$I,'代理商-进货明细表'!$B:$B,'代理商-产品进销存'!$B103,'代理商-进货明细表'!$F:$F,'代理商-产品进销存'!$D103,'代理商-进货明细表'!$E:$E,"6月"))/10000</f>
        <v>0</v>
      </c>
      <c r="T103" s="29">
        <f>(SUMIFS('代理商-进货明细表'!$I:$I,'代理商-进货明细表'!$B:$B,'代理商-产品进销存'!$B103,'代理商-进货明细表'!$F:$F,'代理商-产品进销存'!$D103,'代理商-进货明细表'!$E:$E,"7月")+SUMIFS('代理商-进货明细表'!$I:$I,'代理商-进货明细表'!$B:$B,'代理商-产品进销存'!$B103,'代理商-进货明细表'!$F:$F,'代理商-产品进销存'!$D103,'代理商-进货明细表'!$E:$E,"8月")+SUMIFS('代理商-进货明细表'!$I:$I,'代理商-进货明细表'!$B:$B,'代理商-产品进销存'!$B103,'代理商-进货明细表'!$F:$F,'代理商-产品进销存'!$D103,'代理商-进货明细表'!$E:$E,"9月"))/10000</f>
        <v>0</v>
      </c>
      <c r="U103" s="29">
        <f>(SUMIFS('代理商-进货明细表'!$I:$I,'代理商-进货明细表'!$B:$B,'代理商-产品进销存'!$B103,'代理商-进货明细表'!$F:$F,'代理商-产品进销存'!$D103,'代理商-进货明细表'!$E:$E,"10月")+SUMIFS('代理商-进货明细表'!$I:$I,'代理商-进货明细表'!$B:$B,'代理商-产品进销存'!$B103,'代理商-进货明细表'!$F:$F,'代理商-产品进销存'!$D103,'代理商-进货明细表'!$E:$E,"11月")+SUMIFS('代理商-进货明细表'!$I:$I,'代理商-进货明细表'!$B:$B,'代理商-产品进销存'!$B103,'代理商-进货明细表'!$F:$F,'代理商-产品进销存'!$D103,'代理商-进货明细表'!$E:$E,"12月"))/10000</f>
        <v>0</v>
      </c>
      <c r="V103" s="29">
        <f t="shared" si="14"/>
        <v>0</v>
      </c>
      <c r="W103" s="29">
        <f t="shared" si="15"/>
        <v>0</v>
      </c>
      <c r="X103" s="29">
        <f t="shared" si="16"/>
        <v>0</v>
      </c>
      <c r="Y103" s="29">
        <f t="shared" si="17"/>
        <v>0</v>
      </c>
      <c r="Z103" s="29">
        <f t="shared" si="18"/>
        <v>0</v>
      </c>
      <c r="AA103" s="29">
        <f t="shared" si="19"/>
        <v>0</v>
      </c>
    </row>
    <row r="104" spans="1:27" x14ac:dyDescent="0.3">
      <c r="A104" s="2" t="s">
        <v>186</v>
      </c>
      <c r="B104" s="2" t="s">
        <v>108</v>
      </c>
      <c r="D104" s="3" t="s">
        <v>15</v>
      </c>
      <c r="L104" s="29">
        <f>(SUMIFS(终端客户销售统计表!$K:$K,终端客户销售统计表!$L:$L,$B104,终端客户销售统计表!$H:$H,$D104,终端客户销售统计表!$G:$G,"1月")+SUMIFS(终端客户销售统计表!$K:$K,终端客户销售统计表!$L:$L,$B104,终端客户销售统计表!$H:$H,$D104,终端客户销售统计表!$G:$G,"2月")+SUMIFS(终端客户销售统计表!$K:$K,终端客户销售统计表!$L:$L,$B104,终端客户销售统计表!$H:$H,$D104,终端客户销售统计表!$G:$G,"3月"))/10000</f>
        <v>0</v>
      </c>
      <c r="M104" s="29">
        <f>(SUMIFS(终端客户销售统计表!$K:$K,终端客户销售统计表!$L:$L,$B104,终端客户销售统计表!$H:$H,$D104,终端客户销售统计表!$G:$G,"4月")+SUMIFS(终端客户销售统计表!$K:$K,终端客户销售统计表!$L:$L,$B104,终端客户销售统计表!$H:$H,$D104,终端客户销售统计表!$G:$G,"5月")+SUMIFS(终端客户销售统计表!$K:$K,终端客户销售统计表!$L:$L,$B104,终端客户销售统计表!$H:$H,$D104,终端客户销售统计表!$G:$G,"6月"))/10000</f>
        <v>0</v>
      </c>
      <c r="N104" s="29">
        <f>(SUMIFS(终端客户销售统计表!$K:$K,终端客户销售统计表!$L:$L,$B104,终端客户销售统计表!$H:$H,$D104,终端客户销售统计表!$G:$G,"7月")+SUMIFS(终端客户销售统计表!$K:$K,终端客户销售统计表!$L:$L,$B104,终端客户销售统计表!$H:$H,$D104,终端客户销售统计表!$G:$G,"8月")+SUMIFS(终端客户销售统计表!$K:$K,终端客户销售统计表!$L:$L,$B104,终端客户销售统计表!$H:$H,$D104,终端客户销售统计表!$G:$G,"9月"))/10000</f>
        <v>0</v>
      </c>
      <c r="O104" s="29">
        <f>(SUMIFS(终端客户销售统计表!$K:$K,终端客户销售统计表!$L:$L,$B104,终端客户销售统计表!$H:$H,$D104,终端客户销售统计表!$G:$G,"10月")+SUMIFS(终端客户销售统计表!$K:$K,终端客户销售统计表!$L:$L,$B104,终端客户销售统计表!$H:$H,$D104,终端客户销售统计表!$G:$G,"11月")+SUMIFS(终端客户销售统计表!$K:$K,终端客户销售统计表!$L:$L,$B104,终端客户销售统计表!$H:$H,$D104,终端客户销售统计表!$G:$G,"12月"))/10000</f>
        <v>0</v>
      </c>
      <c r="P104" s="29">
        <f>SUM(L104:O104)</f>
        <v>0</v>
      </c>
      <c r="Q104" s="44" t="str">
        <f t="shared" si="13"/>
        <v/>
      </c>
      <c r="R104" s="29">
        <f>(SUMIFS('代理商-进货明细表'!$I:$I,'代理商-进货明细表'!$B:$B,'代理商-产品进销存'!$B104,'代理商-进货明细表'!$F:$F,'代理商-产品进销存'!$D104,'代理商-进货明细表'!$E:$E,"1月")+SUMIFS('代理商-进货明细表'!$I:$I,'代理商-进货明细表'!$B:$B,'代理商-产品进销存'!$B104,'代理商-进货明细表'!$F:$F,'代理商-产品进销存'!$D104,'代理商-进货明细表'!$E:$E,"2月")+SUMIFS('代理商-进货明细表'!$I:$I,'代理商-进货明细表'!$B:$B,'代理商-产品进销存'!$B104,'代理商-进货明细表'!$F:$F,'代理商-产品进销存'!$D104,'代理商-进货明细表'!$E:$E,"3月"))/10000</f>
        <v>0</v>
      </c>
      <c r="S104" s="29">
        <f>(SUMIFS('代理商-进货明细表'!$I:$I,'代理商-进货明细表'!$B:$B,'代理商-产品进销存'!$B104,'代理商-进货明细表'!$F:$F,'代理商-产品进销存'!$D104,'代理商-进货明细表'!$E:$E,"4月")+SUMIFS('代理商-进货明细表'!$I:$I,'代理商-进货明细表'!$B:$B,'代理商-产品进销存'!$B104,'代理商-进货明细表'!$F:$F,'代理商-产品进销存'!$D104,'代理商-进货明细表'!$E:$E,"5月")+SUMIFS('代理商-进货明细表'!$I:$I,'代理商-进货明细表'!$B:$B,'代理商-产品进销存'!$B104,'代理商-进货明细表'!$F:$F,'代理商-产品进销存'!$D104,'代理商-进货明细表'!$E:$E,"6月"))/10000</f>
        <v>0</v>
      </c>
      <c r="T104" s="29">
        <f>(SUMIFS('代理商-进货明细表'!$I:$I,'代理商-进货明细表'!$B:$B,'代理商-产品进销存'!$B104,'代理商-进货明细表'!$F:$F,'代理商-产品进销存'!$D104,'代理商-进货明细表'!$E:$E,"7月")+SUMIFS('代理商-进货明细表'!$I:$I,'代理商-进货明细表'!$B:$B,'代理商-产品进销存'!$B104,'代理商-进货明细表'!$F:$F,'代理商-产品进销存'!$D104,'代理商-进货明细表'!$E:$E,"8月")+SUMIFS('代理商-进货明细表'!$I:$I,'代理商-进货明细表'!$B:$B,'代理商-产品进销存'!$B104,'代理商-进货明细表'!$F:$F,'代理商-产品进销存'!$D104,'代理商-进货明细表'!$E:$E,"9月"))/10000</f>
        <v>0</v>
      </c>
      <c r="U104" s="29">
        <f>(SUMIFS('代理商-进货明细表'!$I:$I,'代理商-进货明细表'!$B:$B,'代理商-产品进销存'!$B104,'代理商-进货明细表'!$F:$F,'代理商-产品进销存'!$D104,'代理商-进货明细表'!$E:$E,"10月")+SUMIFS('代理商-进货明细表'!$I:$I,'代理商-进货明细表'!$B:$B,'代理商-产品进销存'!$B104,'代理商-进货明细表'!$F:$F,'代理商-产品进销存'!$D104,'代理商-进货明细表'!$E:$E,"11月")+SUMIFS('代理商-进货明细表'!$I:$I,'代理商-进货明细表'!$B:$B,'代理商-产品进销存'!$B104,'代理商-进货明细表'!$F:$F,'代理商-产品进销存'!$D104,'代理商-进货明细表'!$E:$E,"12月"))/10000</f>
        <v>0</v>
      </c>
      <c r="V104" s="29">
        <f t="shared" si="14"/>
        <v>0</v>
      </c>
      <c r="W104" s="29">
        <f t="shared" si="15"/>
        <v>0</v>
      </c>
      <c r="X104" s="29">
        <f t="shared" si="16"/>
        <v>0</v>
      </c>
      <c r="Y104" s="29">
        <f t="shared" si="17"/>
        <v>0</v>
      </c>
      <c r="Z104" s="29">
        <f t="shared" si="18"/>
        <v>0</v>
      </c>
      <c r="AA104" s="29">
        <f t="shared" si="19"/>
        <v>0</v>
      </c>
    </row>
    <row r="105" spans="1:27" x14ac:dyDescent="0.3">
      <c r="A105" s="2" t="s">
        <v>186</v>
      </c>
      <c r="B105" s="2" t="s">
        <v>108</v>
      </c>
      <c r="D105" s="3" t="s">
        <v>16</v>
      </c>
      <c r="L105" s="29">
        <f>(SUMIFS(终端客户销售统计表!$K:$K,终端客户销售统计表!$L:$L,$B105,终端客户销售统计表!$H:$H,$D105,终端客户销售统计表!$G:$G,"1月")+SUMIFS(终端客户销售统计表!$K:$K,终端客户销售统计表!$L:$L,$B105,终端客户销售统计表!$H:$H,$D105,终端客户销售统计表!$G:$G,"2月")+SUMIFS(终端客户销售统计表!$K:$K,终端客户销售统计表!$L:$L,$B105,终端客户销售统计表!$H:$H,$D105,终端客户销售统计表!$G:$G,"3月"))/10000</f>
        <v>0</v>
      </c>
      <c r="M105" s="29">
        <f>(SUMIFS(终端客户销售统计表!$K:$K,终端客户销售统计表!$L:$L,$B105,终端客户销售统计表!$H:$H,$D105,终端客户销售统计表!$G:$G,"4月")+SUMIFS(终端客户销售统计表!$K:$K,终端客户销售统计表!$L:$L,$B105,终端客户销售统计表!$H:$H,$D105,终端客户销售统计表!$G:$G,"5月")+SUMIFS(终端客户销售统计表!$K:$K,终端客户销售统计表!$L:$L,$B105,终端客户销售统计表!$H:$H,$D105,终端客户销售统计表!$G:$G,"6月"))/10000</f>
        <v>0</v>
      </c>
      <c r="N105" s="29">
        <f>(SUMIFS(终端客户销售统计表!$K:$K,终端客户销售统计表!$L:$L,$B105,终端客户销售统计表!$H:$H,$D105,终端客户销售统计表!$G:$G,"7月")+SUMIFS(终端客户销售统计表!$K:$K,终端客户销售统计表!$L:$L,$B105,终端客户销售统计表!$H:$H,$D105,终端客户销售统计表!$G:$G,"8月")+SUMIFS(终端客户销售统计表!$K:$K,终端客户销售统计表!$L:$L,$B105,终端客户销售统计表!$H:$H,$D105,终端客户销售统计表!$G:$G,"9月"))/10000</f>
        <v>0</v>
      </c>
      <c r="O105" s="29">
        <f>(SUMIFS(终端客户销售统计表!$K:$K,终端客户销售统计表!$L:$L,$B105,终端客户销售统计表!$H:$H,$D105,终端客户销售统计表!$G:$G,"10月")+SUMIFS(终端客户销售统计表!$K:$K,终端客户销售统计表!$L:$L,$B105,终端客户销售统计表!$H:$H,$D105,终端客户销售统计表!$G:$G,"11月")+SUMIFS(终端客户销售统计表!$K:$K,终端客户销售统计表!$L:$L,$B105,终端客户销售统计表!$H:$H,$D105,终端客户销售统计表!$G:$G,"12月"))/10000</f>
        <v>0</v>
      </c>
      <c r="P105" s="29">
        <f>SUM(L105:O105)</f>
        <v>0</v>
      </c>
      <c r="Q105" s="44" t="str">
        <f t="shared" si="13"/>
        <v/>
      </c>
      <c r="R105" s="29">
        <f>(SUMIFS('代理商-进货明细表'!$I:$I,'代理商-进货明细表'!$B:$B,'代理商-产品进销存'!$B105,'代理商-进货明细表'!$F:$F,'代理商-产品进销存'!$D105,'代理商-进货明细表'!$E:$E,"1月")+SUMIFS('代理商-进货明细表'!$I:$I,'代理商-进货明细表'!$B:$B,'代理商-产品进销存'!$B105,'代理商-进货明细表'!$F:$F,'代理商-产品进销存'!$D105,'代理商-进货明细表'!$E:$E,"2月")+SUMIFS('代理商-进货明细表'!$I:$I,'代理商-进货明细表'!$B:$B,'代理商-产品进销存'!$B105,'代理商-进货明细表'!$F:$F,'代理商-产品进销存'!$D105,'代理商-进货明细表'!$E:$E,"3月"))/10000</f>
        <v>0</v>
      </c>
      <c r="S105" s="29">
        <f>(SUMIFS('代理商-进货明细表'!$I:$I,'代理商-进货明细表'!$B:$B,'代理商-产品进销存'!$B105,'代理商-进货明细表'!$F:$F,'代理商-产品进销存'!$D105,'代理商-进货明细表'!$E:$E,"4月")+SUMIFS('代理商-进货明细表'!$I:$I,'代理商-进货明细表'!$B:$B,'代理商-产品进销存'!$B105,'代理商-进货明细表'!$F:$F,'代理商-产品进销存'!$D105,'代理商-进货明细表'!$E:$E,"5月")+SUMIFS('代理商-进货明细表'!$I:$I,'代理商-进货明细表'!$B:$B,'代理商-产品进销存'!$B105,'代理商-进货明细表'!$F:$F,'代理商-产品进销存'!$D105,'代理商-进货明细表'!$E:$E,"6月"))/10000</f>
        <v>0</v>
      </c>
      <c r="T105" s="29">
        <f>(SUMIFS('代理商-进货明细表'!$I:$I,'代理商-进货明细表'!$B:$B,'代理商-产品进销存'!$B105,'代理商-进货明细表'!$F:$F,'代理商-产品进销存'!$D105,'代理商-进货明细表'!$E:$E,"7月")+SUMIFS('代理商-进货明细表'!$I:$I,'代理商-进货明细表'!$B:$B,'代理商-产品进销存'!$B105,'代理商-进货明细表'!$F:$F,'代理商-产品进销存'!$D105,'代理商-进货明细表'!$E:$E,"8月")+SUMIFS('代理商-进货明细表'!$I:$I,'代理商-进货明细表'!$B:$B,'代理商-产品进销存'!$B105,'代理商-进货明细表'!$F:$F,'代理商-产品进销存'!$D105,'代理商-进货明细表'!$E:$E,"9月"))/10000</f>
        <v>0</v>
      </c>
      <c r="U105" s="29">
        <f>(SUMIFS('代理商-进货明细表'!$I:$I,'代理商-进货明细表'!$B:$B,'代理商-产品进销存'!$B105,'代理商-进货明细表'!$F:$F,'代理商-产品进销存'!$D105,'代理商-进货明细表'!$E:$E,"10月")+SUMIFS('代理商-进货明细表'!$I:$I,'代理商-进货明细表'!$B:$B,'代理商-产品进销存'!$B105,'代理商-进货明细表'!$F:$F,'代理商-产品进销存'!$D105,'代理商-进货明细表'!$E:$E,"11月")+SUMIFS('代理商-进货明细表'!$I:$I,'代理商-进货明细表'!$B:$B,'代理商-产品进销存'!$B105,'代理商-进货明细表'!$F:$F,'代理商-产品进销存'!$D105,'代理商-进货明细表'!$E:$E,"12月"))/10000</f>
        <v>0</v>
      </c>
      <c r="V105" s="29">
        <f t="shared" si="14"/>
        <v>0</v>
      </c>
      <c r="W105" s="29">
        <f t="shared" si="15"/>
        <v>0</v>
      </c>
      <c r="X105" s="29">
        <f t="shared" si="16"/>
        <v>0</v>
      </c>
      <c r="Y105" s="29">
        <f t="shared" si="17"/>
        <v>0</v>
      </c>
      <c r="Z105" s="29">
        <f t="shared" si="18"/>
        <v>0</v>
      </c>
      <c r="AA105" s="29">
        <f t="shared" si="19"/>
        <v>0</v>
      </c>
    </row>
    <row r="106" spans="1:27" x14ac:dyDescent="0.3">
      <c r="A106" s="2" t="s">
        <v>186</v>
      </c>
      <c r="B106" s="2" t="s">
        <v>108</v>
      </c>
      <c r="D106" s="3" t="s">
        <v>17</v>
      </c>
      <c r="L106" s="29">
        <f>(SUMIFS(终端客户销售统计表!$K:$K,终端客户销售统计表!$L:$L,$B106,终端客户销售统计表!$H:$H,$D106,终端客户销售统计表!$G:$G,"1月")+SUMIFS(终端客户销售统计表!$K:$K,终端客户销售统计表!$L:$L,$B106,终端客户销售统计表!$H:$H,$D106,终端客户销售统计表!$G:$G,"2月")+SUMIFS(终端客户销售统计表!$K:$K,终端客户销售统计表!$L:$L,$B106,终端客户销售统计表!$H:$H,$D106,终端客户销售统计表!$G:$G,"3月"))/10000</f>
        <v>0</v>
      </c>
      <c r="M106" s="29">
        <f>(SUMIFS(终端客户销售统计表!$K:$K,终端客户销售统计表!$L:$L,$B106,终端客户销售统计表!$H:$H,$D106,终端客户销售统计表!$G:$G,"4月")+SUMIFS(终端客户销售统计表!$K:$K,终端客户销售统计表!$L:$L,$B106,终端客户销售统计表!$H:$H,$D106,终端客户销售统计表!$G:$G,"5月")+SUMIFS(终端客户销售统计表!$K:$K,终端客户销售统计表!$L:$L,$B106,终端客户销售统计表!$H:$H,$D106,终端客户销售统计表!$G:$G,"6月"))/10000</f>
        <v>0</v>
      </c>
      <c r="N106" s="29">
        <f>(SUMIFS(终端客户销售统计表!$K:$K,终端客户销售统计表!$L:$L,$B106,终端客户销售统计表!$H:$H,$D106,终端客户销售统计表!$G:$G,"7月")+SUMIFS(终端客户销售统计表!$K:$K,终端客户销售统计表!$L:$L,$B106,终端客户销售统计表!$H:$H,$D106,终端客户销售统计表!$G:$G,"8月")+SUMIFS(终端客户销售统计表!$K:$K,终端客户销售统计表!$L:$L,$B106,终端客户销售统计表!$H:$H,$D106,终端客户销售统计表!$G:$G,"9月"))/10000</f>
        <v>0</v>
      </c>
      <c r="O106" s="29">
        <f>(SUMIFS(终端客户销售统计表!$K:$K,终端客户销售统计表!$L:$L,$B106,终端客户销售统计表!$H:$H,$D106,终端客户销售统计表!$G:$G,"10月")+SUMIFS(终端客户销售统计表!$K:$K,终端客户销售统计表!$L:$L,$B106,终端客户销售统计表!$H:$H,$D106,终端客户销售统计表!$G:$G,"11月")+SUMIFS(终端客户销售统计表!$K:$K,终端客户销售统计表!$L:$L,$B106,终端客户销售统计表!$H:$H,$D106,终端客户销售统计表!$G:$G,"12月"))/10000</f>
        <v>0</v>
      </c>
      <c r="P106" s="29">
        <f>SUM(L106:O106)</f>
        <v>0</v>
      </c>
      <c r="Q106" s="44" t="str">
        <f t="shared" si="13"/>
        <v/>
      </c>
      <c r="R106" s="29">
        <f>(SUMIFS('代理商-进货明细表'!$I:$I,'代理商-进货明细表'!$B:$B,'代理商-产品进销存'!$B106,'代理商-进货明细表'!$F:$F,'代理商-产品进销存'!$D106,'代理商-进货明细表'!$E:$E,"1月")+SUMIFS('代理商-进货明细表'!$I:$I,'代理商-进货明细表'!$B:$B,'代理商-产品进销存'!$B106,'代理商-进货明细表'!$F:$F,'代理商-产品进销存'!$D106,'代理商-进货明细表'!$E:$E,"2月")+SUMIFS('代理商-进货明细表'!$I:$I,'代理商-进货明细表'!$B:$B,'代理商-产品进销存'!$B106,'代理商-进货明细表'!$F:$F,'代理商-产品进销存'!$D106,'代理商-进货明细表'!$E:$E,"3月"))/10000</f>
        <v>0</v>
      </c>
      <c r="S106" s="29">
        <f>(SUMIFS('代理商-进货明细表'!$I:$I,'代理商-进货明细表'!$B:$B,'代理商-产品进销存'!$B106,'代理商-进货明细表'!$F:$F,'代理商-产品进销存'!$D106,'代理商-进货明细表'!$E:$E,"4月")+SUMIFS('代理商-进货明细表'!$I:$I,'代理商-进货明细表'!$B:$B,'代理商-产品进销存'!$B106,'代理商-进货明细表'!$F:$F,'代理商-产品进销存'!$D106,'代理商-进货明细表'!$E:$E,"5月")+SUMIFS('代理商-进货明细表'!$I:$I,'代理商-进货明细表'!$B:$B,'代理商-产品进销存'!$B106,'代理商-进货明细表'!$F:$F,'代理商-产品进销存'!$D106,'代理商-进货明细表'!$E:$E,"6月"))/10000</f>
        <v>0</v>
      </c>
      <c r="T106" s="29">
        <f>(SUMIFS('代理商-进货明细表'!$I:$I,'代理商-进货明细表'!$B:$B,'代理商-产品进销存'!$B106,'代理商-进货明细表'!$F:$F,'代理商-产品进销存'!$D106,'代理商-进货明细表'!$E:$E,"7月")+SUMIFS('代理商-进货明细表'!$I:$I,'代理商-进货明细表'!$B:$B,'代理商-产品进销存'!$B106,'代理商-进货明细表'!$F:$F,'代理商-产品进销存'!$D106,'代理商-进货明细表'!$E:$E,"8月")+SUMIFS('代理商-进货明细表'!$I:$I,'代理商-进货明细表'!$B:$B,'代理商-产品进销存'!$B106,'代理商-进货明细表'!$F:$F,'代理商-产品进销存'!$D106,'代理商-进货明细表'!$E:$E,"9月"))/10000</f>
        <v>0</v>
      </c>
      <c r="U106" s="29">
        <f>(SUMIFS('代理商-进货明细表'!$I:$I,'代理商-进货明细表'!$B:$B,'代理商-产品进销存'!$B106,'代理商-进货明细表'!$F:$F,'代理商-产品进销存'!$D106,'代理商-进货明细表'!$E:$E,"10月")+SUMIFS('代理商-进货明细表'!$I:$I,'代理商-进货明细表'!$B:$B,'代理商-产品进销存'!$B106,'代理商-进货明细表'!$F:$F,'代理商-产品进销存'!$D106,'代理商-进货明细表'!$E:$E,"11月")+SUMIFS('代理商-进货明细表'!$I:$I,'代理商-进货明细表'!$B:$B,'代理商-产品进销存'!$B106,'代理商-进货明细表'!$F:$F,'代理商-产品进销存'!$D106,'代理商-进货明细表'!$E:$E,"12月"))/10000</f>
        <v>0</v>
      </c>
      <c r="V106" s="29">
        <f t="shared" si="14"/>
        <v>0</v>
      </c>
      <c r="W106" s="29">
        <f t="shared" si="15"/>
        <v>0</v>
      </c>
      <c r="X106" s="29">
        <f t="shared" si="16"/>
        <v>0</v>
      </c>
      <c r="Y106" s="29">
        <f t="shared" si="17"/>
        <v>0</v>
      </c>
      <c r="Z106" s="29">
        <f t="shared" si="18"/>
        <v>0</v>
      </c>
      <c r="AA106" s="29">
        <f t="shared" si="19"/>
        <v>0</v>
      </c>
    </row>
    <row r="107" spans="1:27" x14ac:dyDescent="0.3">
      <c r="A107" s="2" t="s">
        <v>187</v>
      </c>
      <c r="B107" s="2" t="s">
        <v>109</v>
      </c>
      <c r="D107" s="3" t="s">
        <v>14</v>
      </c>
      <c r="L107" s="29">
        <f>(SUMIFS(终端客户销售统计表!$K:$K,终端客户销售统计表!$L:$L,$B107,终端客户销售统计表!$H:$H,$D107,终端客户销售统计表!$G:$G,"1月")+SUMIFS(终端客户销售统计表!$K:$K,终端客户销售统计表!$L:$L,$B107,终端客户销售统计表!$H:$H,$D107,终端客户销售统计表!$G:$G,"2月")+SUMIFS(终端客户销售统计表!$K:$K,终端客户销售统计表!$L:$L,$B107,终端客户销售统计表!$H:$H,$D107,终端客户销售统计表!$G:$G,"3月"))/10000</f>
        <v>0</v>
      </c>
      <c r="M107" s="29">
        <f>(SUMIFS(终端客户销售统计表!$K:$K,终端客户销售统计表!$L:$L,$B107,终端客户销售统计表!$H:$H,$D107,终端客户销售统计表!$G:$G,"4月")+SUMIFS(终端客户销售统计表!$K:$K,终端客户销售统计表!$L:$L,$B107,终端客户销售统计表!$H:$H,$D107,终端客户销售统计表!$G:$G,"5月")+SUMIFS(终端客户销售统计表!$K:$K,终端客户销售统计表!$L:$L,$B107,终端客户销售统计表!$H:$H,$D107,终端客户销售统计表!$G:$G,"6月"))/10000</f>
        <v>0</v>
      </c>
      <c r="N107" s="29">
        <f>(SUMIFS(终端客户销售统计表!$K:$K,终端客户销售统计表!$L:$L,$B107,终端客户销售统计表!$H:$H,$D107,终端客户销售统计表!$G:$G,"7月")+SUMIFS(终端客户销售统计表!$K:$K,终端客户销售统计表!$L:$L,$B107,终端客户销售统计表!$H:$H,$D107,终端客户销售统计表!$G:$G,"8月")+SUMIFS(终端客户销售统计表!$K:$K,终端客户销售统计表!$L:$L,$B107,终端客户销售统计表!$H:$H,$D107,终端客户销售统计表!$G:$G,"9月"))/10000</f>
        <v>0</v>
      </c>
      <c r="O107" s="29">
        <f>(SUMIFS(终端客户销售统计表!$K:$K,终端客户销售统计表!$L:$L,$B107,终端客户销售统计表!$H:$H,$D107,终端客户销售统计表!$G:$G,"10月")+SUMIFS(终端客户销售统计表!$K:$K,终端客户销售统计表!$L:$L,$B107,终端客户销售统计表!$H:$H,$D107,终端客户销售统计表!$G:$G,"11月")+SUMIFS(终端客户销售统计表!$K:$K,终端客户销售统计表!$L:$L,$B107,终端客户销售统计表!$H:$H,$D107,终端客户销售统计表!$G:$G,"12月"))/10000</f>
        <v>0</v>
      </c>
      <c r="P107" s="29">
        <f>SUM(L107:O107)</f>
        <v>0</v>
      </c>
      <c r="Q107" s="44" t="str">
        <f t="shared" si="13"/>
        <v/>
      </c>
      <c r="R107" s="29">
        <f>(SUMIFS('代理商-进货明细表'!$I:$I,'代理商-进货明细表'!$B:$B,'代理商-产品进销存'!$B107,'代理商-进货明细表'!$F:$F,'代理商-产品进销存'!$D107,'代理商-进货明细表'!$E:$E,"1月")+SUMIFS('代理商-进货明细表'!$I:$I,'代理商-进货明细表'!$B:$B,'代理商-产品进销存'!$B107,'代理商-进货明细表'!$F:$F,'代理商-产品进销存'!$D107,'代理商-进货明细表'!$E:$E,"2月")+SUMIFS('代理商-进货明细表'!$I:$I,'代理商-进货明细表'!$B:$B,'代理商-产品进销存'!$B107,'代理商-进货明细表'!$F:$F,'代理商-产品进销存'!$D107,'代理商-进货明细表'!$E:$E,"3月"))/10000</f>
        <v>0</v>
      </c>
      <c r="S107" s="29">
        <f>(SUMIFS('代理商-进货明细表'!$I:$I,'代理商-进货明细表'!$B:$B,'代理商-产品进销存'!$B107,'代理商-进货明细表'!$F:$F,'代理商-产品进销存'!$D107,'代理商-进货明细表'!$E:$E,"4月")+SUMIFS('代理商-进货明细表'!$I:$I,'代理商-进货明细表'!$B:$B,'代理商-产品进销存'!$B107,'代理商-进货明细表'!$F:$F,'代理商-产品进销存'!$D107,'代理商-进货明细表'!$E:$E,"5月")+SUMIFS('代理商-进货明细表'!$I:$I,'代理商-进货明细表'!$B:$B,'代理商-产品进销存'!$B107,'代理商-进货明细表'!$F:$F,'代理商-产品进销存'!$D107,'代理商-进货明细表'!$E:$E,"6月"))/10000</f>
        <v>0</v>
      </c>
      <c r="T107" s="29">
        <f>(SUMIFS('代理商-进货明细表'!$I:$I,'代理商-进货明细表'!$B:$B,'代理商-产品进销存'!$B107,'代理商-进货明细表'!$F:$F,'代理商-产品进销存'!$D107,'代理商-进货明细表'!$E:$E,"7月")+SUMIFS('代理商-进货明细表'!$I:$I,'代理商-进货明细表'!$B:$B,'代理商-产品进销存'!$B107,'代理商-进货明细表'!$F:$F,'代理商-产品进销存'!$D107,'代理商-进货明细表'!$E:$E,"8月")+SUMIFS('代理商-进货明细表'!$I:$I,'代理商-进货明细表'!$B:$B,'代理商-产品进销存'!$B107,'代理商-进货明细表'!$F:$F,'代理商-产品进销存'!$D107,'代理商-进货明细表'!$E:$E,"9月"))/10000</f>
        <v>0</v>
      </c>
      <c r="U107" s="29">
        <f>(SUMIFS('代理商-进货明细表'!$I:$I,'代理商-进货明细表'!$B:$B,'代理商-产品进销存'!$B107,'代理商-进货明细表'!$F:$F,'代理商-产品进销存'!$D107,'代理商-进货明细表'!$E:$E,"10月")+SUMIFS('代理商-进货明细表'!$I:$I,'代理商-进货明细表'!$B:$B,'代理商-产品进销存'!$B107,'代理商-进货明细表'!$F:$F,'代理商-产品进销存'!$D107,'代理商-进货明细表'!$E:$E,"11月")+SUMIFS('代理商-进货明细表'!$I:$I,'代理商-进货明细表'!$B:$B,'代理商-产品进销存'!$B107,'代理商-进货明细表'!$F:$F,'代理商-产品进销存'!$D107,'代理商-进货明细表'!$E:$E,"12月"))/10000</f>
        <v>0</v>
      </c>
      <c r="V107" s="29">
        <f t="shared" si="14"/>
        <v>0</v>
      </c>
      <c r="W107" s="29">
        <f t="shared" si="15"/>
        <v>0</v>
      </c>
      <c r="X107" s="29">
        <f t="shared" si="16"/>
        <v>0</v>
      </c>
      <c r="Y107" s="29">
        <f t="shared" si="17"/>
        <v>0</v>
      </c>
      <c r="Z107" s="29">
        <f t="shared" si="18"/>
        <v>0</v>
      </c>
      <c r="AA107" s="29">
        <f t="shared" si="19"/>
        <v>0</v>
      </c>
    </row>
    <row r="108" spans="1:27" x14ac:dyDescent="0.3">
      <c r="A108" s="2" t="s">
        <v>187</v>
      </c>
      <c r="B108" s="2" t="s">
        <v>109</v>
      </c>
      <c r="D108" s="3" t="s">
        <v>15</v>
      </c>
      <c r="L108" s="29">
        <f>(SUMIFS(终端客户销售统计表!$K:$K,终端客户销售统计表!$L:$L,$B108,终端客户销售统计表!$H:$H,$D108,终端客户销售统计表!$G:$G,"1月")+SUMIFS(终端客户销售统计表!$K:$K,终端客户销售统计表!$L:$L,$B108,终端客户销售统计表!$H:$H,$D108,终端客户销售统计表!$G:$G,"2月")+SUMIFS(终端客户销售统计表!$K:$K,终端客户销售统计表!$L:$L,$B108,终端客户销售统计表!$H:$H,$D108,终端客户销售统计表!$G:$G,"3月"))/10000</f>
        <v>0</v>
      </c>
      <c r="M108" s="29">
        <f>(SUMIFS(终端客户销售统计表!$K:$K,终端客户销售统计表!$L:$L,$B108,终端客户销售统计表!$H:$H,$D108,终端客户销售统计表!$G:$G,"4月")+SUMIFS(终端客户销售统计表!$K:$K,终端客户销售统计表!$L:$L,$B108,终端客户销售统计表!$H:$H,$D108,终端客户销售统计表!$G:$G,"5月")+SUMIFS(终端客户销售统计表!$K:$K,终端客户销售统计表!$L:$L,$B108,终端客户销售统计表!$H:$H,$D108,终端客户销售统计表!$G:$G,"6月"))/10000</f>
        <v>0</v>
      </c>
      <c r="N108" s="29">
        <f>(SUMIFS(终端客户销售统计表!$K:$K,终端客户销售统计表!$L:$L,$B108,终端客户销售统计表!$H:$H,$D108,终端客户销售统计表!$G:$G,"7月")+SUMIFS(终端客户销售统计表!$K:$K,终端客户销售统计表!$L:$L,$B108,终端客户销售统计表!$H:$H,$D108,终端客户销售统计表!$G:$G,"8月")+SUMIFS(终端客户销售统计表!$K:$K,终端客户销售统计表!$L:$L,$B108,终端客户销售统计表!$H:$H,$D108,终端客户销售统计表!$G:$G,"9月"))/10000</f>
        <v>0</v>
      </c>
      <c r="O108" s="29">
        <f>(SUMIFS(终端客户销售统计表!$K:$K,终端客户销售统计表!$L:$L,$B108,终端客户销售统计表!$H:$H,$D108,终端客户销售统计表!$G:$G,"10月")+SUMIFS(终端客户销售统计表!$K:$K,终端客户销售统计表!$L:$L,$B108,终端客户销售统计表!$H:$H,$D108,终端客户销售统计表!$G:$G,"11月")+SUMIFS(终端客户销售统计表!$K:$K,终端客户销售统计表!$L:$L,$B108,终端客户销售统计表!$H:$H,$D108,终端客户销售统计表!$G:$G,"12月"))/10000</f>
        <v>0</v>
      </c>
      <c r="P108" s="29">
        <f>SUM(L108:O108)</f>
        <v>0</v>
      </c>
      <c r="Q108" s="44" t="str">
        <f t="shared" si="13"/>
        <v/>
      </c>
      <c r="R108" s="29">
        <f>(SUMIFS('代理商-进货明细表'!$I:$I,'代理商-进货明细表'!$B:$B,'代理商-产品进销存'!$B108,'代理商-进货明细表'!$F:$F,'代理商-产品进销存'!$D108,'代理商-进货明细表'!$E:$E,"1月")+SUMIFS('代理商-进货明细表'!$I:$I,'代理商-进货明细表'!$B:$B,'代理商-产品进销存'!$B108,'代理商-进货明细表'!$F:$F,'代理商-产品进销存'!$D108,'代理商-进货明细表'!$E:$E,"2月")+SUMIFS('代理商-进货明细表'!$I:$I,'代理商-进货明细表'!$B:$B,'代理商-产品进销存'!$B108,'代理商-进货明细表'!$F:$F,'代理商-产品进销存'!$D108,'代理商-进货明细表'!$E:$E,"3月"))/10000</f>
        <v>0</v>
      </c>
      <c r="S108" s="29">
        <f>(SUMIFS('代理商-进货明细表'!$I:$I,'代理商-进货明细表'!$B:$B,'代理商-产品进销存'!$B108,'代理商-进货明细表'!$F:$F,'代理商-产品进销存'!$D108,'代理商-进货明细表'!$E:$E,"4月")+SUMIFS('代理商-进货明细表'!$I:$I,'代理商-进货明细表'!$B:$B,'代理商-产品进销存'!$B108,'代理商-进货明细表'!$F:$F,'代理商-产品进销存'!$D108,'代理商-进货明细表'!$E:$E,"5月")+SUMIFS('代理商-进货明细表'!$I:$I,'代理商-进货明细表'!$B:$B,'代理商-产品进销存'!$B108,'代理商-进货明细表'!$F:$F,'代理商-产品进销存'!$D108,'代理商-进货明细表'!$E:$E,"6月"))/10000</f>
        <v>0</v>
      </c>
      <c r="T108" s="29">
        <f>(SUMIFS('代理商-进货明细表'!$I:$I,'代理商-进货明细表'!$B:$B,'代理商-产品进销存'!$B108,'代理商-进货明细表'!$F:$F,'代理商-产品进销存'!$D108,'代理商-进货明细表'!$E:$E,"7月")+SUMIFS('代理商-进货明细表'!$I:$I,'代理商-进货明细表'!$B:$B,'代理商-产品进销存'!$B108,'代理商-进货明细表'!$F:$F,'代理商-产品进销存'!$D108,'代理商-进货明细表'!$E:$E,"8月")+SUMIFS('代理商-进货明细表'!$I:$I,'代理商-进货明细表'!$B:$B,'代理商-产品进销存'!$B108,'代理商-进货明细表'!$F:$F,'代理商-产品进销存'!$D108,'代理商-进货明细表'!$E:$E,"9月"))/10000</f>
        <v>0</v>
      </c>
      <c r="U108" s="29">
        <f>(SUMIFS('代理商-进货明细表'!$I:$I,'代理商-进货明细表'!$B:$B,'代理商-产品进销存'!$B108,'代理商-进货明细表'!$F:$F,'代理商-产品进销存'!$D108,'代理商-进货明细表'!$E:$E,"10月")+SUMIFS('代理商-进货明细表'!$I:$I,'代理商-进货明细表'!$B:$B,'代理商-产品进销存'!$B108,'代理商-进货明细表'!$F:$F,'代理商-产品进销存'!$D108,'代理商-进货明细表'!$E:$E,"11月")+SUMIFS('代理商-进货明细表'!$I:$I,'代理商-进货明细表'!$B:$B,'代理商-产品进销存'!$B108,'代理商-进货明细表'!$F:$F,'代理商-产品进销存'!$D108,'代理商-进货明细表'!$E:$E,"12月"))/10000</f>
        <v>0</v>
      </c>
      <c r="V108" s="29">
        <f t="shared" si="14"/>
        <v>0</v>
      </c>
      <c r="W108" s="29">
        <f t="shared" si="15"/>
        <v>0</v>
      </c>
      <c r="X108" s="29">
        <f t="shared" si="16"/>
        <v>0</v>
      </c>
      <c r="Y108" s="29">
        <f t="shared" si="17"/>
        <v>0</v>
      </c>
      <c r="Z108" s="29">
        <f t="shared" si="18"/>
        <v>0</v>
      </c>
      <c r="AA108" s="29">
        <f t="shared" si="19"/>
        <v>0</v>
      </c>
    </row>
    <row r="109" spans="1:27" x14ac:dyDescent="0.3">
      <c r="A109" s="2" t="s">
        <v>187</v>
      </c>
      <c r="B109" s="2" t="s">
        <v>109</v>
      </c>
      <c r="D109" s="3" t="s">
        <v>16</v>
      </c>
      <c r="L109" s="29">
        <f>(SUMIFS(终端客户销售统计表!$K:$K,终端客户销售统计表!$L:$L,$B109,终端客户销售统计表!$H:$H,$D109,终端客户销售统计表!$G:$G,"1月")+SUMIFS(终端客户销售统计表!$K:$K,终端客户销售统计表!$L:$L,$B109,终端客户销售统计表!$H:$H,$D109,终端客户销售统计表!$G:$G,"2月")+SUMIFS(终端客户销售统计表!$K:$K,终端客户销售统计表!$L:$L,$B109,终端客户销售统计表!$H:$H,$D109,终端客户销售统计表!$G:$G,"3月"))/10000</f>
        <v>0</v>
      </c>
      <c r="M109" s="29">
        <f>(SUMIFS(终端客户销售统计表!$K:$K,终端客户销售统计表!$L:$L,$B109,终端客户销售统计表!$H:$H,$D109,终端客户销售统计表!$G:$G,"4月")+SUMIFS(终端客户销售统计表!$K:$K,终端客户销售统计表!$L:$L,$B109,终端客户销售统计表!$H:$H,$D109,终端客户销售统计表!$G:$G,"5月")+SUMIFS(终端客户销售统计表!$K:$K,终端客户销售统计表!$L:$L,$B109,终端客户销售统计表!$H:$H,$D109,终端客户销售统计表!$G:$G,"6月"))/10000</f>
        <v>0</v>
      </c>
      <c r="N109" s="29">
        <f>(SUMIFS(终端客户销售统计表!$K:$K,终端客户销售统计表!$L:$L,$B109,终端客户销售统计表!$H:$H,$D109,终端客户销售统计表!$G:$G,"7月")+SUMIFS(终端客户销售统计表!$K:$K,终端客户销售统计表!$L:$L,$B109,终端客户销售统计表!$H:$H,$D109,终端客户销售统计表!$G:$G,"8月")+SUMIFS(终端客户销售统计表!$K:$K,终端客户销售统计表!$L:$L,$B109,终端客户销售统计表!$H:$H,$D109,终端客户销售统计表!$G:$G,"9月"))/10000</f>
        <v>0</v>
      </c>
      <c r="O109" s="29">
        <f>(SUMIFS(终端客户销售统计表!$K:$K,终端客户销售统计表!$L:$L,$B109,终端客户销售统计表!$H:$H,$D109,终端客户销售统计表!$G:$G,"10月")+SUMIFS(终端客户销售统计表!$K:$K,终端客户销售统计表!$L:$L,$B109,终端客户销售统计表!$H:$H,$D109,终端客户销售统计表!$G:$G,"11月")+SUMIFS(终端客户销售统计表!$K:$K,终端客户销售统计表!$L:$L,$B109,终端客户销售统计表!$H:$H,$D109,终端客户销售统计表!$G:$G,"12月"))/10000</f>
        <v>0</v>
      </c>
      <c r="P109" s="29">
        <f>SUM(L109:O109)</f>
        <v>0</v>
      </c>
      <c r="Q109" s="44" t="str">
        <f t="shared" si="13"/>
        <v/>
      </c>
      <c r="R109" s="29">
        <f>(SUMIFS('代理商-进货明细表'!$I:$I,'代理商-进货明细表'!$B:$B,'代理商-产品进销存'!$B109,'代理商-进货明细表'!$F:$F,'代理商-产品进销存'!$D109,'代理商-进货明细表'!$E:$E,"1月")+SUMIFS('代理商-进货明细表'!$I:$I,'代理商-进货明细表'!$B:$B,'代理商-产品进销存'!$B109,'代理商-进货明细表'!$F:$F,'代理商-产品进销存'!$D109,'代理商-进货明细表'!$E:$E,"2月")+SUMIFS('代理商-进货明细表'!$I:$I,'代理商-进货明细表'!$B:$B,'代理商-产品进销存'!$B109,'代理商-进货明细表'!$F:$F,'代理商-产品进销存'!$D109,'代理商-进货明细表'!$E:$E,"3月"))/10000</f>
        <v>0</v>
      </c>
      <c r="S109" s="29">
        <f>(SUMIFS('代理商-进货明细表'!$I:$I,'代理商-进货明细表'!$B:$B,'代理商-产品进销存'!$B109,'代理商-进货明细表'!$F:$F,'代理商-产品进销存'!$D109,'代理商-进货明细表'!$E:$E,"4月")+SUMIFS('代理商-进货明细表'!$I:$I,'代理商-进货明细表'!$B:$B,'代理商-产品进销存'!$B109,'代理商-进货明细表'!$F:$F,'代理商-产品进销存'!$D109,'代理商-进货明细表'!$E:$E,"5月")+SUMIFS('代理商-进货明细表'!$I:$I,'代理商-进货明细表'!$B:$B,'代理商-产品进销存'!$B109,'代理商-进货明细表'!$F:$F,'代理商-产品进销存'!$D109,'代理商-进货明细表'!$E:$E,"6月"))/10000</f>
        <v>0</v>
      </c>
      <c r="T109" s="29">
        <f>(SUMIFS('代理商-进货明细表'!$I:$I,'代理商-进货明细表'!$B:$B,'代理商-产品进销存'!$B109,'代理商-进货明细表'!$F:$F,'代理商-产品进销存'!$D109,'代理商-进货明细表'!$E:$E,"7月")+SUMIFS('代理商-进货明细表'!$I:$I,'代理商-进货明细表'!$B:$B,'代理商-产品进销存'!$B109,'代理商-进货明细表'!$F:$F,'代理商-产品进销存'!$D109,'代理商-进货明细表'!$E:$E,"8月")+SUMIFS('代理商-进货明细表'!$I:$I,'代理商-进货明细表'!$B:$B,'代理商-产品进销存'!$B109,'代理商-进货明细表'!$F:$F,'代理商-产品进销存'!$D109,'代理商-进货明细表'!$E:$E,"9月"))/10000</f>
        <v>0</v>
      </c>
      <c r="U109" s="29">
        <f>(SUMIFS('代理商-进货明细表'!$I:$I,'代理商-进货明细表'!$B:$B,'代理商-产品进销存'!$B109,'代理商-进货明细表'!$F:$F,'代理商-产品进销存'!$D109,'代理商-进货明细表'!$E:$E,"10月")+SUMIFS('代理商-进货明细表'!$I:$I,'代理商-进货明细表'!$B:$B,'代理商-产品进销存'!$B109,'代理商-进货明细表'!$F:$F,'代理商-产品进销存'!$D109,'代理商-进货明细表'!$E:$E,"11月")+SUMIFS('代理商-进货明细表'!$I:$I,'代理商-进货明细表'!$B:$B,'代理商-产品进销存'!$B109,'代理商-进货明细表'!$F:$F,'代理商-产品进销存'!$D109,'代理商-进货明细表'!$E:$E,"12月"))/10000</f>
        <v>0</v>
      </c>
      <c r="V109" s="29">
        <f t="shared" si="14"/>
        <v>0</v>
      </c>
      <c r="W109" s="29">
        <f t="shared" si="15"/>
        <v>0</v>
      </c>
      <c r="X109" s="29">
        <f t="shared" si="16"/>
        <v>0</v>
      </c>
      <c r="Y109" s="29">
        <f t="shared" si="17"/>
        <v>0</v>
      </c>
      <c r="Z109" s="29">
        <f t="shared" si="18"/>
        <v>0</v>
      </c>
      <c r="AA109" s="29">
        <f t="shared" si="19"/>
        <v>0</v>
      </c>
    </row>
    <row r="110" spans="1:27" x14ac:dyDescent="0.3">
      <c r="A110" s="2" t="s">
        <v>187</v>
      </c>
      <c r="B110" s="2" t="s">
        <v>109</v>
      </c>
      <c r="D110" s="3" t="s">
        <v>17</v>
      </c>
      <c r="L110" s="29">
        <f>(SUMIFS(终端客户销售统计表!$K:$K,终端客户销售统计表!$L:$L,$B110,终端客户销售统计表!$H:$H,$D110,终端客户销售统计表!$G:$G,"1月")+SUMIFS(终端客户销售统计表!$K:$K,终端客户销售统计表!$L:$L,$B110,终端客户销售统计表!$H:$H,$D110,终端客户销售统计表!$G:$G,"2月")+SUMIFS(终端客户销售统计表!$K:$K,终端客户销售统计表!$L:$L,$B110,终端客户销售统计表!$H:$H,$D110,终端客户销售统计表!$G:$G,"3月"))/10000</f>
        <v>0</v>
      </c>
      <c r="M110" s="29">
        <f>(SUMIFS(终端客户销售统计表!$K:$K,终端客户销售统计表!$L:$L,$B110,终端客户销售统计表!$H:$H,$D110,终端客户销售统计表!$G:$G,"4月")+SUMIFS(终端客户销售统计表!$K:$K,终端客户销售统计表!$L:$L,$B110,终端客户销售统计表!$H:$H,$D110,终端客户销售统计表!$G:$G,"5月")+SUMIFS(终端客户销售统计表!$K:$K,终端客户销售统计表!$L:$L,$B110,终端客户销售统计表!$H:$H,$D110,终端客户销售统计表!$G:$G,"6月"))/10000</f>
        <v>0</v>
      </c>
      <c r="N110" s="29">
        <f>(SUMIFS(终端客户销售统计表!$K:$K,终端客户销售统计表!$L:$L,$B110,终端客户销售统计表!$H:$H,$D110,终端客户销售统计表!$G:$G,"7月")+SUMIFS(终端客户销售统计表!$K:$K,终端客户销售统计表!$L:$L,$B110,终端客户销售统计表!$H:$H,$D110,终端客户销售统计表!$G:$G,"8月")+SUMIFS(终端客户销售统计表!$K:$K,终端客户销售统计表!$L:$L,$B110,终端客户销售统计表!$H:$H,$D110,终端客户销售统计表!$G:$G,"9月"))/10000</f>
        <v>0</v>
      </c>
      <c r="O110" s="29">
        <f>(SUMIFS(终端客户销售统计表!$K:$K,终端客户销售统计表!$L:$L,$B110,终端客户销售统计表!$H:$H,$D110,终端客户销售统计表!$G:$G,"10月")+SUMIFS(终端客户销售统计表!$K:$K,终端客户销售统计表!$L:$L,$B110,终端客户销售统计表!$H:$H,$D110,终端客户销售统计表!$G:$G,"11月")+SUMIFS(终端客户销售统计表!$K:$K,终端客户销售统计表!$L:$L,$B110,终端客户销售统计表!$H:$H,$D110,终端客户销售统计表!$G:$G,"12月"))/10000</f>
        <v>0</v>
      </c>
      <c r="P110" s="29">
        <f>SUM(L110:O110)</f>
        <v>0</v>
      </c>
      <c r="Q110" s="44" t="str">
        <f t="shared" si="13"/>
        <v/>
      </c>
      <c r="R110" s="29">
        <f>(SUMIFS('代理商-进货明细表'!$I:$I,'代理商-进货明细表'!$B:$B,'代理商-产品进销存'!$B110,'代理商-进货明细表'!$F:$F,'代理商-产品进销存'!$D110,'代理商-进货明细表'!$E:$E,"1月")+SUMIFS('代理商-进货明细表'!$I:$I,'代理商-进货明细表'!$B:$B,'代理商-产品进销存'!$B110,'代理商-进货明细表'!$F:$F,'代理商-产品进销存'!$D110,'代理商-进货明细表'!$E:$E,"2月")+SUMIFS('代理商-进货明细表'!$I:$I,'代理商-进货明细表'!$B:$B,'代理商-产品进销存'!$B110,'代理商-进货明细表'!$F:$F,'代理商-产品进销存'!$D110,'代理商-进货明细表'!$E:$E,"3月"))/10000</f>
        <v>0</v>
      </c>
      <c r="S110" s="29">
        <f>(SUMIFS('代理商-进货明细表'!$I:$I,'代理商-进货明细表'!$B:$B,'代理商-产品进销存'!$B110,'代理商-进货明细表'!$F:$F,'代理商-产品进销存'!$D110,'代理商-进货明细表'!$E:$E,"4月")+SUMIFS('代理商-进货明细表'!$I:$I,'代理商-进货明细表'!$B:$B,'代理商-产品进销存'!$B110,'代理商-进货明细表'!$F:$F,'代理商-产品进销存'!$D110,'代理商-进货明细表'!$E:$E,"5月")+SUMIFS('代理商-进货明细表'!$I:$I,'代理商-进货明细表'!$B:$B,'代理商-产品进销存'!$B110,'代理商-进货明细表'!$F:$F,'代理商-产品进销存'!$D110,'代理商-进货明细表'!$E:$E,"6月"))/10000</f>
        <v>0</v>
      </c>
      <c r="T110" s="29">
        <f>(SUMIFS('代理商-进货明细表'!$I:$I,'代理商-进货明细表'!$B:$B,'代理商-产品进销存'!$B110,'代理商-进货明细表'!$F:$F,'代理商-产品进销存'!$D110,'代理商-进货明细表'!$E:$E,"7月")+SUMIFS('代理商-进货明细表'!$I:$I,'代理商-进货明细表'!$B:$B,'代理商-产品进销存'!$B110,'代理商-进货明细表'!$F:$F,'代理商-产品进销存'!$D110,'代理商-进货明细表'!$E:$E,"8月")+SUMIFS('代理商-进货明细表'!$I:$I,'代理商-进货明细表'!$B:$B,'代理商-产品进销存'!$B110,'代理商-进货明细表'!$F:$F,'代理商-产品进销存'!$D110,'代理商-进货明细表'!$E:$E,"9月"))/10000</f>
        <v>0</v>
      </c>
      <c r="U110" s="29">
        <f>(SUMIFS('代理商-进货明细表'!$I:$I,'代理商-进货明细表'!$B:$B,'代理商-产品进销存'!$B110,'代理商-进货明细表'!$F:$F,'代理商-产品进销存'!$D110,'代理商-进货明细表'!$E:$E,"10月")+SUMIFS('代理商-进货明细表'!$I:$I,'代理商-进货明细表'!$B:$B,'代理商-产品进销存'!$B110,'代理商-进货明细表'!$F:$F,'代理商-产品进销存'!$D110,'代理商-进货明细表'!$E:$E,"11月")+SUMIFS('代理商-进货明细表'!$I:$I,'代理商-进货明细表'!$B:$B,'代理商-产品进销存'!$B110,'代理商-进货明细表'!$F:$F,'代理商-产品进销存'!$D110,'代理商-进货明细表'!$E:$E,"12月"))/10000</f>
        <v>0</v>
      </c>
      <c r="V110" s="29">
        <f t="shared" si="14"/>
        <v>0</v>
      </c>
      <c r="W110" s="29">
        <f t="shared" si="15"/>
        <v>0</v>
      </c>
      <c r="X110" s="29">
        <f t="shared" si="16"/>
        <v>0</v>
      </c>
      <c r="Y110" s="29">
        <f t="shared" si="17"/>
        <v>0</v>
      </c>
      <c r="Z110" s="29">
        <f t="shared" si="18"/>
        <v>0</v>
      </c>
      <c r="AA110" s="29">
        <f t="shared" si="19"/>
        <v>0</v>
      </c>
    </row>
    <row r="111" spans="1:27" x14ac:dyDescent="0.3">
      <c r="A111" s="2" t="s">
        <v>188</v>
      </c>
      <c r="B111" s="2" t="s">
        <v>110</v>
      </c>
      <c r="D111" s="3" t="s">
        <v>14</v>
      </c>
      <c r="L111" s="29">
        <f>(SUMIFS(终端客户销售统计表!$K:$K,终端客户销售统计表!$L:$L,$B111,终端客户销售统计表!$H:$H,$D111,终端客户销售统计表!$G:$G,"1月")+SUMIFS(终端客户销售统计表!$K:$K,终端客户销售统计表!$L:$L,$B111,终端客户销售统计表!$H:$H,$D111,终端客户销售统计表!$G:$G,"2月")+SUMIFS(终端客户销售统计表!$K:$K,终端客户销售统计表!$L:$L,$B111,终端客户销售统计表!$H:$H,$D111,终端客户销售统计表!$G:$G,"3月"))/10000</f>
        <v>0</v>
      </c>
      <c r="M111" s="29">
        <f>(SUMIFS(终端客户销售统计表!$K:$K,终端客户销售统计表!$L:$L,$B111,终端客户销售统计表!$H:$H,$D111,终端客户销售统计表!$G:$G,"4月")+SUMIFS(终端客户销售统计表!$K:$K,终端客户销售统计表!$L:$L,$B111,终端客户销售统计表!$H:$H,$D111,终端客户销售统计表!$G:$G,"5月")+SUMIFS(终端客户销售统计表!$K:$K,终端客户销售统计表!$L:$L,$B111,终端客户销售统计表!$H:$H,$D111,终端客户销售统计表!$G:$G,"6月"))/10000</f>
        <v>0</v>
      </c>
      <c r="N111" s="29">
        <f>(SUMIFS(终端客户销售统计表!$K:$K,终端客户销售统计表!$L:$L,$B111,终端客户销售统计表!$H:$H,$D111,终端客户销售统计表!$G:$G,"7月")+SUMIFS(终端客户销售统计表!$K:$K,终端客户销售统计表!$L:$L,$B111,终端客户销售统计表!$H:$H,$D111,终端客户销售统计表!$G:$G,"8月")+SUMIFS(终端客户销售统计表!$K:$K,终端客户销售统计表!$L:$L,$B111,终端客户销售统计表!$H:$H,$D111,终端客户销售统计表!$G:$G,"9月"))/10000</f>
        <v>0</v>
      </c>
      <c r="O111" s="29">
        <f>(SUMIFS(终端客户销售统计表!$K:$K,终端客户销售统计表!$L:$L,$B111,终端客户销售统计表!$H:$H,$D111,终端客户销售统计表!$G:$G,"10月")+SUMIFS(终端客户销售统计表!$K:$K,终端客户销售统计表!$L:$L,$B111,终端客户销售统计表!$H:$H,$D111,终端客户销售统计表!$G:$G,"11月")+SUMIFS(终端客户销售统计表!$K:$K,终端客户销售统计表!$L:$L,$B111,终端客户销售统计表!$H:$H,$D111,终端客户销售统计表!$G:$G,"12月"))/10000</f>
        <v>0</v>
      </c>
      <c r="P111" s="29">
        <f>SUM(L111:O111)</f>
        <v>0</v>
      </c>
      <c r="Q111" s="44" t="str">
        <f t="shared" si="13"/>
        <v/>
      </c>
      <c r="R111" s="29">
        <f>(SUMIFS('代理商-进货明细表'!$I:$I,'代理商-进货明细表'!$B:$B,'代理商-产品进销存'!$B111,'代理商-进货明细表'!$F:$F,'代理商-产品进销存'!$D111,'代理商-进货明细表'!$E:$E,"1月")+SUMIFS('代理商-进货明细表'!$I:$I,'代理商-进货明细表'!$B:$B,'代理商-产品进销存'!$B111,'代理商-进货明细表'!$F:$F,'代理商-产品进销存'!$D111,'代理商-进货明细表'!$E:$E,"2月")+SUMIFS('代理商-进货明细表'!$I:$I,'代理商-进货明细表'!$B:$B,'代理商-产品进销存'!$B111,'代理商-进货明细表'!$F:$F,'代理商-产品进销存'!$D111,'代理商-进货明细表'!$E:$E,"3月"))/10000</f>
        <v>0</v>
      </c>
      <c r="S111" s="29">
        <f>(SUMIFS('代理商-进货明细表'!$I:$I,'代理商-进货明细表'!$B:$B,'代理商-产品进销存'!$B111,'代理商-进货明细表'!$F:$F,'代理商-产品进销存'!$D111,'代理商-进货明细表'!$E:$E,"4月")+SUMIFS('代理商-进货明细表'!$I:$I,'代理商-进货明细表'!$B:$B,'代理商-产品进销存'!$B111,'代理商-进货明细表'!$F:$F,'代理商-产品进销存'!$D111,'代理商-进货明细表'!$E:$E,"5月")+SUMIFS('代理商-进货明细表'!$I:$I,'代理商-进货明细表'!$B:$B,'代理商-产品进销存'!$B111,'代理商-进货明细表'!$F:$F,'代理商-产品进销存'!$D111,'代理商-进货明细表'!$E:$E,"6月"))/10000</f>
        <v>0</v>
      </c>
      <c r="T111" s="29">
        <f>(SUMIFS('代理商-进货明细表'!$I:$I,'代理商-进货明细表'!$B:$B,'代理商-产品进销存'!$B111,'代理商-进货明细表'!$F:$F,'代理商-产品进销存'!$D111,'代理商-进货明细表'!$E:$E,"7月")+SUMIFS('代理商-进货明细表'!$I:$I,'代理商-进货明细表'!$B:$B,'代理商-产品进销存'!$B111,'代理商-进货明细表'!$F:$F,'代理商-产品进销存'!$D111,'代理商-进货明细表'!$E:$E,"8月")+SUMIFS('代理商-进货明细表'!$I:$I,'代理商-进货明细表'!$B:$B,'代理商-产品进销存'!$B111,'代理商-进货明细表'!$F:$F,'代理商-产品进销存'!$D111,'代理商-进货明细表'!$E:$E,"9月"))/10000</f>
        <v>0</v>
      </c>
      <c r="U111" s="29">
        <f>(SUMIFS('代理商-进货明细表'!$I:$I,'代理商-进货明细表'!$B:$B,'代理商-产品进销存'!$B111,'代理商-进货明细表'!$F:$F,'代理商-产品进销存'!$D111,'代理商-进货明细表'!$E:$E,"10月")+SUMIFS('代理商-进货明细表'!$I:$I,'代理商-进货明细表'!$B:$B,'代理商-产品进销存'!$B111,'代理商-进货明细表'!$F:$F,'代理商-产品进销存'!$D111,'代理商-进货明细表'!$E:$E,"11月")+SUMIFS('代理商-进货明细表'!$I:$I,'代理商-进货明细表'!$B:$B,'代理商-产品进销存'!$B111,'代理商-进货明细表'!$F:$F,'代理商-产品进销存'!$D111,'代理商-进货明细表'!$E:$E,"12月"))/10000</f>
        <v>0</v>
      </c>
      <c r="V111" s="29">
        <f t="shared" si="14"/>
        <v>0</v>
      </c>
      <c r="W111" s="29">
        <f t="shared" si="15"/>
        <v>0</v>
      </c>
      <c r="X111" s="29">
        <f t="shared" si="16"/>
        <v>0</v>
      </c>
      <c r="Y111" s="29">
        <f t="shared" si="17"/>
        <v>0</v>
      </c>
      <c r="Z111" s="29">
        <f t="shared" si="18"/>
        <v>0</v>
      </c>
      <c r="AA111" s="29">
        <f t="shared" si="19"/>
        <v>0</v>
      </c>
    </row>
    <row r="112" spans="1:27" x14ac:dyDescent="0.3">
      <c r="A112" s="2" t="s">
        <v>188</v>
      </c>
      <c r="B112" s="2" t="s">
        <v>110</v>
      </c>
      <c r="D112" s="3" t="s">
        <v>15</v>
      </c>
      <c r="L112" s="29">
        <f>(SUMIFS(终端客户销售统计表!$K:$K,终端客户销售统计表!$L:$L,$B112,终端客户销售统计表!$H:$H,$D112,终端客户销售统计表!$G:$G,"1月")+SUMIFS(终端客户销售统计表!$K:$K,终端客户销售统计表!$L:$L,$B112,终端客户销售统计表!$H:$H,$D112,终端客户销售统计表!$G:$G,"2月")+SUMIFS(终端客户销售统计表!$K:$K,终端客户销售统计表!$L:$L,$B112,终端客户销售统计表!$H:$H,$D112,终端客户销售统计表!$G:$G,"3月"))/10000</f>
        <v>0</v>
      </c>
      <c r="M112" s="29">
        <f>(SUMIFS(终端客户销售统计表!$K:$K,终端客户销售统计表!$L:$L,$B112,终端客户销售统计表!$H:$H,$D112,终端客户销售统计表!$G:$G,"4月")+SUMIFS(终端客户销售统计表!$K:$K,终端客户销售统计表!$L:$L,$B112,终端客户销售统计表!$H:$H,$D112,终端客户销售统计表!$G:$G,"5月")+SUMIFS(终端客户销售统计表!$K:$K,终端客户销售统计表!$L:$L,$B112,终端客户销售统计表!$H:$H,$D112,终端客户销售统计表!$G:$G,"6月"))/10000</f>
        <v>0</v>
      </c>
      <c r="N112" s="29">
        <f>(SUMIFS(终端客户销售统计表!$K:$K,终端客户销售统计表!$L:$L,$B112,终端客户销售统计表!$H:$H,$D112,终端客户销售统计表!$G:$G,"7月")+SUMIFS(终端客户销售统计表!$K:$K,终端客户销售统计表!$L:$L,$B112,终端客户销售统计表!$H:$H,$D112,终端客户销售统计表!$G:$G,"8月")+SUMIFS(终端客户销售统计表!$K:$K,终端客户销售统计表!$L:$L,$B112,终端客户销售统计表!$H:$H,$D112,终端客户销售统计表!$G:$G,"9月"))/10000</f>
        <v>0</v>
      </c>
      <c r="O112" s="29">
        <f>(SUMIFS(终端客户销售统计表!$K:$K,终端客户销售统计表!$L:$L,$B112,终端客户销售统计表!$H:$H,$D112,终端客户销售统计表!$G:$G,"10月")+SUMIFS(终端客户销售统计表!$K:$K,终端客户销售统计表!$L:$L,$B112,终端客户销售统计表!$H:$H,$D112,终端客户销售统计表!$G:$G,"11月")+SUMIFS(终端客户销售统计表!$K:$K,终端客户销售统计表!$L:$L,$B112,终端客户销售统计表!$H:$H,$D112,终端客户销售统计表!$G:$G,"12月"))/10000</f>
        <v>0</v>
      </c>
      <c r="P112" s="29">
        <f>SUM(L112:O112)</f>
        <v>0</v>
      </c>
      <c r="Q112" s="44" t="str">
        <f t="shared" si="13"/>
        <v/>
      </c>
      <c r="R112" s="29">
        <f>(SUMIFS('代理商-进货明细表'!$I:$I,'代理商-进货明细表'!$B:$B,'代理商-产品进销存'!$B112,'代理商-进货明细表'!$F:$F,'代理商-产品进销存'!$D112,'代理商-进货明细表'!$E:$E,"1月")+SUMIFS('代理商-进货明细表'!$I:$I,'代理商-进货明细表'!$B:$B,'代理商-产品进销存'!$B112,'代理商-进货明细表'!$F:$F,'代理商-产品进销存'!$D112,'代理商-进货明细表'!$E:$E,"2月")+SUMIFS('代理商-进货明细表'!$I:$I,'代理商-进货明细表'!$B:$B,'代理商-产品进销存'!$B112,'代理商-进货明细表'!$F:$F,'代理商-产品进销存'!$D112,'代理商-进货明细表'!$E:$E,"3月"))/10000</f>
        <v>0</v>
      </c>
      <c r="S112" s="29">
        <f>(SUMIFS('代理商-进货明细表'!$I:$I,'代理商-进货明细表'!$B:$B,'代理商-产品进销存'!$B112,'代理商-进货明细表'!$F:$F,'代理商-产品进销存'!$D112,'代理商-进货明细表'!$E:$E,"4月")+SUMIFS('代理商-进货明细表'!$I:$I,'代理商-进货明细表'!$B:$B,'代理商-产品进销存'!$B112,'代理商-进货明细表'!$F:$F,'代理商-产品进销存'!$D112,'代理商-进货明细表'!$E:$E,"5月")+SUMIFS('代理商-进货明细表'!$I:$I,'代理商-进货明细表'!$B:$B,'代理商-产品进销存'!$B112,'代理商-进货明细表'!$F:$F,'代理商-产品进销存'!$D112,'代理商-进货明细表'!$E:$E,"6月"))/10000</f>
        <v>0</v>
      </c>
      <c r="T112" s="29">
        <f>(SUMIFS('代理商-进货明细表'!$I:$I,'代理商-进货明细表'!$B:$B,'代理商-产品进销存'!$B112,'代理商-进货明细表'!$F:$F,'代理商-产品进销存'!$D112,'代理商-进货明细表'!$E:$E,"7月")+SUMIFS('代理商-进货明细表'!$I:$I,'代理商-进货明细表'!$B:$B,'代理商-产品进销存'!$B112,'代理商-进货明细表'!$F:$F,'代理商-产品进销存'!$D112,'代理商-进货明细表'!$E:$E,"8月")+SUMIFS('代理商-进货明细表'!$I:$I,'代理商-进货明细表'!$B:$B,'代理商-产品进销存'!$B112,'代理商-进货明细表'!$F:$F,'代理商-产品进销存'!$D112,'代理商-进货明细表'!$E:$E,"9月"))/10000</f>
        <v>0</v>
      </c>
      <c r="U112" s="29">
        <f>(SUMIFS('代理商-进货明细表'!$I:$I,'代理商-进货明细表'!$B:$B,'代理商-产品进销存'!$B112,'代理商-进货明细表'!$F:$F,'代理商-产品进销存'!$D112,'代理商-进货明细表'!$E:$E,"10月")+SUMIFS('代理商-进货明细表'!$I:$I,'代理商-进货明细表'!$B:$B,'代理商-产品进销存'!$B112,'代理商-进货明细表'!$F:$F,'代理商-产品进销存'!$D112,'代理商-进货明细表'!$E:$E,"11月")+SUMIFS('代理商-进货明细表'!$I:$I,'代理商-进货明细表'!$B:$B,'代理商-产品进销存'!$B112,'代理商-进货明细表'!$F:$F,'代理商-产品进销存'!$D112,'代理商-进货明细表'!$E:$E,"12月"))/10000</f>
        <v>0</v>
      </c>
      <c r="V112" s="29">
        <f t="shared" si="14"/>
        <v>0</v>
      </c>
      <c r="W112" s="29">
        <f t="shared" si="15"/>
        <v>0</v>
      </c>
      <c r="X112" s="29">
        <f t="shared" si="16"/>
        <v>0</v>
      </c>
      <c r="Y112" s="29">
        <f t="shared" si="17"/>
        <v>0</v>
      </c>
      <c r="Z112" s="29">
        <f t="shared" si="18"/>
        <v>0</v>
      </c>
      <c r="AA112" s="29">
        <f t="shared" si="19"/>
        <v>0</v>
      </c>
    </row>
    <row r="113" spans="1:27" x14ac:dyDescent="0.3">
      <c r="A113" s="2" t="s">
        <v>188</v>
      </c>
      <c r="B113" s="2" t="s">
        <v>110</v>
      </c>
      <c r="D113" s="3" t="s">
        <v>16</v>
      </c>
      <c r="L113" s="29">
        <f>(SUMIFS(终端客户销售统计表!$K:$K,终端客户销售统计表!$L:$L,$B113,终端客户销售统计表!$H:$H,$D113,终端客户销售统计表!$G:$G,"1月")+SUMIFS(终端客户销售统计表!$K:$K,终端客户销售统计表!$L:$L,$B113,终端客户销售统计表!$H:$H,$D113,终端客户销售统计表!$G:$G,"2月")+SUMIFS(终端客户销售统计表!$K:$K,终端客户销售统计表!$L:$L,$B113,终端客户销售统计表!$H:$H,$D113,终端客户销售统计表!$G:$G,"3月"))/10000</f>
        <v>0</v>
      </c>
      <c r="M113" s="29">
        <f>(SUMIFS(终端客户销售统计表!$K:$K,终端客户销售统计表!$L:$L,$B113,终端客户销售统计表!$H:$H,$D113,终端客户销售统计表!$G:$G,"4月")+SUMIFS(终端客户销售统计表!$K:$K,终端客户销售统计表!$L:$L,$B113,终端客户销售统计表!$H:$H,$D113,终端客户销售统计表!$G:$G,"5月")+SUMIFS(终端客户销售统计表!$K:$K,终端客户销售统计表!$L:$L,$B113,终端客户销售统计表!$H:$H,$D113,终端客户销售统计表!$G:$G,"6月"))/10000</f>
        <v>0</v>
      </c>
      <c r="N113" s="29">
        <f>(SUMIFS(终端客户销售统计表!$K:$K,终端客户销售统计表!$L:$L,$B113,终端客户销售统计表!$H:$H,$D113,终端客户销售统计表!$G:$G,"7月")+SUMIFS(终端客户销售统计表!$K:$K,终端客户销售统计表!$L:$L,$B113,终端客户销售统计表!$H:$H,$D113,终端客户销售统计表!$G:$G,"8月")+SUMIFS(终端客户销售统计表!$K:$K,终端客户销售统计表!$L:$L,$B113,终端客户销售统计表!$H:$H,$D113,终端客户销售统计表!$G:$G,"9月"))/10000</f>
        <v>0</v>
      </c>
      <c r="O113" s="29">
        <f>(SUMIFS(终端客户销售统计表!$K:$K,终端客户销售统计表!$L:$L,$B113,终端客户销售统计表!$H:$H,$D113,终端客户销售统计表!$G:$G,"10月")+SUMIFS(终端客户销售统计表!$K:$K,终端客户销售统计表!$L:$L,$B113,终端客户销售统计表!$H:$H,$D113,终端客户销售统计表!$G:$G,"11月")+SUMIFS(终端客户销售统计表!$K:$K,终端客户销售统计表!$L:$L,$B113,终端客户销售统计表!$H:$H,$D113,终端客户销售统计表!$G:$G,"12月"))/10000</f>
        <v>0</v>
      </c>
      <c r="P113" s="29">
        <f>SUM(L113:O113)</f>
        <v>0</v>
      </c>
      <c r="Q113" s="44" t="str">
        <f t="shared" si="13"/>
        <v/>
      </c>
      <c r="R113" s="29">
        <f>(SUMIFS('代理商-进货明细表'!$I:$I,'代理商-进货明细表'!$B:$B,'代理商-产品进销存'!$B113,'代理商-进货明细表'!$F:$F,'代理商-产品进销存'!$D113,'代理商-进货明细表'!$E:$E,"1月")+SUMIFS('代理商-进货明细表'!$I:$I,'代理商-进货明细表'!$B:$B,'代理商-产品进销存'!$B113,'代理商-进货明细表'!$F:$F,'代理商-产品进销存'!$D113,'代理商-进货明细表'!$E:$E,"2月")+SUMIFS('代理商-进货明细表'!$I:$I,'代理商-进货明细表'!$B:$B,'代理商-产品进销存'!$B113,'代理商-进货明细表'!$F:$F,'代理商-产品进销存'!$D113,'代理商-进货明细表'!$E:$E,"3月"))/10000</f>
        <v>0</v>
      </c>
      <c r="S113" s="29">
        <f>(SUMIFS('代理商-进货明细表'!$I:$I,'代理商-进货明细表'!$B:$B,'代理商-产品进销存'!$B113,'代理商-进货明细表'!$F:$F,'代理商-产品进销存'!$D113,'代理商-进货明细表'!$E:$E,"4月")+SUMIFS('代理商-进货明细表'!$I:$I,'代理商-进货明细表'!$B:$B,'代理商-产品进销存'!$B113,'代理商-进货明细表'!$F:$F,'代理商-产品进销存'!$D113,'代理商-进货明细表'!$E:$E,"5月")+SUMIFS('代理商-进货明细表'!$I:$I,'代理商-进货明细表'!$B:$B,'代理商-产品进销存'!$B113,'代理商-进货明细表'!$F:$F,'代理商-产品进销存'!$D113,'代理商-进货明细表'!$E:$E,"6月"))/10000</f>
        <v>0</v>
      </c>
      <c r="T113" s="29">
        <f>(SUMIFS('代理商-进货明细表'!$I:$I,'代理商-进货明细表'!$B:$B,'代理商-产品进销存'!$B113,'代理商-进货明细表'!$F:$F,'代理商-产品进销存'!$D113,'代理商-进货明细表'!$E:$E,"7月")+SUMIFS('代理商-进货明细表'!$I:$I,'代理商-进货明细表'!$B:$B,'代理商-产品进销存'!$B113,'代理商-进货明细表'!$F:$F,'代理商-产品进销存'!$D113,'代理商-进货明细表'!$E:$E,"8月")+SUMIFS('代理商-进货明细表'!$I:$I,'代理商-进货明细表'!$B:$B,'代理商-产品进销存'!$B113,'代理商-进货明细表'!$F:$F,'代理商-产品进销存'!$D113,'代理商-进货明细表'!$E:$E,"9月"))/10000</f>
        <v>0</v>
      </c>
      <c r="U113" s="29">
        <f>(SUMIFS('代理商-进货明细表'!$I:$I,'代理商-进货明细表'!$B:$B,'代理商-产品进销存'!$B113,'代理商-进货明细表'!$F:$F,'代理商-产品进销存'!$D113,'代理商-进货明细表'!$E:$E,"10月")+SUMIFS('代理商-进货明细表'!$I:$I,'代理商-进货明细表'!$B:$B,'代理商-产品进销存'!$B113,'代理商-进货明细表'!$F:$F,'代理商-产品进销存'!$D113,'代理商-进货明细表'!$E:$E,"11月")+SUMIFS('代理商-进货明细表'!$I:$I,'代理商-进货明细表'!$B:$B,'代理商-产品进销存'!$B113,'代理商-进货明细表'!$F:$F,'代理商-产品进销存'!$D113,'代理商-进货明细表'!$E:$E,"12月"))/10000</f>
        <v>0</v>
      </c>
      <c r="V113" s="29">
        <f t="shared" si="14"/>
        <v>0</v>
      </c>
      <c r="W113" s="29">
        <f t="shared" si="15"/>
        <v>0</v>
      </c>
      <c r="X113" s="29">
        <f t="shared" si="16"/>
        <v>0</v>
      </c>
      <c r="Y113" s="29">
        <f t="shared" si="17"/>
        <v>0</v>
      </c>
      <c r="Z113" s="29">
        <f t="shared" si="18"/>
        <v>0</v>
      </c>
      <c r="AA113" s="29">
        <f t="shared" si="19"/>
        <v>0</v>
      </c>
    </row>
    <row r="114" spans="1:27" x14ac:dyDescent="0.3">
      <c r="A114" s="2" t="s">
        <v>188</v>
      </c>
      <c r="B114" s="2" t="s">
        <v>110</v>
      </c>
      <c r="D114" s="3" t="s">
        <v>17</v>
      </c>
      <c r="L114" s="29">
        <f>(SUMIFS(终端客户销售统计表!$K:$K,终端客户销售统计表!$L:$L,$B114,终端客户销售统计表!$H:$H,$D114,终端客户销售统计表!$G:$G,"1月")+SUMIFS(终端客户销售统计表!$K:$K,终端客户销售统计表!$L:$L,$B114,终端客户销售统计表!$H:$H,$D114,终端客户销售统计表!$G:$G,"2月")+SUMIFS(终端客户销售统计表!$K:$K,终端客户销售统计表!$L:$L,$B114,终端客户销售统计表!$H:$H,$D114,终端客户销售统计表!$G:$G,"3月"))/10000</f>
        <v>0</v>
      </c>
      <c r="M114" s="29">
        <f>(SUMIFS(终端客户销售统计表!$K:$K,终端客户销售统计表!$L:$L,$B114,终端客户销售统计表!$H:$H,$D114,终端客户销售统计表!$G:$G,"4月")+SUMIFS(终端客户销售统计表!$K:$K,终端客户销售统计表!$L:$L,$B114,终端客户销售统计表!$H:$H,$D114,终端客户销售统计表!$G:$G,"5月")+SUMIFS(终端客户销售统计表!$K:$K,终端客户销售统计表!$L:$L,$B114,终端客户销售统计表!$H:$H,$D114,终端客户销售统计表!$G:$G,"6月"))/10000</f>
        <v>0</v>
      </c>
      <c r="N114" s="29">
        <f>(SUMIFS(终端客户销售统计表!$K:$K,终端客户销售统计表!$L:$L,$B114,终端客户销售统计表!$H:$H,$D114,终端客户销售统计表!$G:$G,"7月")+SUMIFS(终端客户销售统计表!$K:$K,终端客户销售统计表!$L:$L,$B114,终端客户销售统计表!$H:$H,$D114,终端客户销售统计表!$G:$G,"8月")+SUMIFS(终端客户销售统计表!$K:$K,终端客户销售统计表!$L:$L,$B114,终端客户销售统计表!$H:$H,$D114,终端客户销售统计表!$G:$G,"9月"))/10000</f>
        <v>0</v>
      </c>
      <c r="O114" s="29">
        <f>(SUMIFS(终端客户销售统计表!$K:$K,终端客户销售统计表!$L:$L,$B114,终端客户销售统计表!$H:$H,$D114,终端客户销售统计表!$G:$G,"10月")+SUMIFS(终端客户销售统计表!$K:$K,终端客户销售统计表!$L:$L,$B114,终端客户销售统计表!$H:$H,$D114,终端客户销售统计表!$G:$G,"11月")+SUMIFS(终端客户销售统计表!$K:$K,终端客户销售统计表!$L:$L,$B114,终端客户销售统计表!$H:$H,$D114,终端客户销售统计表!$G:$G,"12月"))/10000</f>
        <v>0</v>
      </c>
      <c r="P114" s="29">
        <f>SUM(L114:O114)</f>
        <v>0</v>
      </c>
      <c r="Q114" s="44" t="str">
        <f t="shared" si="13"/>
        <v/>
      </c>
      <c r="R114" s="29">
        <f>(SUMIFS('代理商-进货明细表'!$I:$I,'代理商-进货明细表'!$B:$B,'代理商-产品进销存'!$B114,'代理商-进货明细表'!$F:$F,'代理商-产品进销存'!$D114,'代理商-进货明细表'!$E:$E,"1月")+SUMIFS('代理商-进货明细表'!$I:$I,'代理商-进货明细表'!$B:$B,'代理商-产品进销存'!$B114,'代理商-进货明细表'!$F:$F,'代理商-产品进销存'!$D114,'代理商-进货明细表'!$E:$E,"2月")+SUMIFS('代理商-进货明细表'!$I:$I,'代理商-进货明细表'!$B:$B,'代理商-产品进销存'!$B114,'代理商-进货明细表'!$F:$F,'代理商-产品进销存'!$D114,'代理商-进货明细表'!$E:$E,"3月"))/10000</f>
        <v>0</v>
      </c>
      <c r="S114" s="29">
        <f>(SUMIFS('代理商-进货明细表'!$I:$I,'代理商-进货明细表'!$B:$B,'代理商-产品进销存'!$B114,'代理商-进货明细表'!$F:$F,'代理商-产品进销存'!$D114,'代理商-进货明细表'!$E:$E,"4月")+SUMIFS('代理商-进货明细表'!$I:$I,'代理商-进货明细表'!$B:$B,'代理商-产品进销存'!$B114,'代理商-进货明细表'!$F:$F,'代理商-产品进销存'!$D114,'代理商-进货明细表'!$E:$E,"5月")+SUMIFS('代理商-进货明细表'!$I:$I,'代理商-进货明细表'!$B:$B,'代理商-产品进销存'!$B114,'代理商-进货明细表'!$F:$F,'代理商-产品进销存'!$D114,'代理商-进货明细表'!$E:$E,"6月"))/10000</f>
        <v>0</v>
      </c>
      <c r="T114" s="29">
        <f>(SUMIFS('代理商-进货明细表'!$I:$I,'代理商-进货明细表'!$B:$B,'代理商-产品进销存'!$B114,'代理商-进货明细表'!$F:$F,'代理商-产品进销存'!$D114,'代理商-进货明细表'!$E:$E,"7月")+SUMIFS('代理商-进货明细表'!$I:$I,'代理商-进货明细表'!$B:$B,'代理商-产品进销存'!$B114,'代理商-进货明细表'!$F:$F,'代理商-产品进销存'!$D114,'代理商-进货明细表'!$E:$E,"8月")+SUMIFS('代理商-进货明细表'!$I:$I,'代理商-进货明细表'!$B:$B,'代理商-产品进销存'!$B114,'代理商-进货明细表'!$F:$F,'代理商-产品进销存'!$D114,'代理商-进货明细表'!$E:$E,"9月"))/10000</f>
        <v>0</v>
      </c>
      <c r="U114" s="29">
        <f>(SUMIFS('代理商-进货明细表'!$I:$I,'代理商-进货明细表'!$B:$B,'代理商-产品进销存'!$B114,'代理商-进货明细表'!$F:$F,'代理商-产品进销存'!$D114,'代理商-进货明细表'!$E:$E,"10月")+SUMIFS('代理商-进货明细表'!$I:$I,'代理商-进货明细表'!$B:$B,'代理商-产品进销存'!$B114,'代理商-进货明细表'!$F:$F,'代理商-产品进销存'!$D114,'代理商-进货明细表'!$E:$E,"11月")+SUMIFS('代理商-进货明细表'!$I:$I,'代理商-进货明细表'!$B:$B,'代理商-产品进销存'!$B114,'代理商-进货明细表'!$F:$F,'代理商-产品进销存'!$D114,'代理商-进货明细表'!$E:$E,"12月"))/10000</f>
        <v>0</v>
      </c>
      <c r="V114" s="29">
        <f t="shared" si="14"/>
        <v>0</v>
      </c>
      <c r="W114" s="29">
        <f t="shared" si="15"/>
        <v>0</v>
      </c>
      <c r="X114" s="29">
        <f t="shared" si="16"/>
        <v>0</v>
      </c>
      <c r="Y114" s="29">
        <f t="shared" si="17"/>
        <v>0</v>
      </c>
      <c r="Z114" s="29">
        <f t="shared" si="18"/>
        <v>0</v>
      </c>
      <c r="AA114" s="29">
        <f t="shared" si="19"/>
        <v>0</v>
      </c>
    </row>
    <row r="115" spans="1:27" x14ac:dyDescent="0.3">
      <c r="A115" s="2" t="s">
        <v>189</v>
      </c>
      <c r="B115" s="2" t="s">
        <v>111</v>
      </c>
      <c r="D115" s="3" t="s">
        <v>14</v>
      </c>
      <c r="L115" s="29">
        <f>(SUMIFS(终端客户销售统计表!$K:$K,终端客户销售统计表!$L:$L,$B115,终端客户销售统计表!$H:$H,$D115,终端客户销售统计表!$G:$G,"1月")+SUMIFS(终端客户销售统计表!$K:$K,终端客户销售统计表!$L:$L,$B115,终端客户销售统计表!$H:$H,$D115,终端客户销售统计表!$G:$G,"2月")+SUMIFS(终端客户销售统计表!$K:$K,终端客户销售统计表!$L:$L,$B115,终端客户销售统计表!$H:$H,$D115,终端客户销售统计表!$G:$G,"3月"))/10000</f>
        <v>0</v>
      </c>
      <c r="M115" s="29">
        <f>(SUMIFS(终端客户销售统计表!$K:$K,终端客户销售统计表!$L:$L,$B115,终端客户销售统计表!$H:$H,$D115,终端客户销售统计表!$G:$G,"4月")+SUMIFS(终端客户销售统计表!$K:$K,终端客户销售统计表!$L:$L,$B115,终端客户销售统计表!$H:$H,$D115,终端客户销售统计表!$G:$G,"5月")+SUMIFS(终端客户销售统计表!$K:$K,终端客户销售统计表!$L:$L,$B115,终端客户销售统计表!$H:$H,$D115,终端客户销售统计表!$G:$G,"6月"))/10000</f>
        <v>0</v>
      </c>
      <c r="N115" s="29">
        <f>(SUMIFS(终端客户销售统计表!$K:$K,终端客户销售统计表!$L:$L,$B115,终端客户销售统计表!$H:$H,$D115,终端客户销售统计表!$G:$G,"7月")+SUMIFS(终端客户销售统计表!$K:$K,终端客户销售统计表!$L:$L,$B115,终端客户销售统计表!$H:$H,$D115,终端客户销售统计表!$G:$G,"8月")+SUMIFS(终端客户销售统计表!$K:$K,终端客户销售统计表!$L:$L,$B115,终端客户销售统计表!$H:$H,$D115,终端客户销售统计表!$G:$G,"9月"))/10000</f>
        <v>0</v>
      </c>
      <c r="O115" s="29">
        <f>(SUMIFS(终端客户销售统计表!$K:$K,终端客户销售统计表!$L:$L,$B115,终端客户销售统计表!$H:$H,$D115,终端客户销售统计表!$G:$G,"10月")+SUMIFS(终端客户销售统计表!$K:$K,终端客户销售统计表!$L:$L,$B115,终端客户销售统计表!$H:$H,$D115,终端客户销售统计表!$G:$G,"11月")+SUMIFS(终端客户销售统计表!$K:$K,终端客户销售统计表!$L:$L,$B115,终端客户销售统计表!$H:$H,$D115,终端客户销售统计表!$G:$G,"12月"))/10000</f>
        <v>0</v>
      </c>
      <c r="P115" s="29">
        <f>SUM(L115:O115)</f>
        <v>0</v>
      </c>
      <c r="Q115" s="44" t="str">
        <f t="shared" si="13"/>
        <v/>
      </c>
      <c r="R115" s="29">
        <f>(SUMIFS('代理商-进货明细表'!$I:$I,'代理商-进货明细表'!$B:$B,'代理商-产品进销存'!$B115,'代理商-进货明细表'!$F:$F,'代理商-产品进销存'!$D115,'代理商-进货明细表'!$E:$E,"1月")+SUMIFS('代理商-进货明细表'!$I:$I,'代理商-进货明细表'!$B:$B,'代理商-产品进销存'!$B115,'代理商-进货明细表'!$F:$F,'代理商-产品进销存'!$D115,'代理商-进货明细表'!$E:$E,"2月")+SUMIFS('代理商-进货明细表'!$I:$I,'代理商-进货明细表'!$B:$B,'代理商-产品进销存'!$B115,'代理商-进货明细表'!$F:$F,'代理商-产品进销存'!$D115,'代理商-进货明细表'!$E:$E,"3月"))/10000</f>
        <v>0</v>
      </c>
      <c r="S115" s="29">
        <f>(SUMIFS('代理商-进货明细表'!$I:$I,'代理商-进货明细表'!$B:$B,'代理商-产品进销存'!$B115,'代理商-进货明细表'!$F:$F,'代理商-产品进销存'!$D115,'代理商-进货明细表'!$E:$E,"4月")+SUMIFS('代理商-进货明细表'!$I:$I,'代理商-进货明细表'!$B:$B,'代理商-产品进销存'!$B115,'代理商-进货明细表'!$F:$F,'代理商-产品进销存'!$D115,'代理商-进货明细表'!$E:$E,"5月")+SUMIFS('代理商-进货明细表'!$I:$I,'代理商-进货明细表'!$B:$B,'代理商-产品进销存'!$B115,'代理商-进货明细表'!$F:$F,'代理商-产品进销存'!$D115,'代理商-进货明细表'!$E:$E,"6月"))/10000</f>
        <v>0</v>
      </c>
      <c r="T115" s="29">
        <f>(SUMIFS('代理商-进货明细表'!$I:$I,'代理商-进货明细表'!$B:$B,'代理商-产品进销存'!$B115,'代理商-进货明细表'!$F:$F,'代理商-产品进销存'!$D115,'代理商-进货明细表'!$E:$E,"7月")+SUMIFS('代理商-进货明细表'!$I:$I,'代理商-进货明细表'!$B:$B,'代理商-产品进销存'!$B115,'代理商-进货明细表'!$F:$F,'代理商-产品进销存'!$D115,'代理商-进货明细表'!$E:$E,"8月")+SUMIFS('代理商-进货明细表'!$I:$I,'代理商-进货明细表'!$B:$B,'代理商-产品进销存'!$B115,'代理商-进货明细表'!$F:$F,'代理商-产品进销存'!$D115,'代理商-进货明细表'!$E:$E,"9月"))/10000</f>
        <v>0</v>
      </c>
      <c r="U115" s="29">
        <f>(SUMIFS('代理商-进货明细表'!$I:$I,'代理商-进货明细表'!$B:$B,'代理商-产品进销存'!$B115,'代理商-进货明细表'!$F:$F,'代理商-产品进销存'!$D115,'代理商-进货明细表'!$E:$E,"10月")+SUMIFS('代理商-进货明细表'!$I:$I,'代理商-进货明细表'!$B:$B,'代理商-产品进销存'!$B115,'代理商-进货明细表'!$F:$F,'代理商-产品进销存'!$D115,'代理商-进货明细表'!$E:$E,"11月")+SUMIFS('代理商-进货明细表'!$I:$I,'代理商-进货明细表'!$B:$B,'代理商-产品进销存'!$B115,'代理商-进货明细表'!$F:$F,'代理商-产品进销存'!$D115,'代理商-进货明细表'!$E:$E,"12月"))/10000</f>
        <v>0</v>
      </c>
      <c r="V115" s="29">
        <f t="shared" si="14"/>
        <v>0</v>
      </c>
      <c r="W115" s="29">
        <f t="shared" si="15"/>
        <v>0</v>
      </c>
      <c r="X115" s="29">
        <f t="shared" si="16"/>
        <v>0</v>
      </c>
      <c r="Y115" s="29">
        <f t="shared" si="17"/>
        <v>0</v>
      </c>
      <c r="Z115" s="29">
        <f t="shared" si="18"/>
        <v>0</v>
      </c>
      <c r="AA115" s="29">
        <f t="shared" si="19"/>
        <v>0</v>
      </c>
    </row>
    <row r="116" spans="1:27" x14ac:dyDescent="0.3">
      <c r="A116" s="2" t="s">
        <v>189</v>
      </c>
      <c r="B116" s="2" t="s">
        <v>111</v>
      </c>
      <c r="D116" s="3" t="s">
        <v>15</v>
      </c>
      <c r="L116" s="29">
        <f>(SUMIFS(终端客户销售统计表!$K:$K,终端客户销售统计表!$L:$L,$B116,终端客户销售统计表!$H:$H,$D116,终端客户销售统计表!$G:$G,"1月")+SUMIFS(终端客户销售统计表!$K:$K,终端客户销售统计表!$L:$L,$B116,终端客户销售统计表!$H:$H,$D116,终端客户销售统计表!$G:$G,"2月")+SUMIFS(终端客户销售统计表!$K:$K,终端客户销售统计表!$L:$L,$B116,终端客户销售统计表!$H:$H,$D116,终端客户销售统计表!$G:$G,"3月"))/10000</f>
        <v>0</v>
      </c>
      <c r="M116" s="29">
        <f>(SUMIFS(终端客户销售统计表!$K:$K,终端客户销售统计表!$L:$L,$B116,终端客户销售统计表!$H:$H,$D116,终端客户销售统计表!$G:$G,"4月")+SUMIFS(终端客户销售统计表!$K:$K,终端客户销售统计表!$L:$L,$B116,终端客户销售统计表!$H:$H,$D116,终端客户销售统计表!$G:$G,"5月")+SUMIFS(终端客户销售统计表!$K:$K,终端客户销售统计表!$L:$L,$B116,终端客户销售统计表!$H:$H,$D116,终端客户销售统计表!$G:$G,"6月"))/10000</f>
        <v>0</v>
      </c>
      <c r="N116" s="29">
        <f>(SUMIFS(终端客户销售统计表!$K:$K,终端客户销售统计表!$L:$L,$B116,终端客户销售统计表!$H:$H,$D116,终端客户销售统计表!$G:$G,"7月")+SUMIFS(终端客户销售统计表!$K:$K,终端客户销售统计表!$L:$L,$B116,终端客户销售统计表!$H:$H,$D116,终端客户销售统计表!$G:$G,"8月")+SUMIFS(终端客户销售统计表!$K:$K,终端客户销售统计表!$L:$L,$B116,终端客户销售统计表!$H:$H,$D116,终端客户销售统计表!$G:$G,"9月"))/10000</f>
        <v>0</v>
      </c>
      <c r="O116" s="29">
        <f>(SUMIFS(终端客户销售统计表!$K:$K,终端客户销售统计表!$L:$L,$B116,终端客户销售统计表!$H:$H,$D116,终端客户销售统计表!$G:$G,"10月")+SUMIFS(终端客户销售统计表!$K:$K,终端客户销售统计表!$L:$L,$B116,终端客户销售统计表!$H:$H,$D116,终端客户销售统计表!$G:$G,"11月")+SUMIFS(终端客户销售统计表!$K:$K,终端客户销售统计表!$L:$L,$B116,终端客户销售统计表!$H:$H,$D116,终端客户销售统计表!$G:$G,"12月"))/10000</f>
        <v>0</v>
      </c>
      <c r="P116" s="29">
        <f>SUM(L116:O116)</f>
        <v>0</v>
      </c>
      <c r="Q116" s="44" t="str">
        <f t="shared" si="13"/>
        <v/>
      </c>
      <c r="R116" s="29">
        <f>(SUMIFS('代理商-进货明细表'!$I:$I,'代理商-进货明细表'!$B:$B,'代理商-产品进销存'!$B116,'代理商-进货明细表'!$F:$F,'代理商-产品进销存'!$D116,'代理商-进货明细表'!$E:$E,"1月")+SUMIFS('代理商-进货明细表'!$I:$I,'代理商-进货明细表'!$B:$B,'代理商-产品进销存'!$B116,'代理商-进货明细表'!$F:$F,'代理商-产品进销存'!$D116,'代理商-进货明细表'!$E:$E,"2月")+SUMIFS('代理商-进货明细表'!$I:$I,'代理商-进货明细表'!$B:$B,'代理商-产品进销存'!$B116,'代理商-进货明细表'!$F:$F,'代理商-产品进销存'!$D116,'代理商-进货明细表'!$E:$E,"3月"))/10000</f>
        <v>0</v>
      </c>
      <c r="S116" s="29">
        <f>(SUMIFS('代理商-进货明细表'!$I:$I,'代理商-进货明细表'!$B:$B,'代理商-产品进销存'!$B116,'代理商-进货明细表'!$F:$F,'代理商-产品进销存'!$D116,'代理商-进货明细表'!$E:$E,"4月")+SUMIFS('代理商-进货明细表'!$I:$I,'代理商-进货明细表'!$B:$B,'代理商-产品进销存'!$B116,'代理商-进货明细表'!$F:$F,'代理商-产品进销存'!$D116,'代理商-进货明细表'!$E:$E,"5月")+SUMIFS('代理商-进货明细表'!$I:$I,'代理商-进货明细表'!$B:$B,'代理商-产品进销存'!$B116,'代理商-进货明细表'!$F:$F,'代理商-产品进销存'!$D116,'代理商-进货明细表'!$E:$E,"6月"))/10000</f>
        <v>0</v>
      </c>
      <c r="T116" s="29">
        <f>(SUMIFS('代理商-进货明细表'!$I:$I,'代理商-进货明细表'!$B:$B,'代理商-产品进销存'!$B116,'代理商-进货明细表'!$F:$F,'代理商-产品进销存'!$D116,'代理商-进货明细表'!$E:$E,"7月")+SUMIFS('代理商-进货明细表'!$I:$I,'代理商-进货明细表'!$B:$B,'代理商-产品进销存'!$B116,'代理商-进货明细表'!$F:$F,'代理商-产品进销存'!$D116,'代理商-进货明细表'!$E:$E,"8月")+SUMIFS('代理商-进货明细表'!$I:$I,'代理商-进货明细表'!$B:$B,'代理商-产品进销存'!$B116,'代理商-进货明细表'!$F:$F,'代理商-产品进销存'!$D116,'代理商-进货明细表'!$E:$E,"9月"))/10000</f>
        <v>0</v>
      </c>
      <c r="U116" s="29">
        <f>(SUMIFS('代理商-进货明细表'!$I:$I,'代理商-进货明细表'!$B:$B,'代理商-产品进销存'!$B116,'代理商-进货明细表'!$F:$F,'代理商-产品进销存'!$D116,'代理商-进货明细表'!$E:$E,"10月")+SUMIFS('代理商-进货明细表'!$I:$I,'代理商-进货明细表'!$B:$B,'代理商-产品进销存'!$B116,'代理商-进货明细表'!$F:$F,'代理商-产品进销存'!$D116,'代理商-进货明细表'!$E:$E,"11月")+SUMIFS('代理商-进货明细表'!$I:$I,'代理商-进货明细表'!$B:$B,'代理商-产品进销存'!$B116,'代理商-进货明细表'!$F:$F,'代理商-产品进销存'!$D116,'代理商-进货明细表'!$E:$E,"12月"))/10000</f>
        <v>0</v>
      </c>
      <c r="V116" s="29">
        <f t="shared" si="14"/>
        <v>0</v>
      </c>
      <c r="W116" s="29">
        <f t="shared" si="15"/>
        <v>0</v>
      </c>
      <c r="X116" s="29">
        <f t="shared" si="16"/>
        <v>0</v>
      </c>
      <c r="Y116" s="29">
        <f t="shared" si="17"/>
        <v>0</v>
      </c>
      <c r="Z116" s="29">
        <f t="shared" si="18"/>
        <v>0</v>
      </c>
      <c r="AA116" s="29">
        <f t="shared" si="19"/>
        <v>0</v>
      </c>
    </row>
    <row r="117" spans="1:27" x14ac:dyDescent="0.3">
      <c r="A117" s="2" t="s">
        <v>189</v>
      </c>
      <c r="B117" s="2" t="s">
        <v>111</v>
      </c>
      <c r="D117" s="3" t="s">
        <v>16</v>
      </c>
      <c r="L117" s="29">
        <f>(SUMIFS(终端客户销售统计表!$K:$K,终端客户销售统计表!$L:$L,$B117,终端客户销售统计表!$H:$H,$D117,终端客户销售统计表!$G:$G,"1月")+SUMIFS(终端客户销售统计表!$K:$K,终端客户销售统计表!$L:$L,$B117,终端客户销售统计表!$H:$H,$D117,终端客户销售统计表!$G:$G,"2月")+SUMIFS(终端客户销售统计表!$K:$K,终端客户销售统计表!$L:$L,$B117,终端客户销售统计表!$H:$H,$D117,终端客户销售统计表!$G:$G,"3月"))/10000</f>
        <v>0</v>
      </c>
      <c r="M117" s="29">
        <f>(SUMIFS(终端客户销售统计表!$K:$K,终端客户销售统计表!$L:$L,$B117,终端客户销售统计表!$H:$H,$D117,终端客户销售统计表!$G:$G,"4月")+SUMIFS(终端客户销售统计表!$K:$K,终端客户销售统计表!$L:$L,$B117,终端客户销售统计表!$H:$H,$D117,终端客户销售统计表!$G:$G,"5月")+SUMIFS(终端客户销售统计表!$K:$K,终端客户销售统计表!$L:$L,$B117,终端客户销售统计表!$H:$H,$D117,终端客户销售统计表!$G:$G,"6月"))/10000</f>
        <v>0</v>
      </c>
      <c r="N117" s="29">
        <f>(SUMIFS(终端客户销售统计表!$K:$K,终端客户销售统计表!$L:$L,$B117,终端客户销售统计表!$H:$H,$D117,终端客户销售统计表!$G:$G,"7月")+SUMIFS(终端客户销售统计表!$K:$K,终端客户销售统计表!$L:$L,$B117,终端客户销售统计表!$H:$H,$D117,终端客户销售统计表!$G:$G,"8月")+SUMIFS(终端客户销售统计表!$K:$K,终端客户销售统计表!$L:$L,$B117,终端客户销售统计表!$H:$H,$D117,终端客户销售统计表!$G:$G,"9月"))/10000</f>
        <v>0</v>
      </c>
      <c r="O117" s="29">
        <f>(SUMIFS(终端客户销售统计表!$K:$K,终端客户销售统计表!$L:$L,$B117,终端客户销售统计表!$H:$H,$D117,终端客户销售统计表!$G:$G,"10月")+SUMIFS(终端客户销售统计表!$K:$K,终端客户销售统计表!$L:$L,$B117,终端客户销售统计表!$H:$H,$D117,终端客户销售统计表!$G:$G,"11月")+SUMIFS(终端客户销售统计表!$K:$K,终端客户销售统计表!$L:$L,$B117,终端客户销售统计表!$H:$H,$D117,终端客户销售统计表!$G:$G,"12月"))/10000</f>
        <v>0</v>
      </c>
      <c r="P117" s="29">
        <f>SUM(L117:O117)</f>
        <v>0</v>
      </c>
      <c r="Q117" s="44" t="str">
        <f t="shared" si="13"/>
        <v/>
      </c>
      <c r="R117" s="29">
        <f>(SUMIFS('代理商-进货明细表'!$I:$I,'代理商-进货明细表'!$B:$B,'代理商-产品进销存'!$B117,'代理商-进货明细表'!$F:$F,'代理商-产品进销存'!$D117,'代理商-进货明细表'!$E:$E,"1月")+SUMIFS('代理商-进货明细表'!$I:$I,'代理商-进货明细表'!$B:$B,'代理商-产品进销存'!$B117,'代理商-进货明细表'!$F:$F,'代理商-产品进销存'!$D117,'代理商-进货明细表'!$E:$E,"2月")+SUMIFS('代理商-进货明细表'!$I:$I,'代理商-进货明细表'!$B:$B,'代理商-产品进销存'!$B117,'代理商-进货明细表'!$F:$F,'代理商-产品进销存'!$D117,'代理商-进货明细表'!$E:$E,"3月"))/10000</f>
        <v>0</v>
      </c>
      <c r="S117" s="29">
        <f>(SUMIFS('代理商-进货明细表'!$I:$I,'代理商-进货明细表'!$B:$B,'代理商-产品进销存'!$B117,'代理商-进货明细表'!$F:$F,'代理商-产品进销存'!$D117,'代理商-进货明细表'!$E:$E,"4月")+SUMIFS('代理商-进货明细表'!$I:$I,'代理商-进货明细表'!$B:$B,'代理商-产品进销存'!$B117,'代理商-进货明细表'!$F:$F,'代理商-产品进销存'!$D117,'代理商-进货明细表'!$E:$E,"5月")+SUMIFS('代理商-进货明细表'!$I:$I,'代理商-进货明细表'!$B:$B,'代理商-产品进销存'!$B117,'代理商-进货明细表'!$F:$F,'代理商-产品进销存'!$D117,'代理商-进货明细表'!$E:$E,"6月"))/10000</f>
        <v>0</v>
      </c>
      <c r="T117" s="29">
        <f>(SUMIFS('代理商-进货明细表'!$I:$I,'代理商-进货明细表'!$B:$B,'代理商-产品进销存'!$B117,'代理商-进货明细表'!$F:$F,'代理商-产品进销存'!$D117,'代理商-进货明细表'!$E:$E,"7月")+SUMIFS('代理商-进货明细表'!$I:$I,'代理商-进货明细表'!$B:$B,'代理商-产品进销存'!$B117,'代理商-进货明细表'!$F:$F,'代理商-产品进销存'!$D117,'代理商-进货明细表'!$E:$E,"8月")+SUMIFS('代理商-进货明细表'!$I:$I,'代理商-进货明细表'!$B:$B,'代理商-产品进销存'!$B117,'代理商-进货明细表'!$F:$F,'代理商-产品进销存'!$D117,'代理商-进货明细表'!$E:$E,"9月"))/10000</f>
        <v>0</v>
      </c>
      <c r="U117" s="29">
        <f>(SUMIFS('代理商-进货明细表'!$I:$I,'代理商-进货明细表'!$B:$B,'代理商-产品进销存'!$B117,'代理商-进货明细表'!$F:$F,'代理商-产品进销存'!$D117,'代理商-进货明细表'!$E:$E,"10月")+SUMIFS('代理商-进货明细表'!$I:$I,'代理商-进货明细表'!$B:$B,'代理商-产品进销存'!$B117,'代理商-进货明细表'!$F:$F,'代理商-产品进销存'!$D117,'代理商-进货明细表'!$E:$E,"11月")+SUMIFS('代理商-进货明细表'!$I:$I,'代理商-进货明细表'!$B:$B,'代理商-产品进销存'!$B117,'代理商-进货明细表'!$F:$F,'代理商-产品进销存'!$D117,'代理商-进货明细表'!$E:$E,"12月"))/10000</f>
        <v>0</v>
      </c>
      <c r="V117" s="29">
        <f t="shared" si="14"/>
        <v>0</v>
      </c>
      <c r="W117" s="29">
        <f t="shared" si="15"/>
        <v>0</v>
      </c>
      <c r="X117" s="29">
        <f t="shared" si="16"/>
        <v>0</v>
      </c>
      <c r="Y117" s="29">
        <f t="shared" si="17"/>
        <v>0</v>
      </c>
      <c r="Z117" s="29">
        <f t="shared" si="18"/>
        <v>0</v>
      </c>
      <c r="AA117" s="29">
        <f t="shared" si="19"/>
        <v>0</v>
      </c>
    </row>
    <row r="118" spans="1:27" x14ac:dyDescent="0.3">
      <c r="A118" s="2" t="s">
        <v>189</v>
      </c>
      <c r="B118" s="2" t="s">
        <v>111</v>
      </c>
      <c r="D118" s="3" t="s">
        <v>17</v>
      </c>
      <c r="L118" s="29">
        <f>(SUMIFS(终端客户销售统计表!$K:$K,终端客户销售统计表!$L:$L,$B118,终端客户销售统计表!$H:$H,$D118,终端客户销售统计表!$G:$G,"1月")+SUMIFS(终端客户销售统计表!$K:$K,终端客户销售统计表!$L:$L,$B118,终端客户销售统计表!$H:$H,$D118,终端客户销售统计表!$G:$G,"2月")+SUMIFS(终端客户销售统计表!$K:$K,终端客户销售统计表!$L:$L,$B118,终端客户销售统计表!$H:$H,$D118,终端客户销售统计表!$G:$G,"3月"))/10000</f>
        <v>0</v>
      </c>
      <c r="M118" s="29">
        <f>(SUMIFS(终端客户销售统计表!$K:$K,终端客户销售统计表!$L:$L,$B118,终端客户销售统计表!$H:$H,$D118,终端客户销售统计表!$G:$G,"4月")+SUMIFS(终端客户销售统计表!$K:$K,终端客户销售统计表!$L:$L,$B118,终端客户销售统计表!$H:$H,$D118,终端客户销售统计表!$G:$G,"5月")+SUMIFS(终端客户销售统计表!$K:$K,终端客户销售统计表!$L:$L,$B118,终端客户销售统计表!$H:$H,$D118,终端客户销售统计表!$G:$G,"6月"))/10000</f>
        <v>0</v>
      </c>
      <c r="N118" s="29">
        <f>(SUMIFS(终端客户销售统计表!$K:$K,终端客户销售统计表!$L:$L,$B118,终端客户销售统计表!$H:$H,$D118,终端客户销售统计表!$G:$G,"7月")+SUMIFS(终端客户销售统计表!$K:$K,终端客户销售统计表!$L:$L,$B118,终端客户销售统计表!$H:$H,$D118,终端客户销售统计表!$G:$G,"8月")+SUMIFS(终端客户销售统计表!$K:$K,终端客户销售统计表!$L:$L,$B118,终端客户销售统计表!$H:$H,$D118,终端客户销售统计表!$G:$G,"9月"))/10000</f>
        <v>0</v>
      </c>
      <c r="O118" s="29">
        <f>(SUMIFS(终端客户销售统计表!$K:$K,终端客户销售统计表!$L:$L,$B118,终端客户销售统计表!$H:$H,$D118,终端客户销售统计表!$G:$G,"10月")+SUMIFS(终端客户销售统计表!$K:$K,终端客户销售统计表!$L:$L,$B118,终端客户销售统计表!$H:$H,$D118,终端客户销售统计表!$G:$G,"11月")+SUMIFS(终端客户销售统计表!$K:$K,终端客户销售统计表!$L:$L,$B118,终端客户销售统计表!$H:$H,$D118,终端客户销售统计表!$G:$G,"12月"))/10000</f>
        <v>0</v>
      </c>
      <c r="P118" s="29">
        <f>SUM(L118:O118)</f>
        <v>0</v>
      </c>
      <c r="Q118" s="44" t="str">
        <f t="shared" si="13"/>
        <v/>
      </c>
      <c r="R118" s="29">
        <f>(SUMIFS('代理商-进货明细表'!$I:$I,'代理商-进货明细表'!$B:$B,'代理商-产品进销存'!$B118,'代理商-进货明细表'!$F:$F,'代理商-产品进销存'!$D118,'代理商-进货明细表'!$E:$E,"1月")+SUMIFS('代理商-进货明细表'!$I:$I,'代理商-进货明细表'!$B:$B,'代理商-产品进销存'!$B118,'代理商-进货明细表'!$F:$F,'代理商-产品进销存'!$D118,'代理商-进货明细表'!$E:$E,"2月")+SUMIFS('代理商-进货明细表'!$I:$I,'代理商-进货明细表'!$B:$B,'代理商-产品进销存'!$B118,'代理商-进货明细表'!$F:$F,'代理商-产品进销存'!$D118,'代理商-进货明细表'!$E:$E,"3月"))/10000</f>
        <v>0</v>
      </c>
      <c r="S118" s="29">
        <f>(SUMIFS('代理商-进货明细表'!$I:$I,'代理商-进货明细表'!$B:$B,'代理商-产品进销存'!$B118,'代理商-进货明细表'!$F:$F,'代理商-产品进销存'!$D118,'代理商-进货明细表'!$E:$E,"4月")+SUMIFS('代理商-进货明细表'!$I:$I,'代理商-进货明细表'!$B:$B,'代理商-产品进销存'!$B118,'代理商-进货明细表'!$F:$F,'代理商-产品进销存'!$D118,'代理商-进货明细表'!$E:$E,"5月")+SUMIFS('代理商-进货明细表'!$I:$I,'代理商-进货明细表'!$B:$B,'代理商-产品进销存'!$B118,'代理商-进货明细表'!$F:$F,'代理商-产品进销存'!$D118,'代理商-进货明细表'!$E:$E,"6月"))/10000</f>
        <v>0</v>
      </c>
      <c r="T118" s="29">
        <f>(SUMIFS('代理商-进货明细表'!$I:$I,'代理商-进货明细表'!$B:$B,'代理商-产品进销存'!$B118,'代理商-进货明细表'!$F:$F,'代理商-产品进销存'!$D118,'代理商-进货明细表'!$E:$E,"7月")+SUMIFS('代理商-进货明细表'!$I:$I,'代理商-进货明细表'!$B:$B,'代理商-产品进销存'!$B118,'代理商-进货明细表'!$F:$F,'代理商-产品进销存'!$D118,'代理商-进货明细表'!$E:$E,"8月")+SUMIFS('代理商-进货明细表'!$I:$I,'代理商-进货明细表'!$B:$B,'代理商-产品进销存'!$B118,'代理商-进货明细表'!$F:$F,'代理商-产品进销存'!$D118,'代理商-进货明细表'!$E:$E,"9月"))/10000</f>
        <v>0</v>
      </c>
      <c r="U118" s="29">
        <f>(SUMIFS('代理商-进货明细表'!$I:$I,'代理商-进货明细表'!$B:$B,'代理商-产品进销存'!$B118,'代理商-进货明细表'!$F:$F,'代理商-产品进销存'!$D118,'代理商-进货明细表'!$E:$E,"10月")+SUMIFS('代理商-进货明细表'!$I:$I,'代理商-进货明细表'!$B:$B,'代理商-产品进销存'!$B118,'代理商-进货明细表'!$F:$F,'代理商-产品进销存'!$D118,'代理商-进货明细表'!$E:$E,"11月")+SUMIFS('代理商-进货明细表'!$I:$I,'代理商-进货明细表'!$B:$B,'代理商-产品进销存'!$B118,'代理商-进货明细表'!$F:$F,'代理商-产品进销存'!$D118,'代理商-进货明细表'!$E:$E,"12月"))/10000</f>
        <v>0</v>
      </c>
      <c r="V118" s="29">
        <f t="shared" si="14"/>
        <v>0</v>
      </c>
      <c r="W118" s="29">
        <f t="shared" si="15"/>
        <v>0</v>
      </c>
      <c r="X118" s="29">
        <f t="shared" si="16"/>
        <v>0</v>
      </c>
      <c r="Y118" s="29">
        <f t="shared" si="17"/>
        <v>0</v>
      </c>
      <c r="Z118" s="29">
        <f t="shared" si="18"/>
        <v>0</v>
      </c>
      <c r="AA118" s="29">
        <f t="shared" si="19"/>
        <v>0</v>
      </c>
    </row>
    <row r="119" spans="1:27" x14ac:dyDescent="0.3">
      <c r="A119" s="2" t="s">
        <v>190</v>
      </c>
      <c r="B119" s="2" t="s">
        <v>112</v>
      </c>
      <c r="D119" s="3" t="s">
        <v>14</v>
      </c>
      <c r="L119" s="29">
        <f>(SUMIFS(终端客户销售统计表!$K:$K,终端客户销售统计表!$L:$L,$B119,终端客户销售统计表!$H:$H,$D119,终端客户销售统计表!$G:$G,"1月")+SUMIFS(终端客户销售统计表!$K:$K,终端客户销售统计表!$L:$L,$B119,终端客户销售统计表!$H:$H,$D119,终端客户销售统计表!$G:$G,"2月")+SUMIFS(终端客户销售统计表!$K:$K,终端客户销售统计表!$L:$L,$B119,终端客户销售统计表!$H:$H,$D119,终端客户销售统计表!$G:$G,"3月"))/10000</f>
        <v>0</v>
      </c>
      <c r="M119" s="29">
        <f>(SUMIFS(终端客户销售统计表!$K:$K,终端客户销售统计表!$L:$L,$B119,终端客户销售统计表!$H:$H,$D119,终端客户销售统计表!$G:$G,"4月")+SUMIFS(终端客户销售统计表!$K:$K,终端客户销售统计表!$L:$L,$B119,终端客户销售统计表!$H:$H,$D119,终端客户销售统计表!$G:$G,"5月")+SUMIFS(终端客户销售统计表!$K:$K,终端客户销售统计表!$L:$L,$B119,终端客户销售统计表!$H:$H,$D119,终端客户销售统计表!$G:$G,"6月"))/10000</f>
        <v>0</v>
      </c>
      <c r="N119" s="29">
        <f>(SUMIFS(终端客户销售统计表!$K:$K,终端客户销售统计表!$L:$L,$B119,终端客户销售统计表!$H:$H,$D119,终端客户销售统计表!$G:$G,"7月")+SUMIFS(终端客户销售统计表!$K:$K,终端客户销售统计表!$L:$L,$B119,终端客户销售统计表!$H:$H,$D119,终端客户销售统计表!$G:$G,"8月")+SUMIFS(终端客户销售统计表!$K:$K,终端客户销售统计表!$L:$L,$B119,终端客户销售统计表!$H:$H,$D119,终端客户销售统计表!$G:$G,"9月"))/10000</f>
        <v>0</v>
      </c>
      <c r="O119" s="29">
        <f>(SUMIFS(终端客户销售统计表!$K:$K,终端客户销售统计表!$L:$L,$B119,终端客户销售统计表!$H:$H,$D119,终端客户销售统计表!$G:$G,"10月")+SUMIFS(终端客户销售统计表!$K:$K,终端客户销售统计表!$L:$L,$B119,终端客户销售统计表!$H:$H,$D119,终端客户销售统计表!$G:$G,"11月")+SUMIFS(终端客户销售统计表!$K:$K,终端客户销售统计表!$L:$L,$B119,终端客户销售统计表!$H:$H,$D119,终端客户销售统计表!$G:$G,"12月"))/10000</f>
        <v>0</v>
      </c>
      <c r="P119" s="29">
        <f>SUM(L119:O119)</f>
        <v>0</v>
      </c>
      <c r="Q119" s="44" t="str">
        <f t="shared" si="13"/>
        <v/>
      </c>
      <c r="R119" s="29">
        <f>(SUMIFS('代理商-进货明细表'!$I:$I,'代理商-进货明细表'!$B:$B,'代理商-产品进销存'!$B119,'代理商-进货明细表'!$F:$F,'代理商-产品进销存'!$D119,'代理商-进货明细表'!$E:$E,"1月")+SUMIFS('代理商-进货明细表'!$I:$I,'代理商-进货明细表'!$B:$B,'代理商-产品进销存'!$B119,'代理商-进货明细表'!$F:$F,'代理商-产品进销存'!$D119,'代理商-进货明细表'!$E:$E,"2月")+SUMIFS('代理商-进货明细表'!$I:$I,'代理商-进货明细表'!$B:$B,'代理商-产品进销存'!$B119,'代理商-进货明细表'!$F:$F,'代理商-产品进销存'!$D119,'代理商-进货明细表'!$E:$E,"3月"))/10000</f>
        <v>0</v>
      </c>
      <c r="S119" s="29">
        <f>(SUMIFS('代理商-进货明细表'!$I:$I,'代理商-进货明细表'!$B:$B,'代理商-产品进销存'!$B119,'代理商-进货明细表'!$F:$F,'代理商-产品进销存'!$D119,'代理商-进货明细表'!$E:$E,"4月")+SUMIFS('代理商-进货明细表'!$I:$I,'代理商-进货明细表'!$B:$B,'代理商-产品进销存'!$B119,'代理商-进货明细表'!$F:$F,'代理商-产品进销存'!$D119,'代理商-进货明细表'!$E:$E,"5月")+SUMIFS('代理商-进货明细表'!$I:$I,'代理商-进货明细表'!$B:$B,'代理商-产品进销存'!$B119,'代理商-进货明细表'!$F:$F,'代理商-产品进销存'!$D119,'代理商-进货明细表'!$E:$E,"6月"))/10000</f>
        <v>0</v>
      </c>
      <c r="T119" s="29">
        <f>(SUMIFS('代理商-进货明细表'!$I:$I,'代理商-进货明细表'!$B:$B,'代理商-产品进销存'!$B119,'代理商-进货明细表'!$F:$F,'代理商-产品进销存'!$D119,'代理商-进货明细表'!$E:$E,"7月")+SUMIFS('代理商-进货明细表'!$I:$I,'代理商-进货明细表'!$B:$B,'代理商-产品进销存'!$B119,'代理商-进货明细表'!$F:$F,'代理商-产品进销存'!$D119,'代理商-进货明细表'!$E:$E,"8月")+SUMIFS('代理商-进货明细表'!$I:$I,'代理商-进货明细表'!$B:$B,'代理商-产品进销存'!$B119,'代理商-进货明细表'!$F:$F,'代理商-产品进销存'!$D119,'代理商-进货明细表'!$E:$E,"9月"))/10000</f>
        <v>0</v>
      </c>
      <c r="U119" s="29">
        <f>(SUMIFS('代理商-进货明细表'!$I:$I,'代理商-进货明细表'!$B:$B,'代理商-产品进销存'!$B119,'代理商-进货明细表'!$F:$F,'代理商-产品进销存'!$D119,'代理商-进货明细表'!$E:$E,"10月")+SUMIFS('代理商-进货明细表'!$I:$I,'代理商-进货明细表'!$B:$B,'代理商-产品进销存'!$B119,'代理商-进货明细表'!$F:$F,'代理商-产品进销存'!$D119,'代理商-进货明细表'!$E:$E,"11月")+SUMIFS('代理商-进货明细表'!$I:$I,'代理商-进货明细表'!$B:$B,'代理商-产品进销存'!$B119,'代理商-进货明细表'!$F:$F,'代理商-产品进销存'!$D119,'代理商-进货明细表'!$E:$E,"12月"))/10000</f>
        <v>0</v>
      </c>
      <c r="V119" s="29">
        <f t="shared" si="14"/>
        <v>0</v>
      </c>
      <c r="W119" s="29">
        <f t="shared" si="15"/>
        <v>0</v>
      </c>
      <c r="X119" s="29">
        <f t="shared" si="16"/>
        <v>0</v>
      </c>
      <c r="Y119" s="29">
        <f t="shared" si="17"/>
        <v>0</v>
      </c>
      <c r="Z119" s="29">
        <f t="shared" si="18"/>
        <v>0</v>
      </c>
      <c r="AA119" s="29">
        <f t="shared" si="19"/>
        <v>0</v>
      </c>
    </row>
    <row r="120" spans="1:27" x14ac:dyDescent="0.3">
      <c r="A120" s="2" t="s">
        <v>190</v>
      </c>
      <c r="B120" s="2" t="s">
        <v>112</v>
      </c>
      <c r="D120" s="3" t="s">
        <v>15</v>
      </c>
      <c r="L120" s="29">
        <f>(SUMIFS(终端客户销售统计表!$K:$K,终端客户销售统计表!$L:$L,$B120,终端客户销售统计表!$H:$H,$D120,终端客户销售统计表!$G:$G,"1月")+SUMIFS(终端客户销售统计表!$K:$K,终端客户销售统计表!$L:$L,$B120,终端客户销售统计表!$H:$H,$D120,终端客户销售统计表!$G:$G,"2月")+SUMIFS(终端客户销售统计表!$K:$K,终端客户销售统计表!$L:$L,$B120,终端客户销售统计表!$H:$H,$D120,终端客户销售统计表!$G:$G,"3月"))/10000</f>
        <v>0</v>
      </c>
      <c r="M120" s="29">
        <f>(SUMIFS(终端客户销售统计表!$K:$K,终端客户销售统计表!$L:$L,$B120,终端客户销售统计表!$H:$H,$D120,终端客户销售统计表!$G:$G,"4月")+SUMIFS(终端客户销售统计表!$K:$K,终端客户销售统计表!$L:$L,$B120,终端客户销售统计表!$H:$H,$D120,终端客户销售统计表!$G:$G,"5月")+SUMIFS(终端客户销售统计表!$K:$K,终端客户销售统计表!$L:$L,$B120,终端客户销售统计表!$H:$H,$D120,终端客户销售统计表!$G:$G,"6月"))/10000</f>
        <v>0</v>
      </c>
      <c r="N120" s="29">
        <f>(SUMIFS(终端客户销售统计表!$K:$K,终端客户销售统计表!$L:$L,$B120,终端客户销售统计表!$H:$H,$D120,终端客户销售统计表!$G:$G,"7月")+SUMIFS(终端客户销售统计表!$K:$K,终端客户销售统计表!$L:$L,$B120,终端客户销售统计表!$H:$H,$D120,终端客户销售统计表!$G:$G,"8月")+SUMIFS(终端客户销售统计表!$K:$K,终端客户销售统计表!$L:$L,$B120,终端客户销售统计表!$H:$H,$D120,终端客户销售统计表!$G:$G,"9月"))/10000</f>
        <v>0</v>
      </c>
      <c r="O120" s="29">
        <f>(SUMIFS(终端客户销售统计表!$K:$K,终端客户销售统计表!$L:$L,$B120,终端客户销售统计表!$H:$H,$D120,终端客户销售统计表!$G:$G,"10月")+SUMIFS(终端客户销售统计表!$K:$K,终端客户销售统计表!$L:$L,$B120,终端客户销售统计表!$H:$H,$D120,终端客户销售统计表!$G:$G,"11月")+SUMIFS(终端客户销售统计表!$K:$K,终端客户销售统计表!$L:$L,$B120,终端客户销售统计表!$H:$H,$D120,终端客户销售统计表!$G:$G,"12月"))/10000</f>
        <v>0</v>
      </c>
      <c r="P120" s="29">
        <f>SUM(L120:O120)</f>
        <v>0</v>
      </c>
      <c r="Q120" s="44" t="str">
        <f t="shared" si="13"/>
        <v/>
      </c>
      <c r="R120" s="29">
        <f>(SUMIFS('代理商-进货明细表'!$I:$I,'代理商-进货明细表'!$B:$B,'代理商-产品进销存'!$B120,'代理商-进货明细表'!$F:$F,'代理商-产品进销存'!$D120,'代理商-进货明细表'!$E:$E,"1月")+SUMIFS('代理商-进货明细表'!$I:$I,'代理商-进货明细表'!$B:$B,'代理商-产品进销存'!$B120,'代理商-进货明细表'!$F:$F,'代理商-产品进销存'!$D120,'代理商-进货明细表'!$E:$E,"2月")+SUMIFS('代理商-进货明细表'!$I:$I,'代理商-进货明细表'!$B:$B,'代理商-产品进销存'!$B120,'代理商-进货明细表'!$F:$F,'代理商-产品进销存'!$D120,'代理商-进货明细表'!$E:$E,"3月"))/10000</f>
        <v>0</v>
      </c>
      <c r="S120" s="29">
        <f>(SUMIFS('代理商-进货明细表'!$I:$I,'代理商-进货明细表'!$B:$B,'代理商-产品进销存'!$B120,'代理商-进货明细表'!$F:$F,'代理商-产品进销存'!$D120,'代理商-进货明细表'!$E:$E,"4月")+SUMIFS('代理商-进货明细表'!$I:$I,'代理商-进货明细表'!$B:$B,'代理商-产品进销存'!$B120,'代理商-进货明细表'!$F:$F,'代理商-产品进销存'!$D120,'代理商-进货明细表'!$E:$E,"5月")+SUMIFS('代理商-进货明细表'!$I:$I,'代理商-进货明细表'!$B:$B,'代理商-产品进销存'!$B120,'代理商-进货明细表'!$F:$F,'代理商-产品进销存'!$D120,'代理商-进货明细表'!$E:$E,"6月"))/10000</f>
        <v>0</v>
      </c>
      <c r="T120" s="29">
        <f>(SUMIFS('代理商-进货明细表'!$I:$I,'代理商-进货明细表'!$B:$B,'代理商-产品进销存'!$B120,'代理商-进货明细表'!$F:$F,'代理商-产品进销存'!$D120,'代理商-进货明细表'!$E:$E,"7月")+SUMIFS('代理商-进货明细表'!$I:$I,'代理商-进货明细表'!$B:$B,'代理商-产品进销存'!$B120,'代理商-进货明细表'!$F:$F,'代理商-产品进销存'!$D120,'代理商-进货明细表'!$E:$E,"8月")+SUMIFS('代理商-进货明细表'!$I:$I,'代理商-进货明细表'!$B:$B,'代理商-产品进销存'!$B120,'代理商-进货明细表'!$F:$F,'代理商-产品进销存'!$D120,'代理商-进货明细表'!$E:$E,"9月"))/10000</f>
        <v>0</v>
      </c>
      <c r="U120" s="29">
        <f>(SUMIFS('代理商-进货明细表'!$I:$I,'代理商-进货明细表'!$B:$B,'代理商-产品进销存'!$B120,'代理商-进货明细表'!$F:$F,'代理商-产品进销存'!$D120,'代理商-进货明细表'!$E:$E,"10月")+SUMIFS('代理商-进货明细表'!$I:$I,'代理商-进货明细表'!$B:$B,'代理商-产品进销存'!$B120,'代理商-进货明细表'!$F:$F,'代理商-产品进销存'!$D120,'代理商-进货明细表'!$E:$E,"11月")+SUMIFS('代理商-进货明细表'!$I:$I,'代理商-进货明细表'!$B:$B,'代理商-产品进销存'!$B120,'代理商-进货明细表'!$F:$F,'代理商-产品进销存'!$D120,'代理商-进货明细表'!$E:$E,"12月"))/10000</f>
        <v>0</v>
      </c>
      <c r="V120" s="29">
        <f t="shared" si="14"/>
        <v>0</v>
      </c>
      <c r="W120" s="29">
        <f t="shared" si="15"/>
        <v>0</v>
      </c>
      <c r="X120" s="29">
        <f t="shared" si="16"/>
        <v>0</v>
      </c>
      <c r="Y120" s="29">
        <f t="shared" si="17"/>
        <v>0</v>
      </c>
      <c r="Z120" s="29">
        <f t="shared" si="18"/>
        <v>0</v>
      </c>
      <c r="AA120" s="29">
        <f t="shared" si="19"/>
        <v>0</v>
      </c>
    </row>
    <row r="121" spans="1:27" x14ac:dyDescent="0.3">
      <c r="A121" s="2" t="s">
        <v>190</v>
      </c>
      <c r="B121" s="2" t="s">
        <v>112</v>
      </c>
      <c r="D121" s="3" t="s">
        <v>16</v>
      </c>
      <c r="L121" s="29">
        <f>(SUMIFS(终端客户销售统计表!$K:$K,终端客户销售统计表!$L:$L,$B121,终端客户销售统计表!$H:$H,$D121,终端客户销售统计表!$G:$G,"1月")+SUMIFS(终端客户销售统计表!$K:$K,终端客户销售统计表!$L:$L,$B121,终端客户销售统计表!$H:$H,$D121,终端客户销售统计表!$G:$G,"2月")+SUMIFS(终端客户销售统计表!$K:$K,终端客户销售统计表!$L:$L,$B121,终端客户销售统计表!$H:$H,$D121,终端客户销售统计表!$G:$G,"3月"))/10000</f>
        <v>0</v>
      </c>
      <c r="M121" s="29">
        <f>(SUMIFS(终端客户销售统计表!$K:$K,终端客户销售统计表!$L:$L,$B121,终端客户销售统计表!$H:$H,$D121,终端客户销售统计表!$G:$G,"4月")+SUMIFS(终端客户销售统计表!$K:$K,终端客户销售统计表!$L:$L,$B121,终端客户销售统计表!$H:$H,$D121,终端客户销售统计表!$G:$G,"5月")+SUMIFS(终端客户销售统计表!$K:$K,终端客户销售统计表!$L:$L,$B121,终端客户销售统计表!$H:$H,$D121,终端客户销售统计表!$G:$G,"6月"))/10000</f>
        <v>0</v>
      </c>
      <c r="N121" s="29">
        <f>(SUMIFS(终端客户销售统计表!$K:$K,终端客户销售统计表!$L:$L,$B121,终端客户销售统计表!$H:$H,$D121,终端客户销售统计表!$G:$G,"7月")+SUMIFS(终端客户销售统计表!$K:$K,终端客户销售统计表!$L:$L,$B121,终端客户销售统计表!$H:$H,$D121,终端客户销售统计表!$G:$G,"8月")+SUMIFS(终端客户销售统计表!$K:$K,终端客户销售统计表!$L:$L,$B121,终端客户销售统计表!$H:$H,$D121,终端客户销售统计表!$G:$G,"9月"))/10000</f>
        <v>0</v>
      </c>
      <c r="O121" s="29">
        <f>(SUMIFS(终端客户销售统计表!$K:$K,终端客户销售统计表!$L:$L,$B121,终端客户销售统计表!$H:$H,$D121,终端客户销售统计表!$G:$G,"10月")+SUMIFS(终端客户销售统计表!$K:$K,终端客户销售统计表!$L:$L,$B121,终端客户销售统计表!$H:$H,$D121,终端客户销售统计表!$G:$G,"11月")+SUMIFS(终端客户销售统计表!$K:$K,终端客户销售统计表!$L:$L,$B121,终端客户销售统计表!$H:$H,$D121,终端客户销售统计表!$G:$G,"12月"))/10000</f>
        <v>0</v>
      </c>
      <c r="P121" s="29">
        <f>SUM(L121:O121)</f>
        <v>0</v>
      </c>
      <c r="Q121" s="44" t="str">
        <f t="shared" si="13"/>
        <v/>
      </c>
      <c r="R121" s="29">
        <f>(SUMIFS('代理商-进货明细表'!$I:$I,'代理商-进货明细表'!$B:$B,'代理商-产品进销存'!$B121,'代理商-进货明细表'!$F:$F,'代理商-产品进销存'!$D121,'代理商-进货明细表'!$E:$E,"1月")+SUMIFS('代理商-进货明细表'!$I:$I,'代理商-进货明细表'!$B:$B,'代理商-产品进销存'!$B121,'代理商-进货明细表'!$F:$F,'代理商-产品进销存'!$D121,'代理商-进货明细表'!$E:$E,"2月")+SUMIFS('代理商-进货明细表'!$I:$I,'代理商-进货明细表'!$B:$B,'代理商-产品进销存'!$B121,'代理商-进货明细表'!$F:$F,'代理商-产品进销存'!$D121,'代理商-进货明细表'!$E:$E,"3月"))/10000</f>
        <v>0</v>
      </c>
      <c r="S121" s="29">
        <f>(SUMIFS('代理商-进货明细表'!$I:$I,'代理商-进货明细表'!$B:$B,'代理商-产品进销存'!$B121,'代理商-进货明细表'!$F:$F,'代理商-产品进销存'!$D121,'代理商-进货明细表'!$E:$E,"4月")+SUMIFS('代理商-进货明细表'!$I:$I,'代理商-进货明细表'!$B:$B,'代理商-产品进销存'!$B121,'代理商-进货明细表'!$F:$F,'代理商-产品进销存'!$D121,'代理商-进货明细表'!$E:$E,"5月")+SUMIFS('代理商-进货明细表'!$I:$I,'代理商-进货明细表'!$B:$B,'代理商-产品进销存'!$B121,'代理商-进货明细表'!$F:$F,'代理商-产品进销存'!$D121,'代理商-进货明细表'!$E:$E,"6月"))/10000</f>
        <v>0</v>
      </c>
      <c r="T121" s="29">
        <f>(SUMIFS('代理商-进货明细表'!$I:$I,'代理商-进货明细表'!$B:$B,'代理商-产品进销存'!$B121,'代理商-进货明细表'!$F:$F,'代理商-产品进销存'!$D121,'代理商-进货明细表'!$E:$E,"7月")+SUMIFS('代理商-进货明细表'!$I:$I,'代理商-进货明细表'!$B:$B,'代理商-产品进销存'!$B121,'代理商-进货明细表'!$F:$F,'代理商-产品进销存'!$D121,'代理商-进货明细表'!$E:$E,"8月")+SUMIFS('代理商-进货明细表'!$I:$I,'代理商-进货明细表'!$B:$B,'代理商-产品进销存'!$B121,'代理商-进货明细表'!$F:$F,'代理商-产品进销存'!$D121,'代理商-进货明细表'!$E:$E,"9月"))/10000</f>
        <v>0</v>
      </c>
      <c r="U121" s="29">
        <f>(SUMIFS('代理商-进货明细表'!$I:$I,'代理商-进货明细表'!$B:$B,'代理商-产品进销存'!$B121,'代理商-进货明细表'!$F:$F,'代理商-产品进销存'!$D121,'代理商-进货明细表'!$E:$E,"10月")+SUMIFS('代理商-进货明细表'!$I:$I,'代理商-进货明细表'!$B:$B,'代理商-产品进销存'!$B121,'代理商-进货明细表'!$F:$F,'代理商-产品进销存'!$D121,'代理商-进货明细表'!$E:$E,"11月")+SUMIFS('代理商-进货明细表'!$I:$I,'代理商-进货明细表'!$B:$B,'代理商-产品进销存'!$B121,'代理商-进货明细表'!$F:$F,'代理商-产品进销存'!$D121,'代理商-进货明细表'!$E:$E,"12月"))/10000</f>
        <v>0</v>
      </c>
      <c r="V121" s="29">
        <f t="shared" si="14"/>
        <v>0</v>
      </c>
      <c r="W121" s="29">
        <f t="shared" si="15"/>
        <v>0</v>
      </c>
      <c r="X121" s="29">
        <f t="shared" si="16"/>
        <v>0</v>
      </c>
      <c r="Y121" s="29">
        <f t="shared" si="17"/>
        <v>0</v>
      </c>
      <c r="Z121" s="29">
        <f t="shared" si="18"/>
        <v>0</v>
      </c>
      <c r="AA121" s="29">
        <f t="shared" si="19"/>
        <v>0</v>
      </c>
    </row>
    <row r="122" spans="1:27" x14ac:dyDescent="0.3">
      <c r="A122" s="2" t="s">
        <v>190</v>
      </c>
      <c r="B122" s="2" t="s">
        <v>112</v>
      </c>
      <c r="D122" s="3" t="s">
        <v>17</v>
      </c>
      <c r="L122" s="29">
        <f>(SUMIFS(终端客户销售统计表!$K:$K,终端客户销售统计表!$L:$L,$B122,终端客户销售统计表!$H:$H,$D122,终端客户销售统计表!$G:$G,"1月")+SUMIFS(终端客户销售统计表!$K:$K,终端客户销售统计表!$L:$L,$B122,终端客户销售统计表!$H:$H,$D122,终端客户销售统计表!$G:$G,"2月")+SUMIFS(终端客户销售统计表!$K:$K,终端客户销售统计表!$L:$L,$B122,终端客户销售统计表!$H:$H,$D122,终端客户销售统计表!$G:$G,"3月"))/10000</f>
        <v>0</v>
      </c>
      <c r="M122" s="29">
        <f>(SUMIFS(终端客户销售统计表!$K:$K,终端客户销售统计表!$L:$L,$B122,终端客户销售统计表!$H:$H,$D122,终端客户销售统计表!$G:$G,"4月")+SUMIFS(终端客户销售统计表!$K:$K,终端客户销售统计表!$L:$L,$B122,终端客户销售统计表!$H:$H,$D122,终端客户销售统计表!$G:$G,"5月")+SUMIFS(终端客户销售统计表!$K:$K,终端客户销售统计表!$L:$L,$B122,终端客户销售统计表!$H:$H,$D122,终端客户销售统计表!$G:$G,"6月"))/10000</f>
        <v>0</v>
      </c>
      <c r="N122" s="29">
        <f>(SUMIFS(终端客户销售统计表!$K:$K,终端客户销售统计表!$L:$L,$B122,终端客户销售统计表!$H:$H,$D122,终端客户销售统计表!$G:$G,"7月")+SUMIFS(终端客户销售统计表!$K:$K,终端客户销售统计表!$L:$L,$B122,终端客户销售统计表!$H:$H,$D122,终端客户销售统计表!$G:$G,"8月")+SUMIFS(终端客户销售统计表!$K:$K,终端客户销售统计表!$L:$L,$B122,终端客户销售统计表!$H:$H,$D122,终端客户销售统计表!$G:$G,"9月"))/10000</f>
        <v>0</v>
      </c>
      <c r="O122" s="29">
        <f>(SUMIFS(终端客户销售统计表!$K:$K,终端客户销售统计表!$L:$L,$B122,终端客户销售统计表!$H:$H,$D122,终端客户销售统计表!$G:$G,"10月")+SUMIFS(终端客户销售统计表!$K:$K,终端客户销售统计表!$L:$L,$B122,终端客户销售统计表!$H:$H,$D122,终端客户销售统计表!$G:$G,"11月")+SUMIFS(终端客户销售统计表!$K:$K,终端客户销售统计表!$L:$L,$B122,终端客户销售统计表!$H:$H,$D122,终端客户销售统计表!$G:$G,"12月"))/10000</f>
        <v>0</v>
      </c>
      <c r="P122" s="29">
        <f>SUM(L122:O122)</f>
        <v>0</v>
      </c>
      <c r="Q122" s="44" t="str">
        <f t="shared" si="13"/>
        <v/>
      </c>
      <c r="R122" s="29">
        <f>(SUMIFS('代理商-进货明细表'!$I:$I,'代理商-进货明细表'!$B:$B,'代理商-产品进销存'!$B122,'代理商-进货明细表'!$F:$F,'代理商-产品进销存'!$D122,'代理商-进货明细表'!$E:$E,"1月")+SUMIFS('代理商-进货明细表'!$I:$I,'代理商-进货明细表'!$B:$B,'代理商-产品进销存'!$B122,'代理商-进货明细表'!$F:$F,'代理商-产品进销存'!$D122,'代理商-进货明细表'!$E:$E,"2月")+SUMIFS('代理商-进货明细表'!$I:$I,'代理商-进货明细表'!$B:$B,'代理商-产品进销存'!$B122,'代理商-进货明细表'!$F:$F,'代理商-产品进销存'!$D122,'代理商-进货明细表'!$E:$E,"3月"))/10000</f>
        <v>0</v>
      </c>
      <c r="S122" s="29">
        <f>(SUMIFS('代理商-进货明细表'!$I:$I,'代理商-进货明细表'!$B:$B,'代理商-产品进销存'!$B122,'代理商-进货明细表'!$F:$F,'代理商-产品进销存'!$D122,'代理商-进货明细表'!$E:$E,"4月")+SUMIFS('代理商-进货明细表'!$I:$I,'代理商-进货明细表'!$B:$B,'代理商-产品进销存'!$B122,'代理商-进货明细表'!$F:$F,'代理商-产品进销存'!$D122,'代理商-进货明细表'!$E:$E,"5月")+SUMIFS('代理商-进货明细表'!$I:$I,'代理商-进货明细表'!$B:$B,'代理商-产品进销存'!$B122,'代理商-进货明细表'!$F:$F,'代理商-产品进销存'!$D122,'代理商-进货明细表'!$E:$E,"6月"))/10000</f>
        <v>0</v>
      </c>
      <c r="T122" s="29">
        <f>(SUMIFS('代理商-进货明细表'!$I:$I,'代理商-进货明细表'!$B:$B,'代理商-产品进销存'!$B122,'代理商-进货明细表'!$F:$F,'代理商-产品进销存'!$D122,'代理商-进货明细表'!$E:$E,"7月")+SUMIFS('代理商-进货明细表'!$I:$I,'代理商-进货明细表'!$B:$B,'代理商-产品进销存'!$B122,'代理商-进货明细表'!$F:$F,'代理商-产品进销存'!$D122,'代理商-进货明细表'!$E:$E,"8月")+SUMIFS('代理商-进货明细表'!$I:$I,'代理商-进货明细表'!$B:$B,'代理商-产品进销存'!$B122,'代理商-进货明细表'!$F:$F,'代理商-产品进销存'!$D122,'代理商-进货明细表'!$E:$E,"9月"))/10000</f>
        <v>0</v>
      </c>
      <c r="U122" s="29">
        <f>(SUMIFS('代理商-进货明细表'!$I:$I,'代理商-进货明细表'!$B:$B,'代理商-产品进销存'!$B122,'代理商-进货明细表'!$F:$F,'代理商-产品进销存'!$D122,'代理商-进货明细表'!$E:$E,"10月")+SUMIFS('代理商-进货明细表'!$I:$I,'代理商-进货明细表'!$B:$B,'代理商-产品进销存'!$B122,'代理商-进货明细表'!$F:$F,'代理商-产品进销存'!$D122,'代理商-进货明细表'!$E:$E,"11月")+SUMIFS('代理商-进货明细表'!$I:$I,'代理商-进货明细表'!$B:$B,'代理商-产品进销存'!$B122,'代理商-进货明细表'!$F:$F,'代理商-产品进销存'!$D122,'代理商-进货明细表'!$E:$E,"12月"))/10000</f>
        <v>0</v>
      </c>
      <c r="V122" s="29">
        <f t="shared" si="14"/>
        <v>0</v>
      </c>
      <c r="W122" s="29">
        <f t="shared" si="15"/>
        <v>0</v>
      </c>
      <c r="X122" s="29">
        <f t="shared" si="16"/>
        <v>0</v>
      </c>
      <c r="Y122" s="29">
        <f t="shared" si="17"/>
        <v>0</v>
      </c>
      <c r="Z122" s="29">
        <f t="shared" si="18"/>
        <v>0</v>
      </c>
      <c r="AA122" s="29">
        <f t="shared" si="19"/>
        <v>0</v>
      </c>
    </row>
    <row r="123" spans="1:27" x14ac:dyDescent="0.3">
      <c r="A123" s="2" t="s">
        <v>191</v>
      </c>
      <c r="B123" s="2" t="s">
        <v>113</v>
      </c>
      <c r="D123" s="3" t="s">
        <v>14</v>
      </c>
      <c r="L123" s="29">
        <f>(SUMIFS(终端客户销售统计表!$K:$K,终端客户销售统计表!$L:$L,$B123,终端客户销售统计表!$H:$H,$D123,终端客户销售统计表!$G:$G,"1月")+SUMIFS(终端客户销售统计表!$K:$K,终端客户销售统计表!$L:$L,$B123,终端客户销售统计表!$H:$H,$D123,终端客户销售统计表!$G:$G,"2月")+SUMIFS(终端客户销售统计表!$K:$K,终端客户销售统计表!$L:$L,$B123,终端客户销售统计表!$H:$H,$D123,终端客户销售统计表!$G:$G,"3月"))/10000</f>
        <v>0</v>
      </c>
      <c r="M123" s="29">
        <f>(SUMIFS(终端客户销售统计表!$K:$K,终端客户销售统计表!$L:$L,$B123,终端客户销售统计表!$H:$H,$D123,终端客户销售统计表!$G:$G,"4月")+SUMIFS(终端客户销售统计表!$K:$K,终端客户销售统计表!$L:$L,$B123,终端客户销售统计表!$H:$H,$D123,终端客户销售统计表!$G:$G,"5月")+SUMIFS(终端客户销售统计表!$K:$K,终端客户销售统计表!$L:$L,$B123,终端客户销售统计表!$H:$H,$D123,终端客户销售统计表!$G:$G,"6月"))/10000</f>
        <v>0</v>
      </c>
      <c r="N123" s="29">
        <f>(SUMIFS(终端客户销售统计表!$K:$K,终端客户销售统计表!$L:$L,$B123,终端客户销售统计表!$H:$H,$D123,终端客户销售统计表!$G:$G,"7月")+SUMIFS(终端客户销售统计表!$K:$K,终端客户销售统计表!$L:$L,$B123,终端客户销售统计表!$H:$H,$D123,终端客户销售统计表!$G:$G,"8月")+SUMIFS(终端客户销售统计表!$K:$K,终端客户销售统计表!$L:$L,$B123,终端客户销售统计表!$H:$H,$D123,终端客户销售统计表!$G:$G,"9月"))/10000</f>
        <v>0</v>
      </c>
      <c r="O123" s="29">
        <f>(SUMIFS(终端客户销售统计表!$K:$K,终端客户销售统计表!$L:$L,$B123,终端客户销售统计表!$H:$H,$D123,终端客户销售统计表!$G:$G,"10月")+SUMIFS(终端客户销售统计表!$K:$K,终端客户销售统计表!$L:$L,$B123,终端客户销售统计表!$H:$H,$D123,终端客户销售统计表!$G:$G,"11月")+SUMIFS(终端客户销售统计表!$K:$K,终端客户销售统计表!$L:$L,$B123,终端客户销售统计表!$H:$H,$D123,终端客户销售统计表!$G:$G,"12月"))/10000</f>
        <v>0</v>
      </c>
      <c r="P123" s="29">
        <f>SUM(L123:O123)</f>
        <v>0</v>
      </c>
      <c r="Q123" s="44" t="str">
        <f t="shared" si="13"/>
        <v/>
      </c>
      <c r="R123" s="29">
        <f>(SUMIFS('代理商-进货明细表'!$I:$I,'代理商-进货明细表'!$B:$B,'代理商-产品进销存'!$B123,'代理商-进货明细表'!$F:$F,'代理商-产品进销存'!$D123,'代理商-进货明细表'!$E:$E,"1月")+SUMIFS('代理商-进货明细表'!$I:$I,'代理商-进货明细表'!$B:$B,'代理商-产品进销存'!$B123,'代理商-进货明细表'!$F:$F,'代理商-产品进销存'!$D123,'代理商-进货明细表'!$E:$E,"2月")+SUMIFS('代理商-进货明细表'!$I:$I,'代理商-进货明细表'!$B:$B,'代理商-产品进销存'!$B123,'代理商-进货明细表'!$F:$F,'代理商-产品进销存'!$D123,'代理商-进货明细表'!$E:$E,"3月"))/10000</f>
        <v>0</v>
      </c>
      <c r="S123" s="29">
        <f>(SUMIFS('代理商-进货明细表'!$I:$I,'代理商-进货明细表'!$B:$B,'代理商-产品进销存'!$B123,'代理商-进货明细表'!$F:$F,'代理商-产品进销存'!$D123,'代理商-进货明细表'!$E:$E,"4月")+SUMIFS('代理商-进货明细表'!$I:$I,'代理商-进货明细表'!$B:$B,'代理商-产品进销存'!$B123,'代理商-进货明细表'!$F:$F,'代理商-产品进销存'!$D123,'代理商-进货明细表'!$E:$E,"5月")+SUMIFS('代理商-进货明细表'!$I:$I,'代理商-进货明细表'!$B:$B,'代理商-产品进销存'!$B123,'代理商-进货明细表'!$F:$F,'代理商-产品进销存'!$D123,'代理商-进货明细表'!$E:$E,"6月"))/10000</f>
        <v>0</v>
      </c>
      <c r="T123" s="29">
        <f>(SUMIFS('代理商-进货明细表'!$I:$I,'代理商-进货明细表'!$B:$B,'代理商-产品进销存'!$B123,'代理商-进货明细表'!$F:$F,'代理商-产品进销存'!$D123,'代理商-进货明细表'!$E:$E,"7月")+SUMIFS('代理商-进货明细表'!$I:$I,'代理商-进货明细表'!$B:$B,'代理商-产品进销存'!$B123,'代理商-进货明细表'!$F:$F,'代理商-产品进销存'!$D123,'代理商-进货明细表'!$E:$E,"8月")+SUMIFS('代理商-进货明细表'!$I:$I,'代理商-进货明细表'!$B:$B,'代理商-产品进销存'!$B123,'代理商-进货明细表'!$F:$F,'代理商-产品进销存'!$D123,'代理商-进货明细表'!$E:$E,"9月"))/10000</f>
        <v>0</v>
      </c>
      <c r="U123" s="29">
        <f>(SUMIFS('代理商-进货明细表'!$I:$I,'代理商-进货明细表'!$B:$B,'代理商-产品进销存'!$B123,'代理商-进货明细表'!$F:$F,'代理商-产品进销存'!$D123,'代理商-进货明细表'!$E:$E,"10月")+SUMIFS('代理商-进货明细表'!$I:$I,'代理商-进货明细表'!$B:$B,'代理商-产品进销存'!$B123,'代理商-进货明细表'!$F:$F,'代理商-产品进销存'!$D123,'代理商-进货明细表'!$E:$E,"11月")+SUMIFS('代理商-进货明细表'!$I:$I,'代理商-进货明细表'!$B:$B,'代理商-产品进销存'!$B123,'代理商-进货明细表'!$F:$F,'代理商-产品进销存'!$D123,'代理商-进货明细表'!$E:$E,"12月"))/10000</f>
        <v>0</v>
      </c>
      <c r="V123" s="29">
        <f t="shared" si="14"/>
        <v>0</v>
      </c>
      <c r="W123" s="29">
        <f t="shared" si="15"/>
        <v>0</v>
      </c>
      <c r="X123" s="29">
        <f t="shared" si="16"/>
        <v>0</v>
      </c>
      <c r="Y123" s="29">
        <f t="shared" si="17"/>
        <v>0</v>
      </c>
      <c r="Z123" s="29">
        <f t="shared" si="18"/>
        <v>0</v>
      </c>
      <c r="AA123" s="29">
        <f t="shared" si="19"/>
        <v>0</v>
      </c>
    </row>
    <row r="124" spans="1:27" x14ac:dyDescent="0.3">
      <c r="A124" s="2" t="s">
        <v>191</v>
      </c>
      <c r="B124" s="2" t="s">
        <v>113</v>
      </c>
      <c r="D124" s="3" t="s">
        <v>15</v>
      </c>
      <c r="L124" s="29">
        <f>(SUMIFS(终端客户销售统计表!$K:$K,终端客户销售统计表!$L:$L,$B124,终端客户销售统计表!$H:$H,$D124,终端客户销售统计表!$G:$G,"1月")+SUMIFS(终端客户销售统计表!$K:$K,终端客户销售统计表!$L:$L,$B124,终端客户销售统计表!$H:$H,$D124,终端客户销售统计表!$G:$G,"2月")+SUMIFS(终端客户销售统计表!$K:$K,终端客户销售统计表!$L:$L,$B124,终端客户销售统计表!$H:$H,$D124,终端客户销售统计表!$G:$G,"3月"))/10000</f>
        <v>0</v>
      </c>
      <c r="M124" s="29">
        <f>(SUMIFS(终端客户销售统计表!$K:$K,终端客户销售统计表!$L:$L,$B124,终端客户销售统计表!$H:$H,$D124,终端客户销售统计表!$G:$G,"4月")+SUMIFS(终端客户销售统计表!$K:$K,终端客户销售统计表!$L:$L,$B124,终端客户销售统计表!$H:$H,$D124,终端客户销售统计表!$G:$G,"5月")+SUMIFS(终端客户销售统计表!$K:$K,终端客户销售统计表!$L:$L,$B124,终端客户销售统计表!$H:$H,$D124,终端客户销售统计表!$G:$G,"6月"))/10000</f>
        <v>0</v>
      </c>
      <c r="N124" s="29">
        <f>(SUMIFS(终端客户销售统计表!$K:$K,终端客户销售统计表!$L:$L,$B124,终端客户销售统计表!$H:$H,$D124,终端客户销售统计表!$G:$G,"7月")+SUMIFS(终端客户销售统计表!$K:$K,终端客户销售统计表!$L:$L,$B124,终端客户销售统计表!$H:$H,$D124,终端客户销售统计表!$G:$G,"8月")+SUMIFS(终端客户销售统计表!$K:$K,终端客户销售统计表!$L:$L,$B124,终端客户销售统计表!$H:$H,$D124,终端客户销售统计表!$G:$G,"9月"))/10000</f>
        <v>0</v>
      </c>
      <c r="O124" s="29">
        <f>(SUMIFS(终端客户销售统计表!$K:$K,终端客户销售统计表!$L:$L,$B124,终端客户销售统计表!$H:$H,$D124,终端客户销售统计表!$G:$G,"10月")+SUMIFS(终端客户销售统计表!$K:$K,终端客户销售统计表!$L:$L,$B124,终端客户销售统计表!$H:$H,$D124,终端客户销售统计表!$G:$G,"11月")+SUMIFS(终端客户销售统计表!$K:$K,终端客户销售统计表!$L:$L,$B124,终端客户销售统计表!$H:$H,$D124,终端客户销售统计表!$G:$G,"12月"))/10000</f>
        <v>0</v>
      </c>
      <c r="P124" s="29">
        <f>SUM(L124:O124)</f>
        <v>0</v>
      </c>
      <c r="Q124" s="44" t="str">
        <f t="shared" si="13"/>
        <v/>
      </c>
      <c r="R124" s="29">
        <f>(SUMIFS('代理商-进货明细表'!$I:$I,'代理商-进货明细表'!$B:$B,'代理商-产品进销存'!$B124,'代理商-进货明细表'!$F:$F,'代理商-产品进销存'!$D124,'代理商-进货明细表'!$E:$E,"1月")+SUMIFS('代理商-进货明细表'!$I:$I,'代理商-进货明细表'!$B:$B,'代理商-产品进销存'!$B124,'代理商-进货明细表'!$F:$F,'代理商-产品进销存'!$D124,'代理商-进货明细表'!$E:$E,"2月")+SUMIFS('代理商-进货明细表'!$I:$I,'代理商-进货明细表'!$B:$B,'代理商-产品进销存'!$B124,'代理商-进货明细表'!$F:$F,'代理商-产品进销存'!$D124,'代理商-进货明细表'!$E:$E,"3月"))/10000</f>
        <v>0</v>
      </c>
      <c r="S124" s="29">
        <f>(SUMIFS('代理商-进货明细表'!$I:$I,'代理商-进货明细表'!$B:$B,'代理商-产品进销存'!$B124,'代理商-进货明细表'!$F:$F,'代理商-产品进销存'!$D124,'代理商-进货明细表'!$E:$E,"4月")+SUMIFS('代理商-进货明细表'!$I:$I,'代理商-进货明细表'!$B:$B,'代理商-产品进销存'!$B124,'代理商-进货明细表'!$F:$F,'代理商-产品进销存'!$D124,'代理商-进货明细表'!$E:$E,"5月")+SUMIFS('代理商-进货明细表'!$I:$I,'代理商-进货明细表'!$B:$B,'代理商-产品进销存'!$B124,'代理商-进货明细表'!$F:$F,'代理商-产品进销存'!$D124,'代理商-进货明细表'!$E:$E,"6月"))/10000</f>
        <v>0</v>
      </c>
      <c r="T124" s="29">
        <f>(SUMIFS('代理商-进货明细表'!$I:$I,'代理商-进货明细表'!$B:$B,'代理商-产品进销存'!$B124,'代理商-进货明细表'!$F:$F,'代理商-产品进销存'!$D124,'代理商-进货明细表'!$E:$E,"7月")+SUMIFS('代理商-进货明细表'!$I:$I,'代理商-进货明细表'!$B:$B,'代理商-产品进销存'!$B124,'代理商-进货明细表'!$F:$F,'代理商-产品进销存'!$D124,'代理商-进货明细表'!$E:$E,"8月")+SUMIFS('代理商-进货明细表'!$I:$I,'代理商-进货明细表'!$B:$B,'代理商-产品进销存'!$B124,'代理商-进货明细表'!$F:$F,'代理商-产品进销存'!$D124,'代理商-进货明细表'!$E:$E,"9月"))/10000</f>
        <v>0</v>
      </c>
      <c r="U124" s="29">
        <f>(SUMIFS('代理商-进货明细表'!$I:$I,'代理商-进货明细表'!$B:$B,'代理商-产品进销存'!$B124,'代理商-进货明细表'!$F:$F,'代理商-产品进销存'!$D124,'代理商-进货明细表'!$E:$E,"10月")+SUMIFS('代理商-进货明细表'!$I:$I,'代理商-进货明细表'!$B:$B,'代理商-产品进销存'!$B124,'代理商-进货明细表'!$F:$F,'代理商-产品进销存'!$D124,'代理商-进货明细表'!$E:$E,"11月")+SUMIFS('代理商-进货明细表'!$I:$I,'代理商-进货明细表'!$B:$B,'代理商-产品进销存'!$B124,'代理商-进货明细表'!$F:$F,'代理商-产品进销存'!$D124,'代理商-进货明细表'!$E:$E,"12月"))/10000</f>
        <v>0</v>
      </c>
      <c r="V124" s="29">
        <f t="shared" si="14"/>
        <v>0</v>
      </c>
      <c r="W124" s="29">
        <f t="shared" si="15"/>
        <v>0</v>
      </c>
      <c r="X124" s="29">
        <f t="shared" si="16"/>
        <v>0</v>
      </c>
      <c r="Y124" s="29">
        <f t="shared" si="17"/>
        <v>0</v>
      </c>
      <c r="Z124" s="29">
        <f t="shared" si="18"/>
        <v>0</v>
      </c>
      <c r="AA124" s="29">
        <f t="shared" si="19"/>
        <v>0</v>
      </c>
    </row>
    <row r="125" spans="1:27" x14ac:dyDescent="0.3">
      <c r="A125" s="2" t="s">
        <v>191</v>
      </c>
      <c r="B125" s="2" t="s">
        <v>113</v>
      </c>
      <c r="D125" s="3" t="s">
        <v>16</v>
      </c>
      <c r="L125" s="29">
        <f>(SUMIFS(终端客户销售统计表!$K:$K,终端客户销售统计表!$L:$L,$B125,终端客户销售统计表!$H:$H,$D125,终端客户销售统计表!$G:$G,"1月")+SUMIFS(终端客户销售统计表!$K:$K,终端客户销售统计表!$L:$L,$B125,终端客户销售统计表!$H:$H,$D125,终端客户销售统计表!$G:$G,"2月")+SUMIFS(终端客户销售统计表!$K:$K,终端客户销售统计表!$L:$L,$B125,终端客户销售统计表!$H:$H,$D125,终端客户销售统计表!$G:$G,"3月"))/10000</f>
        <v>0</v>
      </c>
      <c r="M125" s="29">
        <f>(SUMIFS(终端客户销售统计表!$K:$K,终端客户销售统计表!$L:$L,$B125,终端客户销售统计表!$H:$H,$D125,终端客户销售统计表!$G:$G,"4月")+SUMIFS(终端客户销售统计表!$K:$K,终端客户销售统计表!$L:$L,$B125,终端客户销售统计表!$H:$H,$D125,终端客户销售统计表!$G:$G,"5月")+SUMIFS(终端客户销售统计表!$K:$K,终端客户销售统计表!$L:$L,$B125,终端客户销售统计表!$H:$H,$D125,终端客户销售统计表!$G:$G,"6月"))/10000</f>
        <v>0</v>
      </c>
      <c r="N125" s="29">
        <f>(SUMIFS(终端客户销售统计表!$K:$K,终端客户销售统计表!$L:$L,$B125,终端客户销售统计表!$H:$H,$D125,终端客户销售统计表!$G:$G,"7月")+SUMIFS(终端客户销售统计表!$K:$K,终端客户销售统计表!$L:$L,$B125,终端客户销售统计表!$H:$H,$D125,终端客户销售统计表!$G:$G,"8月")+SUMIFS(终端客户销售统计表!$K:$K,终端客户销售统计表!$L:$L,$B125,终端客户销售统计表!$H:$H,$D125,终端客户销售统计表!$G:$G,"9月"))/10000</f>
        <v>0</v>
      </c>
      <c r="O125" s="29">
        <f>(SUMIFS(终端客户销售统计表!$K:$K,终端客户销售统计表!$L:$L,$B125,终端客户销售统计表!$H:$H,$D125,终端客户销售统计表!$G:$G,"10月")+SUMIFS(终端客户销售统计表!$K:$K,终端客户销售统计表!$L:$L,$B125,终端客户销售统计表!$H:$H,$D125,终端客户销售统计表!$G:$G,"11月")+SUMIFS(终端客户销售统计表!$K:$K,终端客户销售统计表!$L:$L,$B125,终端客户销售统计表!$H:$H,$D125,终端客户销售统计表!$G:$G,"12月"))/10000</f>
        <v>0</v>
      </c>
      <c r="P125" s="29">
        <f>SUM(L125:O125)</f>
        <v>0</v>
      </c>
      <c r="Q125" s="44" t="str">
        <f t="shared" si="13"/>
        <v/>
      </c>
      <c r="R125" s="29">
        <f>(SUMIFS('代理商-进货明细表'!$I:$I,'代理商-进货明细表'!$B:$B,'代理商-产品进销存'!$B125,'代理商-进货明细表'!$F:$F,'代理商-产品进销存'!$D125,'代理商-进货明细表'!$E:$E,"1月")+SUMIFS('代理商-进货明细表'!$I:$I,'代理商-进货明细表'!$B:$B,'代理商-产品进销存'!$B125,'代理商-进货明细表'!$F:$F,'代理商-产品进销存'!$D125,'代理商-进货明细表'!$E:$E,"2月")+SUMIFS('代理商-进货明细表'!$I:$I,'代理商-进货明细表'!$B:$B,'代理商-产品进销存'!$B125,'代理商-进货明细表'!$F:$F,'代理商-产品进销存'!$D125,'代理商-进货明细表'!$E:$E,"3月"))/10000</f>
        <v>0</v>
      </c>
      <c r="S125" s="29">
        <f>(SUMIFS('代理商-进货明细表'!$I:$I,'代理商-进货明细表'!$B:$B,'代理商-产品进销存'!$B125,'代理商-进货明细表'!$F:$F,'代理商-产品进销存'!$D125,'代理商-进货明细表'!$E:$E,"4月")+SUMIFS('代理商-进货明细表'!$I:$I,'代理商-进货明细表'!$B:$B,'代理商-产品进销存'!$B125,'代理商-进货明细表'!$F:$F,'代理商-产品进销存'!$D125,'代理商-进货明细表'!$E:$E,"5月")+SUMIFS('代理商-进货明细表'!$I:$I,'代理商-进货明细表'!$B:$B,'代理商-产品进销存'!$B125,'代理商-进货明细表'!$F:$F,'代理商-产品进销存'!$D125,'代理商-进货明细表'!$E:$E,"6月"))/10000</f>
        <v>0</v>
      </c>
      <c r="T125" s="29">
        <f>(SUMIFS('代理商-进货明细表'!$I:$I,'代理商-进货明细表'!$B:$B,'代理商-产品进销存'!$B125,'代理商-进货明细表'!$F:$F,'代理商-产品进销存'!$D125,'代理商-进货明细表'!$E:$E,"7月")+SUMIFS('代理商-进货明细表'!$I:$I,'代理商-进货明细表'!$B:$B,'代理商-产品进销存'!$B125,'代理商-进货明细表'!$F:$F,'代理商-产品进销存'!$D125,'代理商-进货明细表'!$E:$E,"8月")+SUMIFS('代理商-进货明细表'!$I:$I,'代理商-进货明细表'!$B:$B,'代理商-产品进销存'!$B125,'代理商-进货明细表'!$F:$F,'代理商-产品进销存'!$D125,'代理商-进货明细表'!$E:$E,"9月"))/10000</f>
        <v>0</v>
      </c>
      <c r="U125" s="29">
        <f>(SUMIFS('代理商-进货明细表'!$I:$I,'代理商-进货明细表'!$B:$B,'代理商-产品进销存'!$B125,'代理商-进货明细表'!$F:$F,'代理商-产品进销存'!$D125,'代理商-进货明细表'!$E:$E,"10月")+SUMIFS('代理商-进货明细表'!$I:$I,'代理商-进货明细表'!$B:$B,'代理商-产品进销存'!$B125,'代理商-进货明细表'!$F:$F,'代理商-产品进销存'!$D125,'代理商-进货明细表'!$E:$E,"11月")+SUMIFS('代理商-进货明细表'!$I:$I,'代理商-进货明细表'!$B:$B,'代理商-产品进销存'!$B125,'代理商-进货明细表'!$F:$F,'代理商-产品进销存'!$D125,'代理商-进货明细表'!$E:$E,"12月"))/10000</f>
        <v>0</v>
      </c>
      <c r="V125" s="29">
        <f t="shared" si="14"/>
        <v>0</v>
      </c>
      <c r="W125" s="29">
        <f t="shared" si="15"/>
        <v>0</v>
      </c>
      <c r="X125" s="29">
        <f t="shared" si="16"/>
        <v>0</v>
      </c>
      <c r="Y125" s="29">
        <f t="shared" si="17"/>
        <v>0</v>
      </c>
      <c r="Z125" s="29">
        <f t="shared" si="18"/>
        <v>0</v>
      </c>
      <c r="AA125" s="29">
        <f t="shared" si="19"/>
        <v>0</v>
      </c>
    </row>
    <row r="126" spans="1:27" x14ac:dyDescent="0.3">
      <c r="A126" s="2" t="s">
        <v>191</v>
      </c>
      <c r="B126" s="2" t="s">
        <v>113</v>
      </c>
      <c r="D126" s="3" t="s">
        <v>17</v>
      </c>
      <c r="L126" s="29">
        <f>(SUMIFS(终端客户销售统计表!$K:$K,终端客户销售统计表!$L:$L,$B126,终端客户销售统计表!$H:$H,$D126,终端客户销售统计表!$G:$G,"1月")+SUMIFS(终端客户销售统计表!$K:$K,终端客户销售统计表!$L:$L,$B126,终端客户销售统计表!$H:$H,$D126,终端客户销售统计表!$G:$G,"2月")+SUMIFS(终端客户销售统计表!$K:$K,终端客户销售统计表!$L:$L,$B126,终端客户销售统计表!$H:$H,$D126,终端客户销售统计表!$G:$G,"3月"))/10000</f>
        <v>0</v>
      </c>
      <c r="M126" s="29">
        <f>(SUMIFS(终端客户销售统计表!$K:$K,终端客户销售统计表!$L:$L,$B126,终端客户销售统计表!$H:$H,$D126,终端客户销售统计表!$G:$G,"4月")+SUMIFS(终端客户销售统计表!$K:$K,终端客户销售统计表!$L:$L,$B126,终端客户销售统计表!$H:$H,$D126,终端客户销售统计表!$G:$G,"5月")+SUMIFS(终端客户销售统计表!$K:$K,终端客户销售统计表!$L:$L,$B126,终端客户销售统计表!$H:$H,$D126,终端客户销售统计表!$G:$G,"6月"))/10000</f>
        <v>0</v>
      </c>
      <c r="N126" s="29">
        <f>(SUMIFS(终端客户销售统计表!$K:$K,终端客户销售统计表!$L:$L,$B126,终端客户销售统计表!$H:$H,$D126,终端客户销售统计表!$G:$G,"7月")+SUMIFS(终端客户销售统计表!$K:$K,终端客户销售统计表!$L:$L,$B126,终端客户销售统计表!$H:$H,$D126,终端客户销售统计表!$G:$G,"8月")+SUMIFS(终端客户销售统计表!$K:$K,终端客户销售统计表!$L:$L,$B126,终端客户销售统计表!$H:$H,$D126,终端客户销售统计表!$G:$G,"9月"))/10000</f>
        <v>0</v>
      </c>
      <c r="O126" s="29">
        <f>(SUMIFS(终端客户销售统计表!$K:$K,终端客户销售统计表!$L:$L,$B126,终端客户销售统计表!$H:$H,$D126,终端客户销售统计表!$G:$G,"10月")+SUMIFS(终端客户销售统计表!$K:$K,终端客户销售统计表!$L:$L,$B126,终端客户销售统计表!$H:$H,$D126,终端客户销售统计表!$G:$G,"11月")+SUMIFS(终端客户销售统计表!$K:$K,终端客户销售统计表!$L:$L,$B126,终端客户销售统计表!$H:$H,$D126,终端客户销售统计表!$G:$G,"12月"))/10000</f>
        <v>0</v>
      </c>
      <c r="P126" s="29">
        <f>SUM(L126:O126)</f>
        <v>0</v>
      </c>
      <c r="Q126" s="44" t="str">
        <f t="shared" si="13"/>
        <v/>
      </c>
      <c r="R126" s="29">
        <f>(SUMIFS('代理商-进货明细表'!$I:$I,'代理商-进货明细表'!$B:$B,'代理商-产品进销存'!$B126,'代理商-进货明细表'!$F:$F,'代理商-产品进销存'!$D126,'代理商-进货明细表'!$E:$E,"1月")+SUMIFS('代理商-进货明细表'!$I:$I,'代理商-进货明细表'!$B:$B,'代理商-产品进销存'!$B126,'代理商-进货明细表'!$F:$F,'代理商-产品进销存'!$D126,'代理商-进货明细表'!$E:$E,"2月")+SUMIFS('代理商-进货明细表'!$I:$I,'代理商-进货明细表'!$B:$B,'代理商-产品进销存'!$B126,'代理商-进货明细表'!$F:$F,'代理商-产品进销存'!$D126,'代理商-进货明细表'!$E:$E,"3月"))/10000</f>
        <v>0</v>
      </c>
      <c r="S126" s="29">
        <f>(SUMIFS('代理商-进货明细表'!$I:$I,'代理商-进货明细表'!$B:$B,'代理商-产品进销存'!$B126,'代理商-进货明细表'!$F:$F,'代理商-产品进销存'!$D126,'代理商-进货明细表'!$E:$E,"4月")+SUMIFS('代理商-进货明细表'!$I:$I,'代理商-进货明细表'!$B:$B,'代理商-产品进销存'!$B126,'代理商-进货明细表'!$F:$F,'代理商-产品进销存'!$D126,'代理商-进货明细表'!$E:$E,"5月")+SUMIFS('代理商-进货明细表'!$I:$I,'代理商-进货明细表'!$B:$B,'代理商-产品进销存'!$B126,'代理商-进货明细表'!$F:$F,'代理商-产品进销存'!$D126,'代理商-进货明细表'!$E:$E,"6月"))/10000</f>
        <v>0</v>
      </c>
      <c r="T126" s="29">
        <f>(SUMIFS('代理商-进货明细表'!$I:$I,'代理商-进货明细表'!$B:$B,'代理商-产品进销存'!$B126,'代理商-进货明细表'!$F:$F,'代理商-产品进销存'!$D126,'代理商-进货明细表'!$E:$E,"7月")+SUMIFS('代理商-进货明细表'!$I:$I,'代理商-进货明细表'!$B:$B,'代理商-产品进销存'!$B126,'代理商-进货明细表'!$F:$F,'代理商-产品进销存'!$D126,'代理商-进货明细表'!$E:$E,"8月")+SUMIFS('代理商-进货明细表'!$I:$I,'代理商-进货明细表'!$B:$B,'代理商-产品进销存'!$B126,'代理商-进货明细表'!$F:$F,'代理商-产品进销存'!$D126,'代理商-进货明细表'!$E:$E,"9月"))/10000</f>
        <v>0</v>
      </c>
      <c r="U126" s="29">
        <f>(SUMIFS('代理商-进货明细表'!$I:$I,'代理商-进货明细表'!$B:$B,'代理商-产品进销存'!$B126,'代理商-进货明细表'!$F:$F,'代理商-产品进销存'!$D126,'代理商-进货明细表'!$E:$E,"10月")+SUMIFS('代理商-进货明细表'!$I:$I,'代理商-进货明细表'!$B:$B,'代理商-产品进销存'!$B126,'代理商-进货明细表'!$F:$F,'代理商-产品进销存'!$D126,'代理商-进货明细表'!$E:$E,"11月")+SUMIFS('代理商-进货明细表'!$I:$I,'代理商-进货明细表'!$B:$B,'代理商-产品进销存'!$B126,'代理商-进货明细表'!$F:$F,'代理商-产品进销存'!$D126,'代理商-进货明细表'!$E:$E,"12月"))/10000</f>
        <v>0</v>
      </c>
      <c r="V126" s="29">
        <f t="shared" si="14"/>
        <v>0</v>
      </c>
      <c r="W126" s="29">
        <f t="shared" si="15"/>
        <v>0</v>
      </c>
      <c r="X126" s="29">
        <f t="shared" si="16"/>
        <v>0</v>
      </c>
      <c r="Y126" s="29">
        <f t="shared" si="17"/>
        <v>0</v>
      </c>
      <c r="Z126" s="29">
        <f t="shared" si="18"/>
        <v>0</v>
      </c>
      <c r="AA126" s="29">
        <f t="shared" si="19"/>
        <v>0</v>
      </c>
    </row>
    <row r="127" spans="1:27" x14ac:dyDescent="0.3">
      <c r="A127" s="2" t="s">
        <v>192</v>
      </c>
      <c r="B127" s="2" t="s">
        <v>114</v>
      </c>
      <c r="D127" s="3" t="s">
        <v>14</v>
      </c>
      <c r="L127" s="29">
        <f>(SUMIFS(终端客户销售统计表!$K:$K,终端客户销售统计表!$L:$L,$B127,终端客户销售统计表!$H:$H,$D127,终端客户销售统计表!$G:$G,"1月")+SUMIFS(终端客户销售统计表!$K:$K,终端客户销售统计表!$L:$L,$B127,终端客户销售统计表!$H:$H,$D127,终端客户销售统计表!$G:$G,"2月")+SUMIFS(终端客户销售统计表!$K:$K,终端客户销售统计表!$L:$L,$B127,终端客户销售统计表!$H:$H,$D127,终端客户销售统计表!$G:$G,"3月"))/10000</f>
        <v>0</v>
      </c>
      <c r="M127" s="29">
        <f>(SUMIFS(终端客户销售统计表!$K:$K,终端客户销售统计表!$L:$L,$B127,终端客户销售统计表!$H:$H,$D127,终端客户销售统计表!$G:$G,"4月")+SUMIFS(终端客户销售统计表!$K:$K,终端客户销售统计表!$L:$L,$B127,终端客户销售统计表!$H:$H,$D127,终端客户销售统计表!$G:$G,"5月")+SUMIFS(终端客户销售统计表!$K:$K,终端客户销售统计表!$L:$L,$B127,终端客户销售统计表!$H:$H,$D127,终端客户销售统计表!$G:$G,"6月"))/10000</f>
        <v>0</v>
      </c>
      <c r="N127" s="29">
        <f>(SUMIFS(终端客户销售统计表!$K:$K,终端客户销售统计表!$L:$L,$B127,终端客户销售统计表!$H:$H,$D127,终端客户销售统计表!$G:$G,"7月")+SUMIFS(终端客户销售统计表!$K:$K,终端客户销售统计表!$L:$L,$B127,终端客户销售统计表!$H:$H,$D127,终端客户销售统计表!$G:$G,"8月")+SUMIFS(终端客户销售统计表!$K:$K,终端客户销售统计表!$L:$L,$B127,终端客户销售统计表!$H:$H,$D127,终端客户销售统计表!$G:$G,"9月"))/10000</f>
        <v>0</v>
      </c>
      <c r="O127" s="29">
        <f>(SUMIFS(终端客户销售统计表!$K:$K,终端客户销售统计表!$L:$L,$B127,终端客户销售统计表!$H:$H,$D127,终端客户销售统计表!$G:$G,"10月")+SUMIFS(终端客户销售统计表!$K:$K,终端客户销售统计表!$L:$L,$B127,终端客户销售统计表!$H:$H,$D127,终端客户销售统计表!$G:$G,"11月")+SUMIFS(终端客户销售统计表!$K:$K,终端客户销售统计表!$L:$L,$B127,终端客户销售统计表!$H:$H,$D127,终端客户销售统计表!$G:$G,"12月"))/10000</f>
        <v>0</v>
      </c>
      <c r="P127" s="29">
        <f>SUM(L127:O127)</f>
        <v>0</v>
      </c>
      <c r="Q127" s="44" t="str">
        <f t="shared" si="13"/>
        <v/>
      </c>
      <c r="R127" s="29">
        <f>(SUMIFS('代理商-进货明细表'!$I:$I,'代理商-进货明细表'!$B:$B,'代理商-产品进销存'!$B127,'代理商-进货明细表'!$F:$F,'代理商-产品进销存'!$D127,'代理商-进货明细表'!$E:$E,"1月")+SUMIFS('代理商-进货明细表'!$I:$I,'代理商-进货明细表'!$B:$B,'代理商-产品进销存'!$B127,'代理商-进货明细表'!$F:$F,'代理商-产品进销存'!$D127,'代理商-进货明细表'!$E:$E,"2月")+SUMIFS('代理商-进货明细表'!$I:$I,'代理商-进货明细表'!$B:$B,'代理商-产品进销存'!$B127,'代理商-进货明细表'!$F:$F,'代理商-产品进销存'!$D127,'代理商-进货明细表'!$E:$E,"3月"))/10000</f>
        <v>0</v>
      </c>
      <c r="S127" s="29">
        <f>(SUMIFS('代理商-进货明细表'!$I:$I,'代理商-进货明细表'!$B:$B,'代理商-产品进销存'!$B127,'代理商-进货明细表'!$F:$F,'代理商-产品进销存'!$D127,'代理商-进货明细表'!$E:$E,"4月")+SUMIFS('代理商-进货明细表'!$I:$I,'代理商-进货明细表'!$B:$B,'代理商-产品进销存'!$B127,'代理商-进货明细表'!$F:$F,'代理商-产品进销存'!$D127,'代理商-进货明细表'!$E:$E,"5月")+SUMIFS('代理商-进货明细表'!$I:$I,'代理商-进货明细表'!$B:$B,'代理商-产品进销存'!$B127,'代理商-进货明细表'!$F:$F,'代理商-产品进销存'!$D127,'代理商-进货明细表'!$E:$E,"6月"))/10000</f>
        <v>0</v>
      </c>
      <c r="T127" s="29">
        <f>(SUMIFS('代理商-进货明细表'!$I:$I,'代理商-进货明细表'!$B:$B,'代理商-产品进销存'!$B127,'代理商-进货明细表'!$F:$F,'代理商-产品进销存'!$D127,'代理商-进货明细表'!$E:$E,"7月")+SUMIFS('代理商-进货明细表'!$I:$I,'代理商-进货明细表'!$B:$B,'代理商-产品进销存'!$B127,'代理商-进货明细表'!$F:$F,'代理商-产品进销存'!$D127,'代理商-进货明细表'!$E:$E,"8月")+SUMIFS('代理商-进货明细表'!$I:$I,'代理商-进货明细表'!$B:$B,'代理商-产品进销存'!$B127,'代理商-进货明细表'!$F:$F,'代理商-产品进销存'!$D127,'代理商-进货明细表'!$E:$E,"9月"))/10000</f>
        <v>0</v>
      </c>
      <c r="U127" s="29">
        <f>(SUMIFS('代理商-进货明细表'!$I:$I,'代理商-进货明细表'!$B:$B,'代理商-产品进销存'!$B127,'代理商-进货明细表'!$F:$F,'代理商-产品进销存'!$D127,'代理商-进货明细表'!$E:$E,"10月")+SUMIFS('代理商-进货明细表'!$I:$I,'代理商-进货明细表'!$B:$B,'代理商-产品进销存'!$B127,'代理商-进货明细表'!$F:$F,'代理商-产品进销存'!$D127,'代理商-进货明细表'!$E:$E,"11月")+SUMIFS('代理商-进货明细表'!$I:$I,'代理商-进货明细表'!$B:$B,'代理商-产品进销存'!$B127,'代理商-进货明细表'!$F:$F,'代理商-产品进销存'!$D127,'代理商-进货明细表'!$E:$E,"12月"))/10000</f>
        <v>0</v>
      </c>
      <c r="V127" s="29">
        <f t="shared" si="14"/>
        <v>0</v>
      </c>
      <c r="W127" s="29">
        <f t="shared" si="15"/>
        <v>0</v>
      </c>
      <c r="X127" s="29">
        <f t="shared" si="16"/>
        <v>0</v>
      </c>
      <c r="Y127" s="29">
        <f t="shared" si="17"/>
        <v>0</v>
      </c>
      <c r="Z127" s="29">
        <f t="shared" si="18"/>
        <v>0</v>
      </c>
      <c r="AA127" s="29">
        <f t="shared" si="19"/>
        <v>0</v>
      </c>
    </row>
    <row r="128" spans="1:27" x14ac:dyDescent="0.3">
      <c r="A128" s="2" t="s">
        <v>192</v>
      </c>
      <c r="B128" s="2" t="s">
        <v>114</v>
      </c>
      <c r="D128" s="3" t="s">
        <v>15</v>
      </c>
      <c r="L128" s="29">
        <f>(SUMIFS(终端客户销售统计表!$K:$K,终端客户销售统计表!$L:$L,$B128,终端客户销售统计表!$H:$H,$D128,终端客户销售统计表!$G:$G,"1月")+SUMIFS(终端客户销售统计表!$K:$K,终端客户销售统计表!$L:$L,$B128,终端客户销售统计表!$H:$H,$D128,终端客户销售统计表!$G:$G,"2月")+SUMIFS(终端客户销售统计表!$K:$K,终端客户销售统计表!$L:$L,$B128,终端客户销售统计表!$H:$H,$D128,终端客户销售统计表!$G:$G,"3月"))/10000</f>
        <v>0</v>
      </c>
      <c r="M128" s="29">
        <f>(SUMIFS(终端客户销售统计表!$K:$K,终端客户销售统计表!$L:$L,$B128,终端客户销售统计表!$H:$H,$D128,终端客户销售统计表!$G:$G,"4月")+SUMIFS(终端客户销售统计表!$K:$K,终端客户销售统计表!$L:$L,$B128,终端客户销售统计表!$H:$H,$D128,终端客户销售统计表!$G:$G,"5月")+SUMIFS(终端客户销售统计表!$K:$K,终端客户销售统计表!$L:$L,$B128,终端客户销售统计表!$H:$H,$D128,终端客户销售统计表!$G:$G,"6月"))/10000</f>
        <v>0</v>
      </c>
      <c r="N128" s="29">
        <f>(SUMIFS(终端客户销售统计表!$K:$K,终端客户销售统计表!$L:$L,$B128,终端客户销售统计表!$H:$H,$D128,终端客户销售统计表!$G:$G,"7月")+SUMIFS(终端客户销售统计表!$K:$K,终端客户销售统计表!$L:$L,$B128,终端客户销售统计表!$H:$H,$D128,终端客户销售统计表!$G:$G,"8月")+SUMIFS(终端客户销售统计表!$K:$K,终端客户销售统计表!$L:$L,$B128,终端客户销售统计表!$H:$H,$D128,终端客户销售统计表!$G:$G,"9月"))/10000</f>
        <v>0</v>
      </c>
      <c r="O128" s="29">
        <f>(SUMIFS(终端客户销售统计表!$K:$K,终端客户销售统计表!$L:$L,$B128,终端客户销售统计表!$H:$H,$D128,终端客户销售统计表!$G:$G,"10月")+SUMIFS(终端客户销售统计表!$K:$K,终端客户销售统计表!$L:$L,$B128,终端客户销售统计表!$H:$H,$D128,终端客户销售统计表!$G:$G,"11月")+SUMIFS(终端客户销售统计表!$K:$K,终端客户销售统计表!$L:$L,$B128,终端客户销售统计表!$H:$H,$D128,终端客户销售统计表!$G:$G,"12月"))/10000</f>
        <v>0</v>
      </c>
      <c r="P128" s="29">
        <f>SUM(L128:O128)</f>
        <v>0</v>
      </c>
      <c r="Q128" s="44" t="str">
        <f t="shared" si="13"/>
        <v/>
      </c>
      <c r="R128" s="29">
        <f>(SUMIFS('代理商-进货明细表'!$I:$I,'代理商-进货明细表'!$B:$B,'代理商-产品进销存'!$B128,'代理商-进货明细表'!$F:$F,'代理商-产品进销存'!$D128,'代理商-进货明细表'!$E:$E,"1月")+SUMIFS('代理商-进货明细表'!$I:$I,'代理商-进货明细表'!$B:$B,'代理商-产品进销存'!$B128,'代理商-进货明细表'!$F:$F,'代理商-产品进销存'!$D128,'代理商-进货明细表'!$E:$E,"2月")+SUMIFS('代理商-进货明细表'!$I:$I,'代理商-进货明细表'!$B:$B,'代理商-产品进销存'!$B128,'代理商-进货明细表'!$F:$F,'代理商-产品进销存'!$D128,'代理商-进货明细表'!$E:$E,"3月"))/10000</f>
        <v>0</v>
      </c>
      <c r="S128" s="29">
        <f>(SUMIFS('代理商-进货明细表'!$I:$I,'代理商-进货明细表'!$B:$B,'代理商-产品进销存'!$B128,'代理商-进货明细表'!$F:$F,'代理商-产品进销存'!$D128,'代理商-进货明细表'!$E:$E,"4月")+SUMIFS('代理商-进货明细表'!$I:$I,'代理商-进货明细表'!$B:$B,'代理商-产品进销存'!$B128,'代理商-进货明细表'!$F:$F,'代理商-产品进销存'!$D128,'代理商-进货明细表'!$E:$E,"5月")+SUMIFS('代理商-进货明细表'!$I:$I,'代理商-进货明细表'!$B:$B,'代理商-产品进销存'!$B128,'代理商-进货明细表'!$F:$F,'代理商-产品进销存'!$D128,'代理商-进货明细表'!$E:$E,"6月"))/10000</f>
        <v>0</v>
      </c>
      <c r="T128" s="29">
        <f>(SUMIFS('代理商-进货明细表'!$I:$I,'代理商-进货明细表'!$B:$B,'代理商-产品进销存'!$B128,'代理商-进货明细表'!$F:$F,'代理商-产品进销存'!$D128,'代理商-进货明细表'!$E:$E,"7月")+SUMIFS('代理商-进货明细表'!$I:$I,'代理商-进货明细表'!$B:$B,'代理商-产品进销存'!$B128,'代理商-进货明细表'!$F:$F,'代理商-产品进销存'!$D128,'代理商-进货明细表'!$E:$E,"8月")+SUMIFS('代理商-进货明细表'!$I:$I,'代理商-进货明细表'!$B:$B,'代理商-产品进销存'!$B128,'代理商-进货明细表'!$F:$F,'代理商-产品进销存'!$D128,'代理商-进货明细表'!$E:$E,"9月"))/10000</f>
        <v>0</v>
      </c>
      <c r="U128" s="29">
        <f>(SUMIFS('代理商-进货明细表'!$I:$I,'代理商-进货明细表'!$B:$B,'代理商-产品进销存'!$B128,'代理商-进货明细表'!$F:$F,'代理商-产品进销存'!$D128,'代理商-进货明细表'!$E:$E,"10月")+SUMIFS('代理商-进货明细表'!$I:$I,'代理商-进货明细表'!$B:$B,'代理商-产品进销存'!$B128,'代理商-进货明细表'!$F:$F,'代理商-产品进销存'!$D128,'代理商-进货明细表'!$E:$E,"11月")+SUMIFS('代理商-进货明细表'!$I:$I,'代理商-进货明细表'!$B:$B,'代理商-产品进销存'!$B128,'代理商-进货明细表'!$F:$F,'代理商-产品进销存'!$D128,'代理商-进货明细表'!$E:$E,"12月"))/10000</f>
        <v>0</v>
      </c>
      <c r="V128" s="29">
        <f t="shared" si="14"/>
        <v>0</v>
      </c>
      <c r="W128" s="29">
        <f t="shared" si="15"/>
        <v>0</v>
      </c>
      <c r="X128" s="29">
        <f t="shared" si="16"/>
        <v>0</v>
      </c>
      <c r="Y128" s="29">
        <f t="shared" si="17"/>
        <v>0</v>
      </c>
      <c r="Z128" s="29">
        <f t="shared" si="18"/>
        <v>0</v>
      </c>
      <c r="AA128" s="29">
        <f t="shared" si="19"/>
        <v>0</v>
      </c>
    </row>
    <row r="129" spans="1:27" x14ac:dyDescent="0.3">
      <c r="A129" s="2" t="s">
        <v>192</v>
      </c>
      <c r="B129" s="2" t="s">
        <v>114</v>
      </c>
      <c r="D129" s="3" t="s">
        <v>16</v>
      </c>
      <c r="L129" s="29">
        <f>(SUMIFS(终端客户销售统计表!$K:$K,终端客户销售统计表!$L:$L,$B129,终端客户销售统计表!$H:$H,$D129,终端客户销售统计表!$G:$G,"1月")+SUMIFS(终端客户销售统计表!$K:$K,终端客户销售统计表!$L:$L,$B129,终端客户销售统计表!$H:$H,$D129,终端客户销售统计表!$G:$G,"2月")+SUMIFS(终端客户销售统计表!$K:$K,终端客户销售统计表!$L:$L,$B129,终端客户销售统计表!$H:$H,$D129,终端客户销售统计表!$G:$G,"3月"))/10000</f>
        <v>0</v>
      </c>
      <c r="M129" s="29">
        <f>(SUMIFS(终端客户销售统计表!$K:$K,终端客户销售统计表!$L:$L,$B129,终端客户销售统计表!$H:$H,$D129,终端客户销售统计表!$G:$G,"4月")+SUMIFS(终端客户销售统计表!$K:$K,终端客户销售统计表!$L:$L,$B129,终端客户销售统计表!$H:$H,$D129,终端客户销售统计表!$G:$G,"5月")+SUMIFS(终端客户销售统计表!$K:$K,终端客户销售统计表!$L:$L,$B129,终端客户销售统计表!$H:$H,$D129,终端客户销售统计表!$G:$G,"6月"))/10000</f>
        <v>0</v>
      </c>
      <c r="N129" s="29">
        <f>(SUMIFS(终端客户销售统计表!$K:$K,终端客户销售统计表!$L:$L,$B129,终端客户销售统计表!$H:$H,$D129,终端客户销售统计表!$G:$G,"7月")+SUMIFS(终端客户销售统计表!$K:$K,终端客户销售统计表!$L:$L,$B129,终端客户销售统计表!$H:$H,$D129,终端客户销售统计表!$G:$G,"8月")+SUMIFS(终端客户销售统计表!$K:$K,终端客户销售统计表!$L:$L,$B129,终端客户销售统计表!$H:$H,$D129,终端客户销售统计表!$G:$G,"9月"))/10000</f>
        <v>0</v>
      </c>
      <c r="O129" s="29">
        <f>(SUMIFS(终端客户销售统计表!$K:$K,终端客户销售统计表!$L:$L,$B129,终端客户销售统计表!$H:$H,$D129,终端客户销售统计表!$G:$G,"10月")+SUMIFS(终端客户销售统计表!$K:$K,终端客户销售统计表!$L:$L,$B129,终端客户销售统计表!$H:$H,$D129,终端客户销售统计表!$G:$G,"11月")+SUMIFS(终端客户销售统计表!$K:$K,终端客户销售统计表!$L:$L,$B129,终端客户销售统计表!$H:$H,$D129,终端客户销售统计表!$G:$G,"12月"))/10000</f>
        <v>0</v>
      </c>
      <c r="P129" s="29">
        <f>SUM(L129:O129)</f>
        <v>0</v>
      </c>
      <c r="Q129" s="44" t="str">
        <f t="shared" si="13"/>
        <v/>
      </c>
      <c r="R129" s="29">
        <f>(SUMIFS('代理商-进货明细表'!$I:$I,'代理商-进货明细表'!$B:$B,'代理商-产品进销存'!$B129,'代理商-进货明细表'!$F:$F,'代理商-产品进销存'!$D129,'代理商-进货明细表'!$E:$E,"1月")+SUMIFS('代理商-进货明细表'!$I:$I,'代理商-进货明细表'!$B:$B,'代理商-产品进销存'!$B129,'代理商-进货明细表'!$F:$F,'代理商-产品进销存'!$D129,'代理商-进货明细表'!$E:$E,"2月")+SUMIFS('代理商-进货明细表'!$I:$I,'代理商-进货明细表'!$B:$B,'代理商-产品进销存'!$B129,'代理商-进货明细表'!$F:$F,'代理商-产品进销存'!$D129,'代理商-进货明细表'!$E:$E,"3月"))/10000</f>
        <v>0</v>
      </c>
      <c r="S129" s="29">
        <f>(SUMIFS('代理商-进货明细表'!$I:$I,'代理商-进货明细表'!$B:$B,'代理商-产品进销存'!$B129,'代理商-进货明细表'!$F:$F,'代理商-产品进销存'!$D129,'代理商-进货明细表'!$E:$E,"4月")+SUMIFS('代理商-进货明细表'!$I:$I,'代理商-进货明细表'!$B:$B,'代理商-产品进销存'!$B129,'代理商-进货明细表'!$F:$F,'代理商-产品进销存'!$D129,'代理商-进货明细表'!$E:$E,"5月")+SUMIFS('代理商-进货明细表'!$I:$I,'代理商-进货明细表'!$B:$B,'代理商-产品进销存'!$B129,'代理商-进货明细表'!$F:$F,'代理商-产品进销存'!$D129,'代理商-进货明细表'!$E:$E,"6月"))/10000</f>
        <v>0</v>
      </c>
      <c r="T129" s="29">
        <f>(SUMIFS('代理商-进货明细表'!$I:$I,'代理商-进货明细表'!$B:$B,'代理商-产品进销存'!$B129,'代理商-进货明细表'!$F:$F,'代理商-产品进销存'!$D129,'代理商-进货明细表'!$E:$E,"7月")+SUMIFS('代理商-进货明细表'!$I:$I,'代理商-进货明细表'!$B:$B,'代理商-产品进销存'!$B129,'代理商-进货明细表'!$F:$F,'代理商-产品进销存'!$D129,'代理商-进货明细表'!$E:$E,"8月")+SUMIFS('代理商-进货明细表'!$I:$I,'代理商-进货明细表'!$B:$B,'代理商-产品进销存'!$B129,'代理商-进货明细表'!$F:$F,'代理商-产品进销存'!$D129,'代理商-进货明细表'!$E:$E,"9月"))/10000</f>
        <v>0</v>
      </c>
      <c r="U129" s="29">
        <f>(SUMIFS('代理商-进货明细表'!$I:$I,'代理商-进货明细表'!$B:$B,'代理商-产品进销存'!$B129,'代理商-进货明细表'!$F:$F,'代理商-产品进销存'!$D129,'代理商-进货明细表'!$E:$E,"10月")+SUMIFS('代理商-进货明细表'!$I:$I,'代理商-进货明细表'!$B:$B,'代理商-产品进销存'!$B129,'代理商-进货明细表'!$F:$F,'代理商-产品进销存'!$D129,'代理商-进货明细表'!$E:$E,"11月")+SUMIFS('代理商-进货明细表'!$I:$I,'代理商-进货明细表'!$B:$B,'代理商-产品进销存'!$B129,'代理商-进货明细表'!$F:$F,'代理商-产品进销存'!$D129,'代理商-进货明细表'!$E:$E,"12月"))/10000</f>
        <v>0</v>
      </c>
      <c r="V129" s="29">
        <f t="shared" si="14"/>
        <v>0</v>
      </c>
      <c r="W129" s="29">
        <f t="shared" si="15"/>
        <v>0</v>
      </c>
      <c r="X129" s="29">
        <f t="shared" si="16"/>
        <v>0</v>
      </c>
      <c r="Y129" s="29">
        <f t="shared" si="17"/>
        <v>0</v>
      </c>
      <c r="Z129" s="29">
        <f t="shared" si="18"/>
        <v>0</v>
      </c>
      <c r="AA129" s="29">
        <f t="shared" si="19"/>
        <v>0</v>
      </c>
    </row>
    <row r="130" spans="1:27" x14ac:dyDescent="0.3">
      <c r="A130" s="2" t="s">
        <v>192</v>
      </c>
      <c r="B130" s="2" t="s">
        <v>114</v>
      </c>
      <c r="D130" s="3" t="s">
        <v>17</v>
      </c>
      <c r="L130" s="29">
        <f>(SUMIFS(终端客户销售统计表!$K:$K,终端客户销售统计表!$L:$L,$B130,终端客户销售统计表!$H:$H,$D130,终端客户销售统计表!$G:$G,"1月")+SUMIFS(终端客户销售统计表!$K:$K,终端客户销售统计表!$L:$L,$B130,终端客户销售统计表!$H:$H,$D130,终端客户销售统计表!$G:$G,"2月")+SUMIFS(终端客户销售统计表!$K:$K,终端客户销售统计表!$L:$L,$B130,终端客户销售统计表!$H:$H,$D130,终端客户销售统计表!$G:$G,"3月"))/10000</f>
        <v>0</v>
      </c>
      <c r="M130" s="29">
        <f>(SUMIFS(终端客户销售统计表!$K:$K,终端客户销售统计表!$L:$L,$B130,终端客户销售统计表!$H:$H,$D130,终端客户销售统计表!$G:$G,"4月")+SUMIFS(终端客户销售统计表!$K:$K,终端客户销售统计表!$L:$L,$B130,终端客户销售统计表!$H:$H,$D130,终端客户销售统计表!$G:$G,"5月")+SUMIFS(终端客户销售统计表!$K:$K,终端客户销售统计表!$L:$L,$B130,终端客户销售统计表!$H:$H,$D130,终端客户销售统计表!$G:$G,"6月"))/10000</f>
        <v>0</v>
      </c>
      <c r="N130" s="29">
        <f>(SUMIFS(终端客户销售统计表!$K:$K,终端客户销售统计表!$L:$L,$B130,终端客户销售统计表!$H:$H,$D130,终端客户销售统计表!$G:$G,"7月")+SUMIFS(终端客户销售统计表!$K:$K,终端客户销售统计表!$L:$L,$B130,终端客户销售统计表!$H:$H,$D130,终端客户销售统计表!$G:$G,"8月")+SUMIFS(终端客户销售统计表!$K:$K,终端客户销售统计表!$L:$L,$B130,终端客户销售统计表!$H:$H,$D130,终端客户销售统计表!$G:$G,"9月"))/10000</f>
        <v>0</v>
      </c>
      <c r="O130" s="29">
        <f>(SUMIFS(终端客户销售统计表!$K:$K,终端客户销售统计表!$L:$L,$B130,终端客户销售统计表!$H:$H,$D130,终端客户销售统计表!$G:$G,"10月")+SUMIFS(终端客户销售统计表!$K:$K,终端客户销售统计表!$L:$L,$B130,终端客户销售统计表!$H:$H,$D130,终端客户销售统计表!$G:$G,"11月")+SUMIFS(终端客户销售统计表!$K:$K,终端客户销售统计表!$L:$L,$B130,终端客户销售统计表!$H:$H,$D130,终端客户销售统计表!$G:$G,"12月"))/10000</f>
        <v>0</v>
      </c>
      <c r="P130" s="29">
        <f>SUM(L130:O130)</f>
        <v>0</v>
      </c>
      <c r="Q130" s="44" t="str">
        <f t="shared" si="13"/>
        <v/>
      </c>
      <c r="R130" s="29">
        <f>(SUMIFS('代理商-进货明细表'!$I:$I,'代理商-进货明细表'!$B:$B,'代理商-产品进销存'!$B130,'代理商-进货明细表'!$F:$F,'代理商-产品进销存'!$D130,'代理商-进货明细表'!$E:$E,"1月")+SUMIFS('代理商-进货明细表'!$I:$I,'代理商-进货明细表'!$B:$B,'代理商-产品进销存'!$B130,'代理商-进货明细表'!$F:$F,'代理商-产品进销存'!$D130,'代理商-进货明细表'!$E:$E,"2月")+SUMIFS('代理商-进货明细表'!$I:$I,'代理商-进货明细表'!$B:$B,'代理商-产品进销存'!$B130,'代理商-进货明细表'!$F:$F,'代理商-产品进销存'!$D130,'代理商-进货明细表'!$E:$E,"3月"))/10000</f>
        <v>0</v>
      </c>
      <c r="S130" s="29">
        <f>(SUMIFS('代理商-进货明细表'!$I:$I,'代理商-进货明细表'!$B:$B,'代理商-产品进销存'!$B130,'代理商-进货明细表'!$F:$F,'代理商-产品进销存'!$D130,'代理商-进货明细表'!$E:$E,"4月")+SUMIFS('代理商-进货明细表'!$I:$I,'代理商-进货明细表'!$B:$B,'代理商-产品进销存'!$B130,'代理商-进货明细表'!$F:$F,'代理商-产品进销存'!$D130,'代理商-进货明细表'!$E:$E,"5月")+SUMIFS('代理商-进货明细表'!$I:$I,'代理商-进货明细表'!$B:$B,'代理商-产品进销存'!$B130,'代理商-进货明细表'!$F:$F,'代理商-产品进销存'!$D130,'代理商-进货明细表'!$E:$E,"6月"))/10000</f>
        <v>0</v>
      </c>
      <c r="T130" s="29">
        <f>(SUMIFS('代理商-进货明细表'!$I:$I,'代理商-进货明细表'!$B:$B,'代理商-产品进销存'!$B130,'代理商-进货明细表'!$F:$F,'代理商-产品进销存'!$D130,'代理商-进货明细表'!$E:$E,"7月")+SUMIFS('代理商-进货明细表'!$I:$I,'代理商-进货明细表'!$B:$B,'代理商-产品进销存'!$B130,'代理商-进货明细表'!$F:$F,'代理商-产品进销存'!$D130,'代理商-进货明细表'!$E:$E,"8月")+SUMIFS('代理商-进货明细表'!$I:$I,'代理商-进货明细表'!$B:$B,'代理商-产品进销存'!$B130,'代理商-进货明细表'!$F:$F,'代理商-产品进销存'!$D130,'代理商-进货明细表'!$E:$E,"9月"))/10000</f>
        <v>0</v>
      </c>
      <c r="U130" s="29">
        <f>(SUMIFS('代理商-进货明细表'!$I:$I,'代理商-进货明细表'!$B:$B,'代理商-产品进销存'!$B130,'代理商-进货明细表'!$F:$F,'代理商-产品进销存'!$D130,'代理商-进货明细表'!$E:$E,"10月")+SUMIFS('代理商-进货明细表'!$I:$I,'代理商-进货明细表'!$B:$B,'代理商-产品进销存'!$B130,'代理商-进货明细表'!$F:$F,'代理商-产品进销存'!$D130,'代理商-进货明细表'!$E:$E,"11月")+SUMIFS('代理商-进货明细表'!$I:$I,'代理商-进货明细表'!$B:$B,'代理商-产品进销存'!$B130,'代理商-进货明细表'!$F:$F,'代理商-产品进销存'!$D130,'代理商-进货明细表'!$E:$E,"12月"))/10000</f>
        <v>0</v>
      </c>
      <c r="V130" s="29">
        <f t="shared" si="14"/>
        <v>0</v>
      </c>
      <c r="W130" s="29">
        <f t="shared" si="15"/>
        <v>0</v>
      </c>
      <c r="X130" s="29">
        <f t="shared" si="16"/>
        <v>0</v>
      </c>
      <c r="Y130" s="29">
        <f t="shared" si="17"/>
        <v>0</v>
      </c>
      <c r="Z130" s="29">
        <f t="shared" si="18"/>
        <v>0</v>
      </c>
      <c r="AA130" s="29">
        <f t="shared" si="19"/>
        <v>0</v>
      </c>
    </row>
    <row r="131" spans="1:27" x14ac:dyDescent="0.3">
      <c r="A131" s="2" t="s">
        <v>193</v>
      </c>
      <c r="B131" s="2" t="s">
        <v>115</v>
      </c>
      <c r="D131" s="3" t="s">
        <v>14</v>
      </c>
      <c r="L131" s="29">
        <f>(SUMIFS(终端客户销售统计表!$K:$K,终端客户销售统计表!$L:$L,$B131,终端客户销售统计表!$H:$H,$D131,终端客户销售统计表!$G:$G,"1月")+SUMIFS(终端客户销售统计表!$K:$K,终端客户销售统计表!$L:$L,$B131,终端客户销售统计表!$H:$H,$D131,终端客户销售统计表!$G:$G,"2月")+SUMIFS(终端客户销售统计表!$K:$K,终端客户销售统计表!$L:$L,$B131,终端客户销售统计表!$H:$H,$D131,终端客户销售统计表!$G:$G,"3月"))/10000</f>
        <v>0</v>
      </c>
      <c r="M131" s="29">
        <f>(SUMIFS(终端客户销售统计表!$K:$K,终端客户销售统计表!$L:$L,$B131,终端客户销售统计表!$H:$H,$D131,终端客户销售统计表!$G:$G,"4月")+SUMIFS(终端客户销售统计表!$K:$K,终端客户销售统计表!$L:$L,$B131,终端客户销售统计表!$H:$H,$D131,终端客户销售统计表!$G:$G,"5月")+SUMIFS(终端客户销售统计表!$K:$K,终端客户销售统计表!$L:$L,$B131,终端客户销售统计表!$H:$H,$D131,终端客户销售统计表!$G:$G,"6月"))/10000</f>
        <v>0</v>
      </c>
      <c r="N131" s="29">
        <f>(SUMIFS(终端客户销售统计表!$K:$K,终端客户销售统计表!$L:$L,$B131,终端客户销售统计表!$H:$H,$D131,终端客户销售统计表!$G:$G,"7月")+SUMIFS(终端客户销售统计表!$K:$K,终端客户销售统计表!$L:$L,$B131,终端客户销售统计表!$H:$H,$D131,终端客户销售统计表!$G:$G,"8月")+SUMIFS(终端客户销售统计表!$K:$K,终端客户销售统计表!$L:$L,$B131,终端客户销售统计表!$H:$H,$D131,终端客户销售统计表!$G:$G,"9月"))/10000</f>
        <v>0</v>
      </c>
      <c r="O131" s="29">
        <f>(SUMIFS(终端客户销售统计表!$K:$K,终端客户销售统计表!$L:$L,$B131,终端客户销售统计表!$H:$H,$D131,终端客户销售统计表!$G:$G,"10月")+SUMIFS(终端客户销售统计表!$K:$K,终端客户销售统计表!$L:$L,$B131,终端客户销售统计表!$H:$H,$D131,终端客户销售统计表!$G:$G,"11月")+SUMIFS(终端客户销售统计表!$K:$K,终端客户销售统计表!$L:$L,$B131,终端客户销售统计表!$H:$H,$D131,终端客户销售统计表!$G:$G,"12月"))/10000</f>
        <v>0</v>
      </c>
      <c r="P131" s="29">
        <f>SUM(L131:O131)</f>
        <v>0</v>
      </c>
      <c r="Q131" s="44" t="str">
        <f t="shared" si="13"/>
        <v/>
      </c>
      <c r="R131" s="29">
        <f>(SUMIFS('代理商-进货明细表'!$I:$I,'代理商-进货明细表'!$B:$B,'代理商-产品进销存'!$B131,'代理商-进货明细表'!$F:$F,'代理商-产品进销存'!$D131,'代理商-进货明细表'!$E:$E,"1月")+SUMIFS('代理商-进货明细表'!$I:$I,'代理商-进货明细表'!$B:$B,'代理商-产品进销存'!$B131,'代理商-进货明细表'!$F:$F,'代理商-产品进销存'!$D131,'代理商-进货明细表'!$E:$E,"2月")+SUMIFS('代理商-进货明细表'!$I:$I,'代理商-进货明细表'!$B:$B,'代理商-产品进销存'!$B131,'代理商-进货明细表'!$F:$F,'代理商-产品进销存'!$D131,'代理商-进货明细表'!$E:$E,"3月"))/10000</f>
        <v>0</v>
      </c>
      <c r="S131" s="29">
        <f>(SUMIFS('代理商-进货明细表'!$I:$I,'代理商-进货明细表'!$B:$B,'代理商-产品进销存'!$B131,'代理商-进货明细表'!$F:$F,'代理商-产品进销存'!$D131,'代理商-进货明细表'!$E:$E,"4月")+SUMIFS('代理商-进货明细表'!$I:$I,'代理商-进货明细表'!$B:$B,'代理商-产品进销存'!$B131,'代理商-进货明细表'!$F:$F,'代理商-产品进销存'!$D131,'代理商-进货明细表'!$E:$E,"5月")+SUMIFS('代理商-进货明细表'!$I:$I,'代理商-进货明细表'!$B:$B,'代理商-产品进销存'!$B131,'代理商-进货明细表'!$F:$F,'代理商-产品进销存'!$D131,'代理商-进货明细表'!$E:$E,"6月"))/10000</f>
        <v>0</v>
      </c>
      <c r="T131" s="29">
        <f>(SUMIFS('代理商-进货明细表'!$I:$I,'代理商-进货明细表'!$B:$B,'代理商-产品进销存'!$B131,'代理商-进货明细表'!$F:$F,'代理商-产品进销存'!$D131,'代理商-进货明细表'!$E:$E,"7月")+SUMIFS('代理商-进货明细表'!$I:$I,'代理商-进货明细表'!$B:$B,'代理商-产品进销存'!$B131,'代理商-进货明细表'!$F:$F,'代理商-产品进销存'!$D131,'代理商-进货明细表'!$E:$E,"8月")+SUMIFS('代理商-进货明细表'!$I:$I,'代理商-进货明细表'!$B:$B,'代理商-产品进销存'!$B131,'代理商-进货明细表'!$F:$F,'代理商-产品进销存'!$D131,'代理商-进货明细表'!$E:$E,"9月"))/10000</f>
        <v>0</v>
      </c>
      <c r="U131" s="29">
        <f>(SUMIFS('代理商-进货明细表'!$I:$I,'代理商-进货明细表'!$B:$B,'代理商-产品进销存'!$B131,'代理商-进货明细表'!$F:$F,'代理商-产品进销存'!$D131,'代理商-进货明细表'!$E:$E,"10月")+SUMIFS('代理商-进货明细表'!$I:$I,'代理商-进货明细表'!$B:$B,'代理商-产品进销存'!$B131,'代理商-进货明细表'!$F:$F,'代理商-产品进销存'!$D131,'代理商-进货明细表'!$E:$E,"11月")+SUMIFS('代理商-进货明细表'!$I:$I,'代理商-进货明细表'!$B:$B,'代理商-产品进销存'!$B131,'代理商-进货明细表'!$F:$F,'代理商-产品进销存'!$D131,'代理商-进货明细表'!$E:$E,"12月"))/10000</f>
        <v>0</v>
      </c>
      <c r="V131" s="29">
        <f t="shared" si="14"/>
        <v>0</v>
      </c>
      <c r="W131" s="29">
        <f t="shared" si="15"/>
        <v>0</v>
      </c>
      <c r="X131" s="29">
        <f t="shared" si="16"/>
        <v>0</v>
      </c>
      <c r="Y131" s="29">
        <f t="shared" si="17"/>
        <v>0</v>
      </c>
      <c r="Z131" s="29">
        <f t="shared" si="18"/>
        <v>0</v>
      </c>
      <c r="AA131" s="29">
        <f t="shared" si="19"/>
        <v>0</v>
      </c>
    </row>
    <row r="132" spans="1:27" x14ac:dyDescent="0.3">
      <c r="A132" s="2" t="s">
        <v>193</v>
      </c>
      <c r="B132" s="2" t="s">
        <v>115</v>
      </c>
      <c r="D132" s="3" t="s">
        <v>15</v>
      </c>
      <c r="L132" s="29">
        <f>(SUMIFS(终端客户销售统计表!$K:$K,终端客户销售统计表!$L:$L,$B132,终端客户销售统计表!$H:$H,$D132,终端客户销售统计表!$G:$G,"1月")+SUMIFS(终端客户销售统计表!$K:$K,终端客户销售统计表!$L:$L,$B132,终端客户销售统计表!$H:$H,$D132,终端客户销售统计表!$G:$G,"2月")+SUMIFS(终端客户销售统计表!$K:$K,终端客户销售统计表!$L:$L,$B132,终端客户销售统计表!$H:$H,$D132,终端客户销售统计表!$G:$G,"3月"))/10000</f>
        <v>0</v>
      </c>
      <c r="M132" s="29">
        <f>(SUMIFS(终端客户销售统计表!$K:$K,终端客户销售统计表!$L:$L,$B132,终端客户销售统计表!$H:$H,$D132,终端客户销售统计表!$G:$G,"4月")+SUMIFS(终端客户销售统计表!$K:$K,终端客户销售统计表!$L:$L,$B132,终端客户销售统计表!$H:$H,$D132,终端客户销售统计表!$G:$G,"5月")+SUMIFS(终端客户销售统计表!$K:$K,终端客户销售统计表!$L:$L,$B132,终端客户销售统计表!$H:$H,$D132,终端客户销售统计表!$G:$G,"6月"))/10000</f>
        <v>0</v>
      </c>
      <c r="N132" s="29">
        <f>(SUMIFS(终端客户销售统计表!$K:$K,终端客户销售统计表!$L:$L,$B132,终端客户销售统计表!$H:$H,$D132,终端客户销售统计表!$G:$G,"7月")+SUMIFS(终端客户销售统计表!$K:$K,终端客户销售统计表!$L:$L,$B132,终端客户销售统计表!$H:$H,$D132,终端客户销售统计表!$G:$G,"8月")+SUMIFS(终端客户销售统计表!$K:$K,终端客户销售统计表!$L:$L,$B132,终端客户销售统计表!$H:$H,$D132,终端客户销售统计表!$G:$G,"9月"))/10000</f>
        <v>0</v>
      </c>
      <c r="O132" s="29">
        <f>(SUMIFS(终端客户销售统计表!$K:$K,终端客户销售统计表!$L:$L,$B132,终端客户销售统计表!$H:$H,$D132,终端客户销售统计表!$G:$G,"10月")+SUMIFS(终端客户销售统计表!$K:$K,终端客户销售统计表!$L:$L,$B132,终端客户销售统计表!$H:$H,$D132,终端客户销售统计表!$G:$G,"11月")+SUMIFS(终端客户销售统计表!$K:$K,终端客户销售统计表!$L:$L,$B132,终端客户销售统计表!$H:$H,$D132,终端客户销售统计表!$G:$G,"12月"))/10000</f>
        <v>0</v>
      </c>
      <c r="P132" s="29">
        <f>SUM(L132:O132)</f>
        <v>0</v>
      </c>
      <c r="Q132" s="44" t="str">
        <f t="shared" ref="Q132:Q158" si="20">IFERROR(P132/G132,"")</f>
        <v/>
      </c>
      <c r="R132" s="29">
        <f>(SUMIFS('代理商-进货明细表'!$I:$I,'代理商-进货明细表'!$B:$B,'代理商-产品进销存'!$B132,'代理商-进货明细表'!$F:$F,'代理商-产品进销存'!$D132,'代理商-进货明细表'!$E:$E,"1月")+SUMIFS('代理商-进货明细表'!$I:$I,'代理商-进货明细表'!$B:$B,'代理商-产品进销存'!$B132,'代理商-进货明细表'!$F:$F,'代理商-产品进销存'!$D132,'代理商-进货明细表'!$E:$E,"2月")+SUMIFS('代理商-进货明细表'!$I:$I,'代理商-进货明细表'!$B:$B,'代理商-产品进销存'!$B132,'代理商-进货明细表'!$F:$F,'代理商-产品进销存'!$D132,'代理商-进货明细表'!$E:$E,"3月"))/10000</f>
        <v>0</v>
      </c>
      <c r="S132" s="29">
        <f>(SUMIFS('代理商-进货明细表'!$I:$I,'代理商-进货明细表'!$B:$B,'代理商-产品进销存'!$B132,'代理商-进货明细表'!$F:$F,'代理商-产品进销存'!$D132,'代理商-进货明细表'!$E:$E,"4月")+SUMIFS('代理商-进货明细表'!$I:$I,'代理商-进货明细表'!$B:$B,'代理商-产品进销存'!$B132,'代理商-进货明细表'!$F:$F,'代理商-产品进销存'!$D132,'代理商-进货明细表'!$E:$E,"5月")+SUMIFS('代理商-进货明细表'!$I:$I,'代理商-进货明细表'!$B:$B,'代理商-产品进销存'!$B132,'代理商-进货明细表'!$F:$F,'代理商-产品进销存'!$D132,'代理商-进货明细表'!$E:$E,"6月"))/10000</f>
        <v>0</v>
      </c>
      <c r="T132" s="29">
        <f>(SUMIFS('代理商-进货明细表'!$I:$I,'代理商-进货明细表'!$B:$B,'代理商-产品进销存'!$B132,'代理商-进货明细表'!$F:$F,'代理商-产品进销存'!$D132,'代理商-进货明细表'!$E:$E,"7月")+SUMIFS('代理商-进货明细表'!$I:$I,'代理商-进货明细表'!$B:$B,'代理商-产品进销存'!$B132,'代理商-进货明细表'!$F:$F,'代理商-产品进销存'!$D132,'代理商-进货明细表'!$E:$E,"8月")+SUMIFS('代理商-进货明细表'!$I:$I,'代理商-进货明细表'!$B:$B,'代理商-产品进销存'!$B132,'代理商-进货明细表'!$F:$F,'代理商-产品进销存'!$D132,'代理商-进货明细表'!$E:$E,"9月"))/10000</f>
        <v>0</v>
      </c>
      <c r="U132" s="29">
        <f>(SUMIFS('代理商-进货明细表'!$I:$I,'代理商-进货明细表'!$B:$B,'代理商-产品进销存'!$B132,'代理商-进货明细表'!$F:$F,'代理商-产品进销存'!$D132,'代理商-进货明细表'!$E:$E,"10月")+SUMIFS('代理商-进货明细表'!$I:$I,'代理商-进货明细表'!$B:$B,'代理商-产品进销存'!$B132,'代理商-进货明细表'!$F:$F,'代理商-产品进销存'!$D132,'代理商-进货明细表'!$E:$E,"11月")+SUMIFS('代理商-进货明细表'!$I:$I,'代理商-进货明细表'!$B:$B,'代理商-产品进销存'!$B132,'代理商-进货明细表'!$F:$F,'代理商-产品进销存'!$D132,'代理商-进货明细表'!$E:$E,"12月"))/10000</f>
        <v>0</v>
      </c>
      <c r="V132" s="29">
        <f t="shared" ref="V132:V158" si="21">SUM(R132:U132)</f>
        <v>0</v>
      </c>
      <c r="W132" s="29">
        <f t="shared" ref="W132:W158" si="22">R132-L132</f>
        <v>0</v>
      </c>
      <c r="X132" s="29">
        <f t="shared" ref="X132:X158" si="23">S132-M132</f>
        <v>0</v>
      </c>
      <c r="Y132" s="29">
        <f t="shared" ref="Y132:Y158" si="24">T132-N132</f>
        <v>0</v>
      </c>
      <c r="Z132" s="29">
        <f t="shared" ref="Z132:Z158" si="25">U132-O132</f>
        <v>0</v>
      </c>
      <c r="AA132" s="29">
        <f t="shared" ref="AA132:AA158" si="26">SUM(W132:Z132)</f>
        <v>0</v>
      </c>
    </row>
    <row r="133" spans="1:27" x14ac:dyDescent="0.3">
      <c r="A133" s="2" t="s">
        <v>193</v>
      </c>
      <c r="B133" s="2" t="s">
        <v>115</v>
      </c>
      <c r="D133" s="3" t="s">
        <v>16</v>
      </c>
      <c r="L133" s="29">
        <f>(SUMIFS(终端客户销售统计表!$K:$K,终端客户销售统计表!$L:$L,$B133,终端客户销售统计表!$H:$H,$D133,终端客户销售统计表!$G:$G,"1月")+SUMIFS(终端客户销售统计表!$K:$K,终端客户销售统计表!$L:$L,$B133,终端客户销售统计表!$H:$H,$D133,终端客户销售统计表!$G:$G,"2月")+SUMIFS(终端客户销售统计表!$K:$K,终端客户销售统计表!$L:$L,$B133,终端客户销售统计表!$H:$H,$D133,终端客户销售统计表!$G:$G,"3月"))/10000</f>
        <v>0</v>
      </c>
      <c r="M133" s="29">
        <f>(SUMIFS(终端客户销售统计表!$K:$K,终端客户销售统计表!$L:$L,$B133,终端客户销售统计表!$H:$H,$D133,终端客户销售统计表!$G:$G,"4月")+SUMIFS(终端客户销售统计表!$K:$K,终端客户销售统计表!$L:$L,$B133,终端客户销售统计表!$H:$H,$D133,终端客户销售统计表!$G:$G,"5月")+SUMIFS(终端客户销售统计表!$K:$K,终端客户销售统计表!$L:$L,$B133,终端客户销售统计表!$H:$H,$D133,终端客户销售统计表!$G:$G,"6月"))/10000</f>
        <v>0</v>
      </c>
      <c r="N133" s="29">
        <f>(SUMIFS(终端客户销售统计表!$K:$K,终端客户销售统计表!$L:$L,$B133,终端客户销售统计表!$H:$H,$D133,终端客户销售统计表!$G:$G,"7月")+SUMIFS(终端客户销售统计表!$K:$K,终端客户销售统计表!$L:$L,$B133,终端客户销售统计表!$H:$H,$D133,终端客户销售统计表!$G:$G,"8月")+SUMIFS(终端客户销售统计表!$K:$K,终端客户销售统计表!$L:$L,$B133,终端客户销售统计表!$H:$H,$D133,终端客户销售统计表!$G:$G,"9月"))/10000</f>
        <v>0</v>
      </c>
      <c r="O133" s="29">
        <f>(SUMIFS(终端客户销售统计表!$K:$K,终端客户销售统计表!$L:$L,$B133,终端客户销售统计表!$H:$H,$D133,终端客户销售统计表!$G:$G,"10月")+SUMIFS(终端客户销售统计表!$K:$K,终端客户销售统计表!$L:$L,$B133,终端客户销售统计表!$H:$H,$D133,终端客户销售统计表!$G:$G,"11月")+SUMIFS(终端客户销售统计表!$K:$K,终端客户销售统计表!$L:$L,$B133,终端客户销售统计表!$H:$H,$D133,终端客户销售统计表!$G:$G,"12月"))/10000</f>
        <v>0</v>
      </c>
      <c r="P133" s="29">
        <f>SUM(L133:O133)</f>
        <v>0</v>
      </c>
      <c r="Q133" s="44" t="str">
        <f t="shared" si="20"/>
        <v/>
      </c>
      <c r="R133" s="29">
        <f>(SUMIFS('代理商-进货明细表'!$I:$I,'代理商-进货明细表'!$B:$B,'代理商-产品进销存'!$B133,'代理商-进货明细表'!$F:$F,'代理商-产品进销存'!$D133,'代理商-进货明细表'!$E:$E,"1月")+SUMIFS('代理商-进货明细表'!$I:$I,'代理商-进货明细表'!$B:$B,'代理商-产品进销存'!$B133,'代理商-进货明细表'!$F:$F,'代理商-产品进销存'!$D133,'代理商-进货明细表'!$E:$E,"2月")+SUMIFS('代理商-进货明细表'!$I:$I,'代理商-进货明细表'!$B:$B,'代理商-产品进销存'!$B133,'代理商-进货明细表'!$F:$F,'代理商-产品进销存'!$D133,'代理商-进货明细表'!$E:$E,"3月"))/10000</f>
        <v>0</v>
      </c>
      <c r="S133" s="29">
        <f>(SUMIFS('代理商-进货明细表'!$I:$I,'代理商-进货明细表'!$B:$B,'代理商-产品进销存'!$B133,'代理商-进货明细表'!$F:$F,'代理商-产品进销存'!$D133,'代理商-进货明细表'!$E:$E,"4月")+SUMIFS('代理商-进货明细表'!$I:$I,'代理商-进货明细表'!$B:$B,'代理商-产品进销存'!$B133,'代理商-进货明细表'!$F:$F,'代理商-产品进销存'!$D133,'代理商-进货明细表'!$E:$E,"5月")+SUMIFS('代理商-进货明细表'!$I:$I,'代理商-进货明细表'!$B:$B,'代理商-产品进销存'!$B133,'代理商-进货明细表'!$F:$F,'代理商-产品进销存'!$D133,'代理商-进货明细表'!$E:$E,"6月"))/10000</f>
        <v>0</v>
      </c>
      <c r="T133" s="29">
        <f>(SUMIFS('代理商-进货明细表'!$I:$I,'代理商-进货明细表'!$B:$B,'代理商-产品进销存'!$B133,'代理商-进货明细表'!$F:$F,'代理商-产品进销存'!$D133,'代理商-进货明细表'!$E:$E,"7月")+SUMIFS('代理商-进货明细表'!$I:$I,'代理商-进货明细表'!$B:$B,'代理商-产品进销存'!$B133,'代理商-进货明细表'!$F:$F,'代理商-产品进销存'!$D133,'代理商-进货明细表'!$E:$E,"8月")+SUMIFS('代理商-进货明细表'!$I:$I,'代理商-进货明细表'!$B:$B,'代理商-产品进销存'!$B133,'代理商-进货明细表'!$F:$F,'代理商-产品进销存'!$D133,'代理商-进货明细表'!$E:$E,"9月"))/10000</f>
        <v>0</v>
      </c>
      <c r="U133" s="29">
        <f>(SUMIFS('代理商-进货明细表'!$I:$I,'代理商-进货明细表'!$B:$B,'代理商-产品进销存'!$B133,'代理商-进货明细表'!$F:$F,'代理商-产品进销存'!$D133,'代理商-进货明细表'!$E:$E,"10月")+SUMIFS('代理商-进货明细表'!$I:$I,'代理商-进货明细表'!$B:$B,'代理商-产品进销存'!$B133,'代理商-进货明细表'!$F:$F,'代理商-产品进销存'!$D133,'代理商-进货明细表'!$E:$E,"11月")+SUMIFS('代理商-进货明细表'!$I:$I,'代理商-进货明细表'!$B:$B,'代理商-产品进销存'!$B133,'代理商-进货明细表'!$F:$F,'代理商-产品进销存'!$D133,'代理商-进货明细表'!$E:$E,"12月"))/10000</f>
        <v>0</v>
      </c>
      <c r="V133" s="29">
        <f t="shared" si="21"/>
        <v>0</v>
      </c>
      <c r="W133" s="29">
        <f t="shared" si="22"/>
        <v>0</v>
      </c>
      <c r="X133" s="29">
        <f t="shared" si="23"/>
        <v>0</v>
      </c>
      <c r="Y133" s="29">
        <f t="shared" si="24"/>
        <v>0</v>
      </c>
      <c r="Z133" s="29">
        <f t="shared" si="25"/>
        <v>0</v>
      </c>
      <c r="AA133" s="29">
        <f t="shared" si="26"/>
        <v>0</v>
      </c>
    </row>
    <row r="134" spans="1:27" x14ac:dyDescent="0.3">
      <c r="A134" s="2" t="s">
        <v>193</v>
      </c>
      <c r="B134" s="2" t="s">
        <v>115</v>
      </c>
      <c r="D134" s="3" t="s">
        <v>17</v>
      </c>
      <c r="L134" s="29">
        <f>(SUMIFS(终端客户销售统计表!$K:$K,终端客户销售统计表!$L:$L,$B134,终端客户销售统计表!$H:$H,$D134,终端客户销售统计表!$G:$G,"1月")+SUMIFS(终端客户销售统计表!$K:$K,终端客户销售统计表!$L:$L,$B134,终端客户销售统计表!$H:$H,$D134,终端客户销售统计表!$G:$G,"2月")+SUMIFS(终端客户销售统计表!$K:$K,终端客户销售统计表!$L:$L,$B134,终端客户销售统计表!$H:$H,$D134,终端客户销售统计表!$G:$G,"3月"))/10000</f>
        <v>0</v>
      </c>
      <c r="M134" s="29">
        <f>(SUMIFS(终端客户销售统计表!$K:$K,终端客户销售统计表!$L:$L,$B134,终端客户销售统计表!$H:$H,$D134,终端客户销售统计表!$G:$G,"4月")+SUMIFS(终端客户销售统计表!$K:$K,终端客户销售统计表!$L:$L,$B134,终端客户销售统计表!$H:$H,$D134,终端客户销售统计表!$G:$G,"5月")+SUMIFS(终端客户销售统计表!$K:$K,终端客户销售统计表!$L:$L,$B134,终端客户销售统计表!$H:$H,$D134,终端客户销售统计表!$G:$G,"6月"))/10000</f>
        <v>0</v>
      </c>
      <c r="N134" s="29">
        <f>(SUMIFS(终端客户销售统计表!$K:$K,终端客户销售统计表!$L:$L,$B134,终端客户销售统计表!$H:$H,$D134,终端客户销售统计表!$G:$G,"7月")+SUMIFS(终端客户销售统计表!$K:$K,终端客户销售统计表!$L:$L,$B134,终端客户销售统计表!$H:$H,$D134,终端客户销售统计表!$G:$G,"8月")+SUMIFS(终端客户销售统计表!$K:$K,终端客户销售统计表!$L:$L,$B134,终端客户销售统计表!$H:$H,$D134,终端客户销售统计表!$G:$G,"9月"))/10000</f>
        <v>0</v>
      </c>
      <c r="O134" s="29">
        <f>(SUMIFS(终端客户销售统计表!$K:$K,终端客户销售统计表!$L:$L,$B134,终端客户销售统计表!$H:$H,$D134,终端客户销售统计表!$G:$G,"10月")+SUMIFS(终端客户销售统计表!$K:$K,终端客户销售统计表!$L:$L,$B134,终端客户销售统计表!$H:$H,$D134,终端客户销售统计表!$G:$G,"11月")+SUMIFS(终端客户销售统计表!$K:$K,终端客户销售统计表!$L:$L,$B134,终端客户销售统计表!$H:$H,$D134,终端客户销售统计表!$G:$G,"12月"))/10000</f>
        <v>0</v>
      </c>
      <c r="P134" s="29">
        <f>SUM(L134:O134)</f>
        <v>0</v>
      </c>
      <c r="Q134" s="44" t="str">
        <f t="shared" si="20"/>
        <v/>
      </c>
      <c r="R134" s="29">
        <f>(SUMIFS('代理商-进货明细表'!$I:$I,'代理商-进货明细表'!$B:$B,'代理商-产品进销存'!$B134,'代理商-进货明细表'!$F:$F,'代理商-产品进销存'!$D134,'代理商-进货明细表'!$E:$E,"1月")+SUMIFS('代理商-进货明细表'!$I:$I,'代理商-进货明细表'!$B:$B,'代理商-产品进销存'!$B134,'代理商-进货明细表'!$F:$F,'代理商-产品进销存'!$D134,'代理商-进货明细表'!$E:$E,"2月")+SUMIFS('代理商-进货明细表'!$I:$I,'代理商-进货明细表'!$B:$B,'代理商-产品进销存'!$B134,'代理商-进货明细表'!$F:$F,'代理商-产品进销存'!$D134,'代理商-进货明细表'!$E:$E,"3月"))/10000</f>
        <v>0</v>
      </c>
      <c r="S134" s="29">
        <f>(SUMIFS('代理商-进货明细表'!$I:$I,'代理商-进货明细表'!$B:$B,'代理商-产品进销存'!$B134,'代理商-进货明细表'!$F:$F,'代理商-产品进销存'!$D134,'代理商-进货明细表'!$E:$E,"4月")+SUMIFS('代理商-进货明细表'!$I:$I,'代理商-进货明细表'!$B:$B,'代理商-产品进销存'!$B134,'代理商-进货明细表'!$F:$F,'代理商-产品进销存'!$D134,'代理商-进货明细表'!$E:$E,"5月")+SUMIFS('代理商-进货明细表'!$I:$I,'代理商-进货明细表'!$B:$B,'代理商-产品进销存'!$B134,'代理商-进货明细表'!$F:$F,'代理商-产品进销存'!$D134,'代理商-进货明细表'!$E:$E,"6月"))/10000</f>
        <v>0</v>
      </c>
      <c r="T134" s="29">
        <f>(SUMIFS('代理商-进货明细表'!$I:$I,'代理商-进货明细表'!$B:$B,'代理商-产品进销存'!$B134,'代理商-进货明细表'!$F:$F,'代理商-产品进销存'!$D134,'代理商-进货明细表'!$E:$E,"7月")+SUMIFS('代理商-进货明细表'!$I:$I,'代理商-进货明细表'!$B:$B,'代理商-产品进销存'!$B134,'代理商-进货明细表'!$F:$F,'代理商-产品进销存'!$D134,'代理商-进货明细表'!$E:$E,"8月")+SUMIFS('代理商-进货明细表'!$I:$I,'代理商-进货明细表'!$B:$B,'代理商-产品进销存'!$B134,'代理商-进货明细表'!$F:$F,'代理商-产品进销存'!$D134,'代理商-进货明细表'!$E:$E,"9月"))/10000</f>
        <v>0</v>
      </c>
      <c r="U134" s="29">
        <f>(SUMIFS('代理商-进货明细表'!$I:$I,'代理商-进货明细表'!$B:$B,'代理商-产品进销存'!$B134,'代理商-进货明细表'!$F:$F,'代理商-产品进销存'!$D134,'代理商-进货明细表'!$E:$E,"10月")+SUMIFS('代理商-进货明细表'!$I:$I,'代理商-进货明细表'!$B:$B,'代理商-产品进销存'!$B134,'代理商-进货明细表'!$F:$F,'代理商-产品进销存'!$D134,'代理商-进货明细表'!$E:$E,"11月")+SUMIFS('代理商-进货明细表'!$I:$I,'代理商-进货明细表'!$B:$B,'代理商-产品进销存'!$B134,'代理商-进货明细表'!$F:$F,'代理商-产品进销存'!$D134,'代理商-进货明细表'!$E:$E,"12月"))/10000</f>
        <v>0</v>
      </c>
      <c r="V134" s="29">
        <f t="shared" si="21"/>
        <v>0</v>
      </c>
      <c r="W134" s="29">
        <f t="shared" si="22"/>
        <v>0</v>
      </c>
      <c r="X134" s="29">
        <f t="shared" si="23"/>
        <v>0</v>
      </c>
      <c r="Y134" s="29">
        <f t="shared" si="24"/>
        <v>0</v>
      </c>
      <c r="Z134" s="29">
        <f t="shared" si="25"/>
        <v>0</v>
      </c>
      <c r="AA134" s="29">
        <f t="shared" si="26"/>
        <v>0</v>
      </c>
    </row>
    <row r="135" spans="1:27" x14ac:dyDescent="0.3">
      <c r="A135" s="2" t="s">
        <v>194</v>
      </c>
      <c r="B135" s="2" t="s">
        <v>116</v>
      </c>
      <c r="D135" s="3" t="s">
        <v>14</v>
      </c>
      <c r="L135" s="29">
        <f>(SUMIFS(终端客户销售统计表!$K:$K,终端客户销售统计表!$L:$L,$B135,终端客户销售统计表!$H:$H,$D135,终端客户销售统计表!$G:$G,"1月")+SUMIFS(终端客户销售统计表!$K:$K,终端客户销售统计表!$L:$L,$B135,终端客户销售统计表!$H:$H,$D135,终端客户销售统计表!$G:$G,"2月")+SUMIFS(终端客户销售统计表!$K:$K,终端客户销售统计表!$L:$L,$B135,终端客户销售统计表!$H:$H,$D135,终端客户销售统计表!$G:$G,"3月"))/10000</f>
        <v>0</v>
      </c>
      <c r="M135" s="29">
        <f>(SUMIFS(终端客户销售统计表!$K:$K,终端客户销售统计表!$L:$L,$B135,终端客户销售统计表!$H:$H,$D135,终端客户销售统计表!$G:$G,"4月")+SUMIFS(终端客户销售统计表!$K:$K,终端客户销售统计表!$L:$L,$B135,终端客户销售统计表!$H:$H,$D135,终端客户销售统计表!$G:$G,"5月")+SUMIFS(终端客户销售统计表!$K:$K,终端客户销售统计表!$L:$L,$B135,终端客户销售统计表!$H:$H,$D135,终端客户销售统计表!$G:$G,"6月"))/10000</f>
        <v>0</v>
      </c>
      <c r="N135" s="29">
        <f>(SUMIFS(终端客户销售统计表!$K:$K,终端客户销售统计表!$L:$L,$B135,终端客户销售统计表!$H:$H,$D135,终端客户销售统计表!$G:$G,"7月")+SUMIFS(终端客户销售统计表!$K:$K,终端客户销售统计表!$L:$L,$B135,终端客户销售统计表!$H:$H,$D135,终端客户销售统计表!$G:$G,"8月")+SUMIFS(终端客户销售统计表!$K:$K,终端客户销售统计表!$L:$L,$B135,终端客户销售统计表!$H:$H,$D135,终端客户销售统计表!$G:$G,"9月"))/10000</f>
        <v>0</v>
      </c>
      <c r="O135" s="29">
        <f>(SUMIFS(终端客户销售统计表!$K:$K,终端客户销售统计表!$L:$L,$B135,终端客户销售统计表!$H:$H,$D135,终端客户销售统计表!$G:$G,"10月")+SUMIFS(终端客户销售统计表!$K:$K,终端客户销售统计表!$L:$L,$B135,终端客户销售统计表!$H:$H,$D135,终端客户销售统计表!$G:$G,"11月")+SUMIFS(终端客户销售统计表!$K:$K,终端客户销售统计表!$L:$L,$B135,终端客户销售统计表!$H:$H,$D135,终端客户销售统计表!$G:$G,"12月"))/10000</f>
        <v>0</v>
      </c>
      <c r="P135" s="29">
        <f>SUM(L135:O135)</f>
        <v>0</v>
      </c>
      <c r="Q135" s="44" t="str">
        <f t="shared" si="20"/>
        <v/>
      </c>
      <c r="R135" s="29">
        <f>(SUMIFS('代理商-进货明细表'!$I:$I,'代理商-进货明细表'!$B:$B,'代理商-产品进销存'!$B135,'代理商-进货明细表'!$F:$F,'代理商-产品进销存'!$D135,'代理商-进货明细表'!$E:$E,"1月")+SUMIFS('代理商-进货明细表'!$I:$I,'代理商-进货明细表'!$B:$B,'代理商-产品进销存'!$B135,'代理商-进货明细表'!$F:$F,'代理商-产品进销存'!$D135,'代理商-进货明细表'!$E:$E,"2月")+SUMIFS('代理商-进货明细表'!$I:$I,'代理商-进货明细表'!$B:$B,'代理商-产品进销存'!$B135,'代理商-进货明细表'!$F:$F,'代理商-产品进销存'!$D135,'代理商-进货明细表'!$E:$E,"3月"))/10000</f>
        <v>0</v>
      </c>
      <c r="S135" s="29">
        <f>(SUMIFS('代理商-进货明细表'!$I:$I,'代理商-进货明细表'!$B:$B,'代理商-产品进销存'!$B135,'代理商-进货明细表'!$F:$F,'代理商-产品进销存'!$D135,'代理商-进货明细表'!$E:$E,"4月")+SUMIFS('代理商-进货明细表'!$I:$I,'代理商-进货明细表'!$B:$B,'代理商-产品进销存'!$B135,'代理商-进货明细表'!$F:$F,'代理商-产品进销存'!$D135,'代理商-进货明细表'!$E:$E,"5月")+SUMIFS('代理商-进货明细表'!$I:$I,'代理商-进货明细表'!$B:$B,'代理商-产品进销存'!$B135,'代理商-进货明细表'!$F:$F,'代理商-产品进销存'!$D135,'代理商-进货明细表'!$E:$E,"6月"))/10000</f>
        <v>0</v>
      </c>
      <c r="T135" s="29">
        <f>(SUMIFS('代理商-进货明细表'!$I:$I,'代理商-进货明细表'!$B:$B,'代理商-产品进销存'!$B135,'代理商-进货明细表'!$F:$F,'代理商-产品进销存'!$D135,'代理商-进货明细表'!$E:$E,"7月")+SUMIFS('代理商-进货明细表'!$I:$I,'代理商-进货明细表'!$B:$B,'代理商-产品进销存'!$B135,'代理商-进货明细表'!$F:$F,'代理商-产品进销存'!$D135,'代理商-进货明细表'!$E:$E,"8月")+SUMIFS('代理商-进货明细表'!$I:$I,'代理商-进货明细表'!$B:$B,'代理商-产品进销存'!$B135,'代理商-进货明细表'!$F:$F,'代理商-产品进销存'!$D135,'代理商-进货明细表'!$E:$E,"9月"))/10000</f>
        <v>0</v>
      </c>
      <c r="U135" s="29">
        <f>(SUMIFS('代理商-进货明细表'!$I:$I,'代理商-进货明细表'!$B:$B,'代理商-产品进销存'!$B135,'代理商-进货明细表'!$F:$F,'代理商-产品进销存'!$D135,'代理商-进货明细表'!$E:$E,"10月")+SUMIFS('代理商-进货明细表'!$I:$I,'代理商-进货明细表'!$B:$B,'代理商-产品进销存'!$B135,'代理商-进货明细表'!$F:$F,'代理商-产品进销存'!$D135,'代理商-进货明细表'!$E:$E,"11月")+SUMIFS('代理商-进货明细表'!$I:$I,'代理商-进货明细表'!$B:$B,'代理商-产品进销存'!$B135,'代理商-进货明细表'!$F:$F,'代理商-产品进销存'!$D135,'代理商-进货明细表'!$E:$E,"12月"))/10000</f>
        <v>0</v>
      </c>
      <c r="V135" s="29">
        <f t="shared" si="21"/>
        <v>0</v>
      </c>
      <c r="W135" s="29">
        <f t="shared" si="22"/>
        <v>0</v>
      </c>
      <c r="X135" s="29">
        <f t="shared" si="23"/>
        <v>0</v>
      </c>
      <c r="Y135" s="29">
        <f t="shared" si="24"/>
        <v>0</v>
      </c>
      <c r="Z135" s="29">
        <f t="shared" si="25"/>
        <v>0</v>
      </c>
      <c r="AA135" s="29">
        <f t="shared" si="26"/>
        <v>0</v>
      </c>
    </row>
    <row r="136" spans="1:27" x14ac:dyDescent="0.3">
      <c r="A136" s="2" t="s">
        <v>194</v>
      </c>
      <c r="B136" s="2" t="s">
        <v>116</v>
      </c>
      <c r="D136" s="3" t="s">
        <v>15</v>
      </c>
      <c r="L136" s="29">
        <f>(SUMIFS(终端客户销售统计表!$K:$K,终端客户销售统计表!$L:$L,$B136,终端客户销售统计表!$H:$H,$D136,终端客户销售统计表!$G:$G,"1月")+SUMIFS(终端客户销售统计表!$K:$K,终端客户销售统计表!$L:$L,$B136,终端客户销售统计表!$H:$H,$D136,终端客户销售统计表!$G:$G,"2月")+SUMIFS(终端客户销售统计表!$K:$K,终端客户销售统计表!$L:$L,$B136,终端客户销售统计表!$H:$H,$D136,终端客户销售统计表!$G:$G,"3月"))/10000</f>
        <v>0</v>
      </c>
      <c r="M136" s="29">
        <f>(SUMIFS(终端客户销售统计表!$K:$K,终端客户销售统计表!$L:$L,$B136,终端客户销售统计表!$H:$H,$D136,终端客户销售统计表!$G:$G,"4月")+SUMIFS(终端客户销售统计表!$K:$K,终端客户销售统计表!$L:$L,$B136,终端客户销售统计表!$H:$H,$D136,终端客户销售统计表!$G:$G,"5月")+SUMIFS(终端客户销售统计表!$K:$K,终端客户销售统计表!$L:$L,$B136,终端客户销售统计表!$H:$H,$D136,终端客户销售统计表!$G:$G,"6月"))/10000</f>
        <v>0</v>
      </c>
      <c r="N136" s="29">
        <f>(SUMIFS(终端客户销售统计表!$K:$K,终端客户销售统计表!$L:$L,$B136,终端客户销售统计表!$H:$H,$D136,终端客户销售统计表!$G:$G,"7月")+SUMIFS(终端客户销售统计表!$K:$K,终端客户销售统计表!$L:$L,$B136,终端客户销售统计表!$H:$H,$D136,终端客户销售统计表!$G:$G,"8月")+SUMIFS(终端客户销售统计表!$K:$K,终端客户销售统计表!$L:$L,$B136,终端客户销售统计表!$H:$H,$D136,终端客户销售统计表!$G:$G,"9月"))/10000</f>
        <v>0</v>
      </c>
      <c r="O136" s="29">
        <f>(SUMIFS(终端客户销售统计表!$K:$K,终端客户销售统计表!$L:$L,$B136,终端客户销售统计表!$H:$H,$D136,终端客户销售统计表!$G:$G,"10月")+SUMIFS(终端客户销售统计表!$K:$K,终端客户销售统计表!$L:$L,$B136,终端客户销售统计表!$H:$H,$D136,终端客户销售统计表!$G:$G,"11月")+SUMIFS(终端客户销售统计表!$K:$K,终端客户销售统计表!$L:$L,$B136,终端客户销售统计表!$H:$H,$D136,终端客户销售统计表!$G:$G,"12月"))/10000</f>
        <v>0</v>
      </c>
      <c r="P136" s="29">
        <f>SUM(L136:O136)</f>
        <v>0</v>
      </c>
      <c r="Q136" s="44" t="str">
        <f t="shared" si="20"/>
        <v/>
      </c>
      <c r="R136" s="29">
        <f>(SUMIFS('代理商-进货明细表'!$I:$I,'代理商-进货明细表'!$B:$B,'代理商-产品进销存'!$B136,'代理商-进货明细表'!$F:$F,'代理商-产品进销存'!$D136,'代理商-进货明细表'!$E:$E,"1月")+SUMIFS('代理商-进货明细表'!$I:$I,'代理商-进货明细表'!$B:$B,'代理商-产品进销存'!$B136,'代理商-进货明细表'!$F:$F,'代理商-产品进销存'!$D136,'代理商-进货明细表'!$E:$E,"2月")+SUMIFS('代理商-进货明细表'!$I:$I,'代理商-进货明细表'!$B:$B,'代理商-产品进销存'!$B136,'代理商-进货明细表'!$F:$F,'代理商-产品进销存'!$D136,'代理商-进货明细表'!$E:$E,"3月"))/10000</f>
        <v>0</v>
      </c>
      <c r="S136" s="29">
        <f>(SUMIFS('代理商-进货明细表'!$I:$I,'代理商-进货明细表'!$B:$B,'代理商-产品进销存'!$B136,'代理商-进货明细表'!$F:$F,'代理商-产品进销存'!$D136,'代理商-进货明细表'!$E:$E,"4月")+SUMIFS('代理商-进货明细表'!$I:$I,'代理商-进货明细表'!$B:$B,'代理商-产品进销存'!$B136,'代理商-进货明细表'!$F:$F,'代理商-产品进销存'!$D136,'代理商-进货明细表'!$E:$E,"5月")+SUMIFS('代理商-进货明细表'!$I:$I,'代理商-进货明细表'!$B:$B,'代理商-产品进销存'!$B136,'代理商-进货明细表'!$F:$F,'代理商-产品进销存'!$D136,'代理商-进货明细表'!$E:$E,"6月"))/10000</f>
        <v>0</v>
      </c>
      <c r="T136" s="29">
        <f>(SUMIFS('代理商-进货明细表'!$I:$I,'代理商-进货明细表'!$B:$B,'代理商-产品进销存'!$B136,'代理商-进货明细表'!$F:$F,'代理商-产品进销存'!$D136,'代理商-进货明细表'!$E:$E,"7月")+SUMIFS('代理商-进货明细表'!$I:$I,'代理商-进货明细表'!$B:$B,'代理商-产品进销存'!$B136,'代理商-进货明细表'!$F:$F,'代理商-产品进销存'!$D136,'代理商-进货明细表'!$E:$E,"8月")+SUMIFS('代理商-进货明细表'!$I:$I,'代理商-进货明细表'!$B:$B,'代理商-产品进销存'!$B136,'代理商-进货明细表'!$F:$F,'代理商-产品进销存'!$D136,'代理商-进货明细表'!$E:$E,"9月"))/10000</f>
        <v>0</v>
      </c>
      <c r="U136" s="29">
        <f>(SUMIFS('代理商-进货明细表'!$I:$I,'代理商-进货明细表'!$B:$B,'代理商-产品进销存'!$B136,'代理商-进货明细表'!$F:$F,'代理商-产品进销存'!$D136,'代理商-进货明细表'!$E:$E,"10月")+SUMIFS('代理商-进货明细表'!$I:$I,'代理商-进货明细表'!$B:$B,'代理商-产品进销存'!$B136,'代理商-进货明细表'!$F:$F,'代理商-产品进销存'!$D136,'代理商-进货明细表'!$E:$E,"11月")+SUMIFS('代理商-进货明细表'!$I:$I,'代理商-进货明细表'!$B:$B,'代理商-产品进销存'!$B136,'代理商-进货明细表'!$F:$F,'代理商-产品进销存'!$D136,'代理商-进货明细表'!$E:$E,"12月"))/10000</f>
        <v>0</v>
      </c>
      <c r="V136" s="29">
        <f t="shared" si="21"/>
        <v>0</v>
      </c>
      <c r="W136" s="29">
        <f t="shared" si="22"/>
        <v>0</v>
      </c>
      <c r="X136" s="29">
        <f t="shared" si="23"/>
        <v>0</v>
      </c>
      <c r="Y136" s="29">
        <f t="shared" si="24"/>
        <v>0</v>
      </c>
      <c r="Z136" s="29">
        <f t="shared" si="25"/>
        <v>0</v>
      </c>
      <c r="AA136" s="29">
        <f t="shared" si="26"/>
        <v>0</v>
      </c>
    </row>
    <row r="137" spans="1:27" x14ac:dyDescent="0.3">
      <c r="A137" s="2" t="s">
        <v>194</v>
      </c>
      <c r="B137" s="2" t="s">
        <v>116</v>
      </c>
      <c r="D137" s="3" t="s">
        <v>16</v>
      </c>
      <c r="L137" s="29">
        <f>(SUMIFS(终端客户销售统计表!$K:$K,终端客户销售统计表!$L:$L,$B137,终端客户销售统计表!$H:$H,$D137,终端客户销售统计表!$G:$G,"1月")+SUMIFS(终端客户销售统计表!$K:$K,终端客户销售统计表!$L:$L,$B137,终端客户销售统计表!$H:$H,$D137,终端客户销售统计表!$G:$G,"2月")+SUMIFS(终端客户销售统计表!$K:$K,终端客户销售统计表!$L:$L,$B137,终端客户销售统计表!$H:$H,$D137,终端客户销售统计表!$G:$G,"3月"))/10000</f>
        <v>0</v>
      </c>
      <c r="M137" s="29">
        <f>(SUMIFS(终端客户销售统计表!$K:$K,终端客户销售统计表!$L:$L,$B137,终端客户销售统计表!$H:$H,$D137,终端客户销售统计表!$G:$G,"4月")+SUMIFS(终端客户销售统计表!$K:$K,终端客户销售统计表!$L:$L,$B137,终端客户销售统计表!$H:$H,$D137,终端客户销售统计表!$G:$G,"5月")+SUMIFS(终端客户销售统计表!$K:$K,终端客户销售统计表!$L:$L,$B137,终端客户销售统计表!$H:$H,$D137,终端客户销售统计表!$G:$G,"6月"))/10000</f>
        <v>0</v>
      </c>
      <c r="N137" s="29">
        <f>(SUMIFS(终端客户销售统计表!$K:$K,终端客户销售统计表!$L:$L,$B137,终端客户销售统计表!$H:$H,$D137,终端客户销售统计表!$G:$G,"7月")+SUMIFS(终端客户销售统计表!$K:$K,终端客户销售统计表!$L:$L,$B137,终端客户销售统计表!$H:$H,$D137,终端客户销售统计表!$G:$G,"8月")+SUMIFS(终端客户销售统计表!$K:$K,终端客户销售统计表!$L:$L,$B137,终端客户销售统计表!$H:$H,$D137,终端客户销售统计表!$G:$G,"9月"))/10000</f>
        <v>0</v>
      </c>
      <c r="O137" s="29">
        <f>(SUMIFS(终端客户销售统计表!$K:$K,终端客户销售统计表!$L:$L,$B137,终端客户销售统计表!$H:$H,$D137,终端客户销售统计表!$G:$G,"10月")+SUMIFS(终端客户销售统计表!$K:$K,终端客户销售统计表!$L:$L,$B137,终端客户销售统计表!$H:$H,$D137,终端客户销售统计表!$G:$G,"11月")+SUMIFS(终端客户销售统计表!$K:$K,终端客户销售统计表!$L:$L,$B137,终端客户销售统计表!$H:$H,$D137,终端客户销售统计表!$G:$G,"12月"))/10000</f>
        <v>0</v>
      </c>
      <c r="P137" s="29">
        <f>SUM(L137:O137)</f>
        <v>0</v>
      </c>
      <c r="Q137" s="44" t="str">
        <f t="shared" si="20"/>
        <v/>
      </c>
      <c r="R137" s="29">
        <f>(SUMIFS('代理商-进货明细表'!$I:$I,'代理商-进货明细表'!$B:$B,'代理商-产品进销存'!$B137,'代理商-进货明细表'!$F:$F,'代理商-产品进销存'!$D137,'代理商-进货明细表'!$E:$E,"1月")+SUMIFS('代理商-进货明细表'!$I:$I,'代理商-进货明细表'!$B:$B,'代理商-产品进销存'!$B137,'代理商-进货明细表'!$F:$F,'代理商-产品进销存'!$D137,'代理商-进货明细表'!$E:$E,"2月")+SUMIFS('代理商-进货明细表'!$I:$I,'代理商-进货明细表'!$B:$B,'代理商-产品进销存'!$B137,'代理商-进货明细表'!$F:$F,'代理商-产品进销存'!$D137,'代理商-进货明细表'!$E:$E,"3月"))/10000</f>
        <v>0</v>
      </c>
      <c r="S137" s="29">
        <f>(SUMIFS('代理商-进货明细表'!$I:$I,'代理商-进货明细表'!$B:$B,'代理商-产品进销存'!$B137,'代理商-进货明细表'!$F:$F,'代理商-产品进销存'!$D137,'代理商-进货明细表'!$E:$E,"4月")+SUMIFS('代理商-进货明细表'!$I:$I,'代理商-进货明细表'!$B:$B,'代理商-产品进销存'!$B137,'代理商-进货明细表'!$F:$F,'代理商-产品进销存'!$D137,'代理商-进货明细表'!$E:$E,"5月")+SUMIFS('代理商-进货明细表'!$I:$I,'代理商-进货明细表'!$B:$B,'代理商-产品进销存'!$B137,'代理商-进货明细表'!$F:$F,'代理商-产品进销存'!$D137,'代理商-进货明细表'!$E:$E,"6月"))/10000</f>
        <v>0</v>
      </c>
      <c r="T137" s="29">
        <f>(SUMIFS('代理商-进货明细表'!$I:$I,'代理商-进货明细表'!$B:$B,'代理商-产品进销存'!$B137,'代理商-进货明细表'!$F:$F,'代理商-产品进销存'!$D137,'代理商-进货明细表'!$E:$E,"7月")+SUMIFS('代理商-进货明细表'!$I:$I,'代理商-进货明细表'!$B:$B,'代理商-产品进销存'!$B137,'代理商-进货明细表'!$F:$F,'代理商-产品进销存'!$D137,'代理商-进货明细表'!$E:$E,"8月")+SUMIFS('代理商-进货明细表'!$I:$I,'代理商-进货明细表'!$B:$B,'代理商-产品进销存'!$B137,'代理商-进货明细表'!$F:$F,'代理商-产品进销存'!$D137,'代理商-进货明细表'!$E:$E,"9月"))/10000</f>
        <v>0</v>
      </c>
      <c r="U137" s="29">
        <f>(SUMIFS('代理商-进货明细表'!$I:$I,'代理商-进货明细表'!$B:$B,'代理商-产品进销存'!$B137,'代理商-进货明细表'!$F:$F,'代理商-产品进销存'!$D137,'代理商-进货明细表'!$E:$E,"10月")+SUMIFS('代理商-进货明细表'!$I:$I,'代理商-进货明细表'!$B:$B,'代理商-产品进销存'!$B137,'代理商-进货明细表'!$F:$F,'代理商-产品进销存'!$D137,'代理商-进货明细表'!$E:$E,"11月")+SUMIFS('代理商-进货明细表'!$I:$I,'代理商-进货明细表'!$B:$B,'代理商-产品进销存'!$B137,'代理商-进货明细表'!$F:$F,'代理商-产品进销存'!$D137,'代理商-进货明细表'!$E:$E,"12月"))/10000</f>
        <v>0</v>
      </c>
      <c r="V137" s="29">
        <f t="shared" si="21"/>
        <v>0</v>
      </c>
      <c r="W137" s="29">
        <f t="shared" si="22"/>
        <v>0</v>
      </c>
      <c r="X137" s="29">
        <f t="shared" si="23"/>
        <v>0</v>
      </c>
      <c r="Y137" s="29">
        <f t="shared" si="24"/>
        <v>0</v>
      </c>
      <c r="Z137" s="29">
        <f t="shared" si="25"/>
        <v>0</v>
      </c>
      <c r="AA137" s="29">
        <f t="shared" si="26"/>
        <v>0</v>
      </c>
    </row>
    <row r="138" spans="1:27" x14ac:dyDescent="0.3">
      <c r="A138" s="2" t="s">
        <v>194</v>
      </c>
      <c r="B138" s="2" t="s">
        <v>116</v>
      </c>
      <c r="D138" s="3" t="s">
        <v>17</v>
      </c>
      <c r="L138" s="29">
        <f>(SUMIFS(终端客户销售统计表!$K:$K,终端客户销售统计表!$L:$L,$B138,终端客户销售统计表!$H:$H,$D138,终端客户销售统计表!$G:$G,"1月")+SUMIFS(终端客户销售统计表!$K:$K,终端客户销售统计表!$L:$L,$B138,终端客户销售统计表!$H:$H,$D138,终端客户销售统计表!$G:$G,"2月")+SUMIFS(终端客户销售统计表!$K:$K,终端客户销售统计表!$L:$L,$B138,终端客户销售统计表!$H:$H,$D138,终端客户销售统计表!$G:$G,"3月"))/10000</f>
        <v>0</v>
      </c>
      <c r="M138" s="29">
        <f>(SUMIFS(终端客户销售统计表!$K:$K,终端客户销售统计表!$L:$L,$B138,终端客户销售统计表!$H:$H,$D138,终端客户销售统计表!$G:$G,"4月")+SUMIFS(终端客户销售统计表!$K:$K,终端客户销售统计表!$L:$L,$B138,终端客户销售统计表!$H:$H,$D138,终端客户销售统计表!$G:$G,"5月")+SUMIFS(终端客户销售统计表!$K:$K,终端客户销售统计表!$L:$L,$B138,终端客户销售统计表!$H:$H,$D138,终端客户销售统计表!$G:$G,"6月"))/10000</f>
        <v>0</v>
      </c>
      <c r="N138" s="29">
        <f>(SUMIFS(终端客户销售统计表!$K:$K,终端客户销售统计表!$L:$L,$B138,终端客户销售统计表!$H:$H,$D138,终端客户销售统计表!$G:$G,"7月")+SUMIFS(终端客户销售统计表!$K:$K,终端客户销售统计表!$L:$L,$B138,终端客户销售统计表!$H:$H,$D138,终端客户销售统计表!$G:$G,"8月")+SUMIFS(终端客户销售统计表!$K:$K,终端客户销售统计表!$L:$L,$B138,终端客户销售统计表!$H:$H,$D138,终端客户销售统计表!$G:$G,"9月"))/10000</f>
        <v>0</v>
      </c>
      <c r="O138" s="29">
        <f>(SUMIFS(终端客户销售统计表!$K:$K,终端客户销售统计表!$L:$L,$B138,终端客户销售统计表!$H:$H,$D138,终端客户销售统计表!$G:$G,"10月")+SUMIFS(终端客户销售统计表!$K:$K,终端客户销售统计表!$L:$L,$B138,终端客户销售统计表!$H:$H,$D138,终端客户销售统计表!$G:$G,"11月")+SUMIFS(终端客户销售统计表!$K:$K,终端客户销售统计表!$L:$L,$B138,终端客户销售统计表!$H:$H,$D138,终端客户销售统计表!$G:$G,"12月"))/10000</f>
        <v>0</v>
      </c>
      <c r="P138" s="29">
        <f>SUM(L138:O138)</f>
        <v>0</v>
      </c>
      <c r="Q138" s="44" t="str">
        <f t="shared" si="20"/>
        <v/>
      </c>
      <c r="R138" s="29">
        <f>(SUMIFS('代理商-进货明细表'!$I:$I,'代理商-进货明细表'!$B:$B,'代理商-产品进销存'!$B138,'代理商-进货明细表'!$F:$F,'代理商-产品进销存'!$D138,'代理商-进货明细表'!$E:$E,"1月")+SUMIFS('代理商-进货明细表'!$I:$I,'代理商-进货明细表'!$B:$B,'代理商-产品进销存'!$B138,'代理商-进货明细表'!$F:$F,'代理商-产品进销存'!$D138,'代理商-进货明细表'!$E:$E,"2月")+SUMIFS('代理商-进货明细表'!$I:$I,'代理商-进货明细表'!$B:$B,'代理商-产品进销存'!$B138,'代理商-进货明细表'!$F:$F,'代理商-产品进销存'!$D138,'代理商-进货明细表'!$E:$E,"3月"))/10000</f>
        <v>0</v>
      </c>
      <c r="S138" s="29">
        <f>(SUMIFS('代理商-进货明细表'!$I:$I,'代理商-进货明细表'!$B:$B,'代理商-产品进销存'!$B138,'代理商-进货明细表'!$F:$F,'代理商-产品进销存'!$D138,'代理商-进货明细表'!$E:$E,"4月")+SUMIFS('代理商-进货明细表'!$I:$I,'代理商-进货明细表'!$B:$B,'代理商-产品进销存'!$B138,'代理商-进货明细表'!$F:$F,'代理商-产品进销存'!$D138,'代理商-进货明细表'!$E:$E,"5月")+SUMIFS('代理商-进货明细表'!$I:$I,'代理商-进货明细表'!$B:$B,'代理商-产品进销存'!$B138,'代理商-进货明细表'!$F:$F,'代理商-产品进销存'!$D138,'代理商-进货明细表'!$E:$E,"6月"))/10000</f>
        <v>0</v>
      </c>
      <c r="T138" s="29">
        <f>(SUMIFS('代理商-进货明细表'!$I:$I,'代理商-进货明细表'!$B:$B,'代理商-产品进销存'!$B138,'代理商-进货明细表'!$F:$F,'代理商-产品进销存'!$D138,'代理商-进货明细表'!$E:$E,"7月")+SUMIFS('代理商-进货明细表'!$I:$I,'代理商-进货明细表'!$B:$B,'代理商-产品进销存'!$B138,'代理商-进货明细表'!$F:$F,'代理商-产品进销存'!$D138,'代理商-进货明细表'!$E:$E,"8月")+SUMIFS('代理商-进货明细表'!$I:$I,'代理商-进货明细表'!$B:$B,'代理商-产品进销存'!$B138,'代理商-进货明细表'!$F:$F,'代理商-产品进销存'!$D138,'代理商-进货明细表'!$E:$E,"9月"))/10000</f>
        <v>0</v>
      </c>
      <c r="U138" s="29">
        <f>(SUMIFS('代理商-进货明细表'!$I:$I,'代理商-进货明细表'!$B:$B,'代理商-产品进销存'!$B138,'代理商-进货明细表'!$F:$F,'代理商-产品进销存'!$D138,'代理商-进货明细表'!$E:$E,"10月")+SUMIFS('代理商-进货明细表'!$I:$I,'代理商-进货明细表'!$B:$B,'代理商-产品进销存'!$B138,'代理商-进货明细表'!$F:$F,'代理商-产品进销存'!$D138,'代理商-进货明细表'!$E:$E,"11月")+SUMIFS('代理商-进货明细表'!$I:$I,'代理商-进货明细表'!$B:$B,'代理商-产品进销存'!$B138,'代理商-进货明细表'!$F:$F,'代理商-产品进销存'!$D138,'代理商-进货明细表'!$E:$E,"12月"))/10000</f>
        <v>0</v>
      </c>
      <c r="V138" s="29">
        <f t="shared" si="21"/>
        <v>0</v>
      </c>
      <c r="W138" s="29">
        <f t="shared" si="22"/>
        <v>0</v>
      </c>
      <c r="X138" s="29">
        <f t="shared" si="23"/>
        <v>0</v>
      </c>
      <c r="Y138" s="29">
        <f t="shared" si="24"/>
        <v>0</v>
      </c>
      <c r="Z138" s="29">
        <f t="shared" si="25"/>
        <v>0</v>
      </c>
      <c r="AA138" s="29">
        <f t="shared" si="26"/>
        <v>0</v>
      </c>
    </row>
    <row r="139" spans="1:27" x14ac:dyDescent="0.3">
      <c r="A139" s="2" t="s">
        <v>195</v>
      </c>
      <c r="B139" s="2" t="s">
        <v>117</v>
      </c>
      <c r="D139" s="3" t="s">
        <v>14</v>
      </c>
      <c r="L139" s="29">
        <f>(SUMIFS(终端客户销售统计表!$K:$K,终端客户销售统计表!$L:$L,$B139,终端客户销售统计表!$H:$H,$D139,终端客户销售统计表!$G:$G,"1月")+SUMIFS(终端客户销售统计表!$K:$K,终端客户销售统计表!$L:$L,$B139,终端客户销售统计表!$H:$H,$D139,终端客户销售统计表!$G:$G,"2月")+SUMIFS(终端客户销售统计表!$K:$K,终端客户销售统计表!$L:$L,$B139,终端客户销售统计表!$H:$H,$D139,终端客户销售统计表!$G:$G,"3月"))/10000</f>
        <v>0</v>
      </c>
      <c r="M139" s="29">
        <f>(SUMIFS(终端客户销售统计表!$K:$K,终端客户销售统计表!$L:$L,$B139,终端客户销售统计表!$H:$H,$D139,终端客户销售统计表!$G:$G,"4月")+SUMIFS(终端客户销售统计表!$K:$K,终端客户销售统计表!$L:$L,$B139,终端客户销售统计表!$H:$H,$D139,终端客户销售统计表!$G:$G,"5月")+SUMIFS(终端客户销售统计表!$K:$K,终端客户销售统计表!$L:$L,$B139,终端客户销售统计表!$H:$H,$D139,终端客户销售统计表!$G:$G,"6月"))/10000</f>
        <v>0</v>
      </c>
      <c r="N139" s="29">
        <f>(SUMIFS(终端客户销售统计表!$K:$K,终端客户销售统计表!$L:$L,$B139,终端客户销售统计表!$H:$H,$D139,终端客户销售统计表!$G:$G,"7月")+SUMIFS(终端客户销售统计表!$K:$K,终端客户销售统计表!$L:$L,$B139,终端客户销售统计表!$H:$H,$D139,终端客户销售统计表!$G:$G,"8月")+SUMIFS(终端客户销售统计表!$K:$K,终端客户销售统计表!$L:$L,$B139,终端客户销售统计表!$H:$H,$D139,终端客户销售统计表!$G:$G,"9月"))/10000</f>
        <v>0</v>
      </c>
      <c r="O139" s="29">
        <f>(SUMIFS(终端客户销售统计表!$K:$K,终端客户销售统计表!$L:$L,$B139,终端客户销售统计表!$H:$H,$D139,终端客户销售统计表!$G:$G,"10月")+SUMIFS(终端客户销售统计表!$K:$K,终端客户销售统计表!$L:$L,$B139,终端客户销售统计表!$H:$H,$D139,终端客户销售统计表!$G:$G,"11月")+SUMIFS(终端客户销售统计表!$K:$K,终端客户销售统计表!$L:$L,$B139,终端客户销售统计表!$H:$H,$D139,终端客户销售统计表!$G:$G,"12月"))/10000</f>
        <v>0</v>
      </c>
      <c r="P139" s="29">
        <f>SUM(L139:O139)</f>
        <v>0</v>
      </c>
      <c r="Q139" s="44" t="str">
        <f t="shared" si="20"/>
        <v/>
      </c>
      <c r="R139" s="29">
        <f>(SUMIFS('代理商-进货明细表'!$I:$I,'代理商-进货明细表'!$B:$B,'代理商-产品进销存'!$B139,'代理商-进货明细表'!$F:$F,'代理商-产品进销存'!$D139,'代理商-进货明细表'!$E:$E,"1月")+SUMIFS('代理商-进货明细表'!$I:$I,'代理商-进货明细表'!$B:$B,'代理商-产品进销存'!$B139,'代理商-进货明细表'!$F:$F,'代理商-产品进销存'!$D139,'代理商-进货明细表'!$E:$E,"2月")+SUMIFS('代理商-进货明细表'!$I:$I,'代理商-进货明细表'!$B:$B,'代理商-产品进销存'!$B139,'代理商-进货明细表'!$F:$F,'代理商-产品进销存'!$D139,'代理商-进货明细表'!$E:$E,"3月"))/10000</f>
        <v>0</v>
      </c>
      <c r="S139" s="29">
        <f>(SUMIFS('代理商-进货明细表'!$I:$I,'代理商-进货明细表'!$B:$B,'代理商-产品进销存'!$B139,'代理商-进货明细表'!$F:$F,'代理商-产品进销存'!$D139,'代理商-进货明细表'!$E:$E,"4月")+SUMIFS('代理商-进货明细表'!$I:$I,'代理商-进货明细表'!$B:$B,'代理商-产品进销存'!$B139,'代理商-进货明细表'!$F:$F,'代理商-产品进销存'!$D139,'代理商-进货明细表'!$E:$E,"5月")+SUMIFS('代理商-进货明细表'!$I:$I,'代理商-进货明细表'!$B:$B,'代理商-产品进销存'!$B139,'代理商-进货明细表'!$F:$F,'代理商-产品进销存'!$D139,'代理商-进货明细表'!$E:$E,"6月"))/10000</f>
        <v>0</v>
      </c>
      <c r="T139" s="29">
        <f>(SUMIFS('代理商-进货明细表'!$I:$I,'代理商-进货明细表'!$B:$B,'代理商-产品进销存'!$B139,'代理商-进货明细表'!$F:$F,'代理商-产品进销存'!$D139,'代理商-进货明细表'!$E:$E,"7月")+SUMIFS('代理商-进货明细表'!$I:$I,'代理商-进货明细表'!$B:$B,'代理商-产品进销存'!$B139,'代理商-进货明细表'!$F:$F,'代理商-产品进销存'!$D139,'代理商-进货明细表'!$E:$E,"8月")+SUMIFS('代理商-进货明细表'!$I:$I,'代理商-进货明细表'!$B:$B,'代理商-产品进销存'!$B139,'代理商-进货明细表'!$F:$F,'代理商-产品进销存'!$D139,'代理商-进货明细表'!$E:$E,"9月"))/10000</f>
        <v>0</v>
      </c>
      <c r="U139" s="29">
        <f>(SUMIFS('代理商-进货明细表'!$I:$I,'代理商-进货明细表'!$B:$B,'代理商-产品进销存'!$B139,'代理商-进货明细表'!$F:$F,'代理商-产品进销存'!$D139,'代理商-进货明细表'!$E:$E,"10月")+SUMIFS('代理商-进货明细表'!$I:$I,'代理商-进货明细表'!$B:$B,'代理商-产品进销存'!$B139,'代理商-进货明细表'!$F:$F,'代理商-产品进销存'!$D139,'代理商-进货明细表'!$E:$E,"11月")+SUMIFS('代理商-进货明细表'!$I:$I,'代理商-进货明细表'!$B:$B,'代理商-产品进销存'!$B139,'代理商-进货明细表'!$F:$F,'代理商-产品进销存'!$D139,'代理商-进货明细表'!$E:$E,"12月"))/10000</f>
        <v>0</v>
      </c>
      <c r="V139" s="29">
        <f t="shared" si="21"/>
        <v>0</v>
      </c>
      <c r="W139" s="29">
        <f t="shared" si="22"/>
        <v>0</v>
      </c>
      <c r="X139" s="29">
        <f t="shared" si="23"/>
        <v>0</v>
      </c>
      <c r="Y139" s="29">
        <f t="shared" si="24"/>
        <v>0</v>
      </c>
      <c r="Z139" s="29">
        <f t="shared" si="25"/>
        <v>0</v>
      </c>
      <c r="AA139" s="29">
        <f t="shared" si="26"/>
        <v>0</v>
      </c>
    </row>
    <row r="140" spans="1:27" x14ac:dyDescent="0.3">
      <c r="A140" s="2" t="s">
        <v>195</v>
      </c>
      <c r="B140" s="2" t="s">
        <v>117</v>
      </c>
      <c r="D140" s="3" t="s">
        <v>15</v>
      </c>
      <c r="L140" s="29">
        <f>(SUMIFS(终端客户销售统计表!$K:$K,终端客户销售统计表!$L:$L,$B140,终端客户销售统计表!$H:$H,$D140,终端客户销售统计表!$G:$G,"1月")+SUMIFS(终端客户销售统计表!$K:$K,终端客户销售统计表!$L:$L,$B140,终端客户销售统计表!$H:$H,$D140,终端客户销售统计表!$G:$G,"2月")+SUMIFS(终端客户销售统计表!$K:$K,终端客户销售统计表!$L:$L,$B140,终端客户销售统计表!$H:$H,$D140,终端客户销售统计表!$G:$G,"3月"))/10000</f>
        <v>0</v>
      </c>
      <c r="M140" s="29">
        <f>(SUMIFS(终端客户销售统计表!$K:$K,终端客户销售统计表!$L:$L,$B140,终端客户销售统计表!$H:$H,$D140,终端客户销售统计表!$G:$G,"4月")+SUMIFS(终端客户销售统计表!$K:$K,终端客户销售统计表!$L:$L,$B140,终端客户销售统计表!$H:$H,$D140,终端客户销售统计表!$G:$G,"5月")+SUMIFS(终端客户销售统计表!$K:$K,终端客户销售统计表!$L:$L,$B140,终端客户销售统计表!$H:$H,$D140,终端客户销售统计表!$G:$G,"6月"))/10000</f>
        <v>0</v>
      </c>
      <c r="N140" s="29">
        <f>(SUMIFS(终端客户销售统计表!$K:$K,终端客户销售统计表!$L:$L,$B140,终端客户销售统计表!$H:$H,$D140,终端客户销售统计表!$G:$G,"7月")+SUMIFS(终端客户销售统计表!$K:$K,终端客户销售统计表!$L:$L,$B140,终端客户销售统计表!$H:$H,$D140,终端客户销售统计表!$G:$G,"8月")+SUMIFS(终端客户销售统计表!$K:$K,终端客户销售统计表!$L:$L,$B140,终端客户销售统计表!$H:$H,$D140,终端客户销售统计表!$G:$G,"9月"))/10000</f>
        <v>0</v>
      </c>
      <c r="O140" s="29">
        <f>(SUMIFS(终端客户销售统计表!$K:$K,终端客户销售统计表!$L:$L,$B140,终端客户销售统计表!$H:$H,$D140,终端客户销售统计表!$G:$G,"10月")+SUMIFS(终端客户销售统计表!$K:$K,终端客户销售统计表!$L:$L,$B140,终端客户销售统计表!$H:$H,$D140,终端客户销售统计表!$G:$G,"11月")+SUMIFS(终端客户销售统计表!$K:$K,终端客户销售统计表!$L:$L,$B140,终端客户销售统计表!$H:$H,$D140,终端客户销售统计表!$G:$G,"12月"))/10000</f>
        <v>0</v>
      </c>
      <c r="P140" s="29">
        <f>SUM(L140:O140)</f>
        <v>0</v>
      </c>
      <c r="Q140" s="44" t="str">
        <f t="shared" si="20"/>
        <v/>
      </c>
      <c r="R140" s="29">
        <f>(SUMIFS('代理商-进货明细表'!$I:$I,'代理商-进货明细表'!$B:$B,'代理商-产品进销存'!$B140,'代理商-进货明细表'!$F:$F,'代理商-产品进销存'!$D140,'代理商-进货明细表'!$E:$E,"1月")+SUMIFS('代理商-进货明细表'!$I:$I,'代理商-进货明细表'!$B:$B,'代理商-产品进销存'!$B140,'代理商-进货明细表'!$F:$F,'代理商-产品进销存'!$D140,'代理商-进货明细表'!$E:$E,"2月")+SUMIFS('代理商-进货明细表'!$I:$I,'代理商-进货明细表'!$B:$B,'代理商-产品进销存'!$B140,'代理商-进货明细表'!$F:$F,'代理商-产品进销存'!$D140,'代理商-进货明细表'!$E:$E,"3月"))/10000</f>
        <v>0</v>
      </c>
      <c r="S140" s="29">
        <f>(SUMIFS('代理商-进货明细表'!$I:$I,'代理商-进货明细表'!$B:$B,'代理商-产品进销存'!$B140,'代理商-进货明细表'!$F:$F,'代理商-产品进销存'!$D140,'代理商-进货明细表'!$E:$E,"4月")+SUMIFS('代理商-进货明细表'!$I:$I,'代理商-进货明细表'!$B:$B,'代理商-产品进销存'!$B140,'代理商-进货明细表'!$F:$F,'代理商-产品进销存'!$D140,'代理商-进货明细表'!$E:$E,"5月")+SUMIFS('代理商-进货明细表'!$I:$I,'代理商-进货明细表'!$B:$B,'代理商-产品进销存'!$B140,'代理商-进货明细表'!$F:$F,'代理商-产品进销存'!$D140,'代理商-进货明细表'!$E:$E,"6月"))/10000</f>
        <v>0</v>
      </c>
      <c r="T140" s="29">
        <f>(SUMIFS('代理商-进货明细表'!$I:$I,'代理商-进货明细表'!$B:$B,'代理商-产品进销存'!$B140,'代理商-进货明细表'!$F:$F,'代理商-产品进销存'!$D140,'代理商-进货明细表'!$E:$E,"7月")+SUMIFS('代理商-进货明细表'!$I:$I,'代理商-进货明细表'!$B:$B,'代理商-产品进销存'!$B140,'代理商-进货明细表'!$F:$F,'代理商-产品进销存'!$D140,'代理商-进货明细表'!$E:$E,"8月")+SUMIFS('代理商-进货明细表'!$I:$I,'代理商-进货明细表'!$B:$B,'代理商-产品进销存'!$B140,'代理商-进货明细表'!$F:$F,'代理商-产品进销存'!$D140,'代理商-进货明细表'!$E:$E,"9月"))/10000</f>
        <v>0</v>
      </c>
      <c r="U140" s="29">
        <f>(SUMIFS('代理商-进货明细表'!$I:$I,'代理商-进货明细表'!$B:$B,'代理商-产品进销存'!$B140,'代理商-进货明细表'!$F:$F,'代理商-产品进销存'!$D140,'代理商-进货明细表'!$E:$E,"10月")+SUMIFS('代理商-进货明细表'!$I:$I,'代理商-进货明细表'!$B:$B,'代理商-产品进销存'!$B140,'代理商-进货明细表'!$F:$F,'代理商-产品进销存'!$D140,'代理商-进货明细表'!$E:$E,"11月")+SUMIFS('代理商-进货明细表'!$I:$I,'代理商-进货明细表'!$B:$B,'代理商-产品进销存'!$B140,'代理商-进货明细表'!$F:$F,'代理商-产品进销存'!$D140,'代理商-进货明细表'!$E:$E,"12月"))/10000</f>
        <v>0</v>
      </c>
      <c r="V140" s="29">
        <f t="shared" si="21"/>
        <v>0</v>
      </c>
      <c r="W140" s="29">
        <f t="shared" si="22"/>
        <v>0</v>
      </c>
      <c r="X140" s="29">
        <f t="shared" si="23"/>
        <v>0</v>
      </c>
      <c r="Y140" s="29">
        <f t="shared" si="24"/>
        <v>0</v>
      </c>
      <c r="Z140" s="29">
        <f t="shared" si="25"/>
        <v>0</v>
      </c>
      <c r="AA140" s="29">
        <f t="shared" si="26"/>
        <v>0</v>
      </c>
    </row>
    <row r="141" spans="1:27" x14ac:dyDescent="0.3">
      <c r="A141" s="2" t="s">
        <v>195</v>
      </c>
      <c r="B141" s="2" t="s">
        <v>117</v>
      </c>
      <c r="D141" s="3" t="s">
        <v>16</v>
      </c>
      <c r="L141" s="29">
        <f>(SUMIFS(终端客户销售统计表!$K:$K,终端客户销售统计表!$L:$L,$B141,终端客户销售统计表!$H:$H,$D141,终端客户销售统计表!$G:$G,"1月")+SUMIFS(终端客户销售统计表!$K:$K,终端客户销售统计表!$L:$L,$B141,终端客户销售统计表!$H:$H,$D141,终端客户销售统计表!$G:$G,"2月")+SUMIFS(终端客户销售统计表!$K:$K,终端客户销售统计表!$L:$L,$B141,终端客户销售统计表!$H:$H,$D141,终端客户销售统计表!$G:$G,"3月"))/10000</f>
        <v>0</v>
      </c>
      <c r="M141" s="29">
        <f>(SUMIFS(终端客户销售统计表!$K:$K,终端客户销售统计表!$L:$L,$B141,终端客户销售统计表!$H:$H,$D141,终端客户销售统计表!$G:$G,"4月")+SUMIFS(终端客户销售统计表!$K:$K,终端客户销售统计表!$L:$L,$B141,终端客户销售统计表!$H:$H,$D141,终端客户销售统计表!$G:$G,"5月")+SUMIFS(终端客户销售统计表!$K:$K,终端客户销售统计表!$L:$L,$B141,终端客户销售统计表!$H:$H,$D141,终端客户销售统计表!$G:$G,"6月"))/10000</f>
        <v>0</v>
      </c>
      <c r="N141" s="29">
        <f>(SUMIFS(终端客户销售统计表!$K:$K,终端客户销售统计表!$L:$L,$B141,终端客户销售统计表!$H:$H,$D141,终端客户销售统计表!$G:$G,"7月")+SUMIFS(终端客户销售统计表!$K:$K,终端客户销售统计表!$L:$L,$B141,终端客户销售统计表!$H:$H,$D141,终端客户销售统计表!$G:$G,"8月")+SUMIFS(终端客户销售统计表!$K:$K,终端客户销售统计表!$L:$L,$B141,终端客户销售统计表!$H:$H,$D141,终端客户销售统计表!$G:$G,"9月"))/10000</f>
        <v>0</v>
      </c>
      <c r="O141" s="29">
        <f>(SUMIFS(终端客户销售统计表!$K:$K,终端客户销售统计表!$L:$L,$B141,终端客户销售统计表!$H:$H,$D141,终端客户销售统计表!$G:$G,"10月")+SUMIFS(终端客户销售统计表!$K:$K,终端客户销售统计表!$L:$L,$B141,终端客户销售统计表!$H:$H,$D141,终端客户销售统计表!$G:$G,"11月")+SUMIFS(终端客户销售统计表!$K:$K,终端客户销售统计表!$L:$L,$B141,终端客户销售统计表!$H:$H,$D141,终端客户销售统计表!$G:$G,"12月"))/10000</f>
        <v>0</v>
      </c>
      <c r="P141" s="29">
        <f>SUM(L141:O141)</f>
        <v>0</v>
      </c>
      <c r="Q141" s="44" t="str">
        <f t="shared" si="20"/>
        <v/>
      </c>
      <c r="R141" s="29">
        <f>(SUMIFS('代理商-进货明细表'!$I:$I,'代理商-进货明细表'!$B:$B,'代理商-产品进销存'!$B141,'代理商-进货明细表'!$F:$F,'代理商-产品进销存'!$D141,'代理商-进货明细表'!$E:$E,"1月")+SUMIFS('代理商-进货明细表'!$I:$I,'代理商-进货明细表'!$B:$B,'代理商-产品进销存'!$B141,'代理商-进货明细表'!$F:$F,'代理商-产品进销存'!$D141,'代理商-进货明细表'!$E:$E,"2月")+SUMIFS('代理商-进货明细表'!$I:$I,'代理商-进货明细表'!$B:$B,'代理商-产品进销存'!$B141,'代理商-进货明细表'!$F:$F,'代理商-产品进销存'!$D141,'代理商-进货明细表'!$E:$E,"3月"))/10000</f>
        <v>0</v>
      </c>
      <c r="S141" s="29">
        <f>(SUMIFS('代理商-进货明细表'!$I:$I,'代理商-进货明细表'!$B:$B,'代理商-产品进销存'!$B141,'代理商-进货明细表'!$F:$F,'代理商-产品进销存'!$D141,'代理商-进货明细表'!$E:$E,"4月")+SUMIFS('代理商-进货明细表'!$I:$I,'代理商-进货明细表'!$B:$B,'代理商-产品进销存'!$B141,'代理商-进货明细表'!$F:$F,'代理商-产品进销存'!$D141,'代理商-进货明细表'!$E:$E,"5月")+SUMIFS('代理商-进货明细表'!$I:$I,'代理商-进货明细表'!$B:$B,'代理商-产品进销存'!$B141,'代理商-进货明细表'!$F:$F,'代理商-产品进销存'!$D141,'代理商-进货明细表'!$E:$E,"6月"))/10000</f>
        <v>0</v>
      </c>
      <c r="T141" s="29">
        <f>(SUMIFS('代理商-进货明细表'!$I:$I,'代理商-进货明细表'!$B:$B,'代理商-产品进销存'!$B141,'代理商-进货明细表'!$F:$F,'代理商-产品进销存'!$D141,'代理商-进货明细表'!$E:$E,"7月")+SUMIFS('代理商-进货明细表'!$I:$I,'代理商-进货明细表'!$B:$B,'代理商-产品进销存'!$B141,'代理商-进货明细表'!$F:$F,'代理商-产品进销存'!$D141,'代理商-进货明细表'!$E:$E,"8月")+SUMIFS('代理商-进货明细表'!$I:$I,'代理商-进货明细表'!$B:$B,'代理商-产品进销存'!$B141,'代理商-进货明细表'!$F:$F,'代理商-产品进销存'!$D141,'代理商-进货明细表'!$E:$E,"9月"))/10000</f>
        <v>0</v>
      </c>
      <c r="U141" s="29">
        <f>(SUMIFS('代理商-进货明细表'!$I:$I,'代理商-进货明细表'!$B:$B,'代理商-产品进销存'!$B141,'代理商-进货明细表'!$F:$F,'代理商-产品进销存'!$D141,'代理商-进货明细表'!$E:$E,"10月")+SUMIFS('代理商-进货明细表'!$I:$I,'代理商-进货明细表'!$B:$B,'代理商-产品进销存'!$B141,'代理商-进货明细表'!$F:$F,'代理商-产品进销存'!$D141,'代理商-进货明细表'!$E:$E,"11月")+SUMIFS('代理商-进货明细表'!$I:$I,'代理商-进货明细表'!$B:$B,'代理商-产品进销存'!$B141,'代理商-进货明细表'!$F:$F,'代理商-产品进销存'!$D141,'代理商-进货明细表'!$E:$E,"12月"))/10000</f>
        <v>0</v>
      </c>
      <c r="V141" s="29">
        <f t="shared" si="21"/>
        <v>0</v>
      </c>
      <c r="W141" s="29">
        <f t="shared" si="22"/>
        <v>0</v>
      </c>
      <c r="X141" s="29">
        <f t="shared" si="23"/>
        <v>0</v>
      </c>
      <c r="Y141" s="29">
        <f t="shared" si="24"/>
        <v>0</v>
      </c>
      <c r="Z141" s="29">
        <f t="shared" si="25"/>
        <v>0</v>
      </c>
      <c r="AA141" s="29">
        <f t="shared" si="26"/>
        <v>0</v>
      </c>
    </row>
    <row r="142" spans="1:27" x14ac:dyDescent="0.3">
      <c r="A142" s="2" t="s">
        <v>195</v>
      </c>
      <c r="B142" s="2" t="s">
        <v>117</v>
      </c>
      <c r="D142" s="3" t="s">
        <v>17</v>
      </c>
      <c r="L142" s="29">
        <f>(SUMIFS(终端客户销售统计表!$K:$K,终端客户销售统计表!$L:$L,$B142,终端客户销售统计表!$H:$H,$D142,终端客户销售统计表!$G:$G,"1月")+SUMIFS(终端客户销售统计表!$K:$K,终端客户销售统计表!$L:$L,$B142,终端客户销售统计表!$H:$H,$D142,终端客户销售统计表!$G:$G,"2月")+SUMIFS(终端客户销售统计表!$K:$K,终端客户销售统计表!$L:$L,$B142,终端客户销售统计表!$H:$H,$D142,终端客户销售统计表!$G:$G,"3月"))/10000</f>
        <v>0</v>
      </c>
      <c r="M142" s="29">
        <f>(SUMIFS(终端客户销售统计表!$K:$K,终端客户销售统计表!$L:$L,$B142,终端客户销售统计表!$H:$H,$D142,终端客户销售统计表!$G:$G,"4月")+SUMIFS(终端客户销售统计表!$K:$K,终端客户销售统计表!$L:$L,$B142,终端客户销售统计表!$H:$H,$D142,终端客户销售统计表!$G:$G,"5月")+SUMIFS(终端客户销售统计表!$K:$K,终端客户销售统计表!$L:$L,$B142,终端客户销售统计表!$H:$H,$D142,终端客户销售统计表!$G:$G,"6月"))/10000</f>
        <v>0</v>
      </c>
      <c r="N142" s="29">
        <f>(SUMIFS(终端客户销售统计表!$K:$K,终端客户销售统计表!$L:$L,$B142,终端客户销售统计表!$H:$H,$D142,终端客户销售统计表!$G:$G,"7月")+SUMIFS(终端客户销售统计表!$K:$K,终端客户销售统计表!$L:$L,$B142,终端客户销售统计表!$H:$H,$D142,终端客户销售统计表!$G:$G,"8月")+SUMIFS(终端客户销售统计表!$K:$K,终端客户销售统计表!$L:$L,$B142,终端客户销售统计表!$H:$H,$D142,终端客户销售统计表!$G:$G,"9月"))/10000</f>
        <v>0</v>
      </c>
      <c r="O142" s="29">
        <f>(SUMIFS(终端客户销售统计表!$K:$K,终端客户销售统计表!$L:$L,$B142,终端客户销售统计表!$H:$H,$D142,终端客户销售统计表!$G:$G,"10月")+SUMIFS(终端客户销售统计表!$K:$K,终端客户销售统计表!$L:$L,$B142,终端客户销售统计表!$H:$H,$D142,终端客户销售统计表!$G:$G,"11月")+SUMIFS(终端客户销售统计表!$K:$K,终端客户销售统计表!$L:$L,$B142,终端客户销售统计表!$H:$H,$D142,终端客户销售统计表!$G:$G,"12月"))/10000</f>
        <v>0</v>
      </c>
      <c r="P142" s="29">
        <f>SUM(L142:O142)</f>
        <v>0</v>
      </c>
      <c r="Q142" s="44" t="str">
        <f t="shared" si="20"/>
        <v/>
      </c>
      <c r="R142" s="29">
        <f>(SUMIFS('代理商-进货明细表'!$I:$I,'代理商-进货明细表'!$B:$B,'代理商-产品进销存'!$B142,'代理商-进货明细表'!$F:$F,'代理商-产品进销存'!$D142,'代理商-进货明细表'!$E:$E,"1月")+SUMIFS('代理商-进货明细表'!$I:$I,'代理商-进货明细表'!$B:$B,'代理商-产品进销存'!$B142,'代理商-进货明细表'!$F:$F,'代理商-产品进销存'!$D142,'代理商-进货明细表'!$E:$E,"2月")+SUMIFS('代理商-进货明细表'!$I:$I,'代理商-进货明细表'!$B:$B,'代理商-产品进销存'!$B142,'代理商-进货明细表'!$F:$F,'代理商-产品进销存'!$D142,'代理商-进货明细表'!$E:$E,"3月"))/10000</f>
        <v>0</v>
      </c>
      <c r="S142" s="29">
        <f>(SUMIFS('代理商-进货明细表'!$I:$I,'代理商-进货明细表'!$B:$B,'代理商-产品进销存'!$B142,'代理商-进货明细表'!$F:$F,'代理商-产品进销存'!$D142,'代理商-进货明细表'!$E:$E,"4月")+SUMIFS('代理商-进货明细表'!$I:$I,'代理商-进货明细表'!$B:$B,'代理商-产品进销存'!$B142,'代理商-进货明细表'!$F:$F,'代理商-产品进销存'!$D142,'代理商-进货明细表'!$E:$E,"5月")+SUMIFS('代理商-进货明细表'!$I:$I,'代理商-进货明细表'!$B:$B,'代理商-产品进销存'!$B142,'代理商-进货明细表'!$F:$F,'代理商-产品进销存'!$D142,'代理商-进货明细表'!$E:$E,"6月"))/10000</f>
        <v>0</v>
      </c>
      <c r="T142" s="29">
        <f>(SUMIFS('代理商-进货明细表'!$I:$I,'代理商-进货明细表'!$B:$B,'代理商-产品进销存'!$B142,'代理商-进货明细表'!$F:$F,'代理商-产品进销存'!$D142,'代理商-进货明细表'!$E:$E,"7月")+SUMIFS('代理商-进货明细表'!$I:$I,'代理商-进货明细表'!$B:$B,'代理商-产品进销存'!$B142,'代理商-进货明细表'!$F:$F,'代理商-产品进销存'!$D142,'代理商-进货明细表'!$E:$E,"8月")+SUMIFS('代理商-进货明细表'!$I:$I,'代理商-进货明细表'!$B:$B,'代理商-产品进销存'!$B142,'代理商-进货明细表'!$F:$F,'代理商-产品进销存'!$D142,'代理商-进货明细表'!$E:$E,"9月"))/10000</f>
        <v>0</v>
      </c>
      <c r="U142" s="29">
        <f>(SUMIFS('代理商-进货明细表'!$I:$I,'代理商-进货明细表'!$B:$B,'代理商-产品进销存'!$B142,'代理商-进货明细表'!$F:$F,'代理商-产品进销存'!$D142,'代理商-进货明细表'!$E:$E,"10月")+SUMIFS('代理商-进货明细表'!$I:$I,'代理商-进货明细表'!$B:$B,'代理商-产品进销存'!$B142,'代理商-进货明细表'!$F:$F,'代理商-产品进销存'!$D142,'代理商-进货明细表'!$E:$E,"11月")+SUMIFS('代理商-进货明细表'!$I:$I,'代理商-进货明细表'!$B:$B,'代理商-产品进销存'!$B142,'代理商-进货明细表'!$F:$F,'代理商-产品进销存'!$D142,'代理商-进货明细表'!$E:$E,"12月"))/10000</f>
        <v>0</v>
      </c>
      <c r="V142" s="29">
        <f t="shared" si="21"/>
        <v>0</v>
      </c>
      <c r="W142" s="29">
        <f t="shared" si="22"/>
        <v>0</v>
      </c>
      <c r="X142" s="29">
        <f t="shared" si="23"/>
        <v>0</v>
      </c>
      <c r="Y142" s="29">
        <f t="shared" si="24"/>
        <v>0</v>
      </c>
      <c r="Z142" s="29">
        <f t="shared" si="25"/>
        <v>0</v>
      </c>
      <c r="AA142" s="29">
        <f t="shared" si="26"/>
        <v>0</v>
      </c>
    </row>
    <row r="143" spans="1:27" x14ac:dyDescent="0.3">
      <c r="A143" s="2" t="s">
        <v>196</v>
      </c>
      <c r="B143" s="2" t="s">
        <v>118</v>
      </c>
      <c r="D143" s="3" t="s">
        <v>14</v>
      </c>
      <c r="L143" s="29">
        <f>(SUMIFS(终端客户销售统计表!$K:$K,终端客户销售统计表!$L:$L,$B143,终端客户销售统计表!$H:$H,$D143,终端客户销售统计表!$G:$G,"1月")+SUMIFS(终端客户销售统计表!$K:$K,终端客户销售统计表!$L:$L,$B143,终端客户销售统计表!$H:$H,$D143,终端客户销售统计表!$G:$G,"2月")+SUMIFS(终端客户销售统计表!$K:$K,终端客户销售统计表!$L:$L,$B143,终端客户销售统计表!$H:$H,$D143,终端客户销售统计表!$G:$G,"3月"))/10000</f>
        <v>0</v>
      </c>
      <c r="M143" s="29">
        <f>(SUMIFS(终端客户销售统计表!$K:$K,终端客户销售统计表!$L:$L,$B143,终端客户销售统计表!$H:$H,$D143,终端客户销售统计表!$G:$G,"4月")+SUMIFS(终端客户销售统计表!$K:$K,终端客户销售统计表!$L:$L,$B143,终端客户销售统计表!$H:$H,$D143,终端客户销售统计表!$G:$G,"5月")+SUMIFS(终端客户销售统计表!$K:$K,终端客户销售统计表!$L:$L,$B143,终端客户销售统计表!$H:$H,$D143,终端客户销售统计表!$G:$G,"6月"))/10000</f>
        <v>0</v>
      </c>
      <c r="N143" s="29">
        <f>(SUMIFS(终端客户销售统计表!$K:$K,终端客户销售统计表!$L:$L,$B143,终端客户销售统计表!$H:$H,$D143,终端客户销售统计表!$G:$G,"7月")+SUMIFS(终端客户销售统计表!$K:$K,终端客户销售统计表!$L:$L,$B143,终端客户销售统计表!$H:$H,$D143,终端客户销售统计表!$G:$G,"8月")+SUMIFS(终端客户销售统计表!$K:$K,终端客户销售统计表!$L:$L,$B143,终端客户销售统计表!$H:$H,$D143,终端客户销售统计表!$G:$G,"9月"))/10000</f>
        <v>0</v>
      </c>
      <c r="O143" s="29">
        <f>(SUMIFS(终端客户销售统计表!$K:$K,终端客户销售统计表!$L:$L,$B143,终端客户销售统计表!$H:$H,$D143,终端客户销售统计表!$G:$G,"10月")+SUMIFS(终端客户销售统计表!$K:$K,终端客户销售统计表!$L:$L,$B143,终端客户销售统计表!$H:$H,$D143,终端客户销售统计表!$G:$G,"11月")+SUMIFS(终端客户销售统计表!$K:$K,终端客户销售统计表!$L:$L,$B143,终端客户销售统计表!$H:$H,$D143,终端客户销售统计表!$G:$G,"12月"))/10000</f>
        <v>0</v>
      </c>
      <c r="P143" s="29">
        <f>SUM(L143:O143)</f>
        <v>0</v>
      </c>
      <c r="Q143" s="44" t="str">
        <f t="shared" si="20"/>
        <v/>
      </c>
      <c r="R143" s="29">
        <f>(SUMIFS('代理商-进货明细表'!$I:$I,'代理商-进货明细表'!$B:$B,'代理商-产品进销存'!$B143,'代理商-进货明细表'!$F:$F,'代理商-产品进销存'!$D143,'代理商-进货明细表'!$E:$E,"1月")+SUMIFS('代理商-进货明细表'!$I:$I,'代理商-进货明细表'!$B:$B,'代理商-产品进销存'!$B143,'代理商-进货明细表'!$F:$F,'代理商-产品进销存'!$D143,'代理商-进货明细表'!$E:$E,"2月")+SUMIFS('代理商-进货明细表'!$I:$I,'代理商-进货明细表'!$B:$B,'代理商-产品进销存'!$B143,'代理商-进货明细表'!$F:$F,'代理商-产品进销存'!$D143,'代理商-进货明细表'!$E:$E,"3月"))/10000</f>
        <v>0</v>
      </c>
      <c r="S143" s="29">
        <f>(SUMIFS('代理商-进货明细表'!$I:$I,'代理商-进货明细表'!$B:$B,'代理商-产品进销存'!$B143,'代理商-进货明细表'!$F:$F,'代理商-产品进销存'!$D143,'代理商-进货明细表'!$E:$E,"4月")+SUMIFS('代理商-进货明细表'!$I:$I,'代理商-进货明细表'!$B:$B,'代理商-产品进销存'!$B143,'代理商-进货明细表'!$F:$F,'代理商-产品进销存'!$D143,'代理商-进货明细表'!$E:$E,"5月")+SUMIFS('代理商-进货明细表'!$I:$I,'代理商-进货明细表'!$B:$B,'代理商-产品进销存'!$B143,'代理商-进货明细表'!$F:$F,'代理商-产品进销存'!$D143,'代理商-进货明细表'!$E:$E,"6月"))/10000</f>
        <v>0</v>
      </c>
      <c r="T143" s="29">
        <f>(SUMIFS('代理商-进货明细表'!$I:$I,'代理商-进货明细表'!$B:$B,'代理商-产品进销存'!$B143,'代理商-进货明细表'!$F:$F,'代理商-产品进销存'!$D143,'代理商-进货明细表'!$E:$E,"7月")+SUMIFS('代理商-进货明细表'!$I:$I,'代理商-进货明细表'!$B:$B,'代理商-产品进销存'!$B143,'代理商-进货明细表'!$F:$F,'代理商-产品进销存'!$D143,'代理商-进货明细表'!$E:$E,"8月")+SUMIFS('代理商-进货明细表'!$I:$I,'代理商-进货明细表'!$B:$B,'代理商-产品进销存'!$B143,'代理商-进货明细表'!$F:$F,'代理商-产品进销存'!$D143,'代理商-进货明细表'!$E:$E,"9月"))/10000</f>
        <v>0</v>
      </c>
      <c r="U143" s="29">
        <f>(SUMIFS('代理商-进货明细表'!$I:$I,'代理商-进货明细表'!$B:$B,'代理商-产品进销存'!$B143,'代理商-进货明细表'!$F:$F,'代理商-产品进销存'!$D143,'代理商-进货明细表'!$E:$E,"10月")+SUMIFS('代理商-进货明细表'!$I:$I,'代理商-进货明细表'!$B:$B,'代理商-产品进销存'!$B143,'代理商-进货明细表'!$F:$F,'代理商-产品进销存'!$D143,'代理商-进货明细表'!$E:$E,"11月")+SUMIFS('代理商-进货明细表'!$I:$I,'代理商-进货明细表'!$B:$B,'代理商-产品进销存'!$B143,'代理商-进货明细表'!$F:$F,'代理商-产品进销存'!$D143,'代理商-进货明细表'!$E:$E,"12月"))/10000</f>
        <v>0</v>
      </c>
      <c r="V143" s="29">
        <f t="shared" si="21"/>
        <v>0</v>
      </c>
      <c r="W143" s="29">
        <f t="shared" si="22"/>
        <v>0</v>
      </c>
      <c r="X143" s="29">
        <f t="shared" si="23"/>
        <v>0</v>
      </c>
      <c r="Y143" s="29">
        <f t="shared" si="24"/>
        <v>0</v>
      </c>
      <c r="Z143" s="29">
        <f t="shared" si="25"/>
        <v>0</v>
      </c>
      <c r="AA143" s="29">
        <f t="shared" si="26"/>
        <v>0</v>
      </c>
    </row>
    <row r="144" spans="1:27" x14ac:dyDescent="0.3">
      <c r="A144" s="2" t="s">
        <v>196</v>
      </c>
      <c r="B144" s="2" t="s">
        <v>118</v>
      </c>
      <c r="D144" s="3" t="s">
        <v>15</v>
      </c>
      <c r="L144" s="29">
        <f>(SUMIFS(终端客户销售统计表!$K:$K,终端客户销售统计表!$L:$L,$B144,终端客户销售统计表!$H:$H,$D144,终端客户销售统计表!$G:$G,"1月")+SUMIFS(终端客户销售统计表!$K:$K,终端客户销售统计表!$L:$L,$B144,终端客户销售统计表!$H:$H,$D144,终端客户销售统计表!$G:$G,"2月")+SUMIFS(终端客户销售统计表!$K:$K,终端客户销售统计表!$L:$L,$B144,终端客户销售统计表!$H:$H,$D144,终端客户销售统计表!$G:$G,"3月"))/10000</f>
        <v>0</v>
      </c>
      <c r="M144" s="29">
        <f>(SUMIFS(终端客户销售统计表!$K:$K,终端客户销售统计表!$L:$L,$B144,终端客户销售统计表!$H:$H,$D144,终端客户销售统计表!$G:$G,"4月")+SUMIFS(终端客户销售统计表!$K:$K,终端客户销售统计表!$L:$L,$B144,终端客户销售统计表!$H:$H,$D144,终端客户销售统计表!$G:$G,"5月")+SUMIFS(终端客户销售统计表!$K:$K,终端客户销售统计表!$L:$L,$B144,终端客户销售统计表!$H:$H,$D144,终端客户销售统计表!$G:$G,"6月"))/10000</f>
        <v>0</v>
      </c>
      <c r="N144" s="29">
        <f>(SUMIFS(终端客户销售统计表!$K:$K,终端客户销售统计表!$L:$L,$B144,终端客户销售统计表!$H:$H,$D144,终端客户销售统计表!$G:$G,"7月")+SUMIFS(终端客户销售统计表!$K:$K,终端客户销售统计表!$L:$L,$B144,终端客户销售统计表!$H:$H,$D144,终端客户销售统计表!$G:$G,"8月")+SUMIFS(终端客户销售统计表!$K:$K,终端客户销售统计表!$L:$L,$B144,终端客户销售统计表!$H:$H,$D144,终端客户销售统计表!$G:$G,"9月"))/10000</f>
        <v>0</v>
      </c>
      <c r="O144" s="29">
        <f>(SUMIFS(终端客户销售统计表!$K:$K,终端客户销售统计表!$L:$L,$B144,终端客户销售统计表!$H:$H,$D144,终端客户销售统计表!$G:$G,"10月")+SUMIFS(终端客户销售统计表!$K:$K,终端客户销售统计表!$L:$L,$B144,终端客户销售统计表!$H:$H,$D144,终端客户销售统计表!$G:$G,"11月")+SUMIFS(终端客户销售统计表!$K:$K,终端客户销售统计表!$L:$L,$B144,终端客户销售统计表!$H:$H,$D144,终端客户销售统计表!$G:$G,"12月"))/10000</f>
        <v>0</v>
      </c>
      <c r="P144" s="29">
        <f>SUM(L144:O144)</f>
        <v>0</v>
      </c>
      <c r="Q144" s="44" t="str">
        <f t="shared" si="20"/>
        <v/>
      </c>
      <c r="R144" s="29">
        <f>(SUMIFS('代理商-进货明细表'!$I:$I,'代理商-进货明细表'!$B:$B,'代理商-产品进销存'!$B144,'代理商-进货明细表'!$F:$F,'代理商-产品进销存'!$D144,'代理商-进货明细表'!$E:$E,"1月")+SUMIFS('代理商-进货明细表'!$I:$I,'代理商-进货明细表'!$B:$B,'代理商-产品进销存'!$B144,'代理商-进货明细表'!$F:$F,'代理商-产品进销存'!$D144,'代理商-进货明细表'!$E:$E,"2月")+SUMIFS('代理商-进货明细表'!$I:$I,'代理商-进货明细表'!$B:$B,'代理商-产品进销存'!$B144,'代理商-进货明细表'!$F:$F,'代理商-产品进销存'!$D144,'代理商-进货明细表'!$E:$E,"3月"))/10000</f>
        <v>0</v>
      </c>
      <c r="S144" s="29">
        <f>(SUMIFS('代理商-进货明细表'!$I:$I,'代理商-进货明细表'!$B:$B,'代理商-产品进销存'!$B144,'代理商-进货明细表'!$F:$F,'代理商-产品进销存'!$D144,'代理商-进货明细表'!$E:$E,"4月")+SUMIFS('代理商-进货明细表'!$I:$I,'代理商-进货明细表'!$B:$B,'代理商-产品进销存'!$B144,'代理商-进货明细表'!$F:$F,'代理商-产品进销存'!$D144,'代理商-进货明细表'!$E:$E,"5月")+SUMIFS('代理商-进货明细表'!$I:$I,'代理商-进货明细表'!$B:$B,'代理商-产品进销存'!$B144,'代理商-进货明细表'!$F:$F,'代理商-产品进销存'!$D144,'代理商-进货明细表'!$E:$E,"6月"))/10000</f>
        <v>0</v>
      </c>
      <c r="T144" s="29">
        <f>(SUMIFS('代理商-进货明细表'!$I:$I,'代理商-进货明细表'!$B:$B,'代理商-产品进销存'!$B144,'代理商-进货明细表'!$F:$F,'代理商-产品进销存'!$D144,'代理商-进货明细表'!$E:$E,"7月")+SUMIFS('代理商-进货明细表'!$I:$I,'代理商-进货明细表'!$B:$B,'代理商-产品进销存'!$B144,'代理商-进货明细表'!$F:$F,'代理商-产品进销存'!$D144,'代理商-进货明细表'!$E:$E,"8月")+SUMIFS('代理商-进货明细表'!$I:$I,'代理商-进货明细表'!$B:$B,'代理商-产品进销存'!$B144,'代理商-进货明细表'!$F:$F,'代理商-产品进销存'!$D144,'代理商-进货明细表'!$E:$E,"9月"))/10000</f>
        <v>0</v>
      </c>
      <c r="U144" s="29">
        <f>(SUMIFS('代理商-进货明细表'!$I:$I,'代理商-进货明细表'!$B:$B,'代理商-产品进销存'!$B144,'代理商-进货明细表'!$F:$F,'代理商-产品进销存'!$D144,'代理商-进货明细表'!$E:$E,"10月")+SUMIFS('代理商-进货明细表'!$I:$I,'代理商-进货明细表'!$B:$B,'代理商-产品进销存'!$B144,'代理商-进货明细表'!$F:$F,'代理商-产品进销存'!$D144,'代理商-进货明细表'!$E:$E,"11月")+SUMIFS('代理商-进货明细表'!$I:$I,'代理商-进货明细表'!$B:$B,'代理商-产品进销存'!$B144,'代理商-进货明细表'!$F:$F,'代理商-产品进销存'!$D144,'代理商-进货明细表'!$E:$E,"12月"))/10000</f>
        <v>0</v>
      </c>
      <c r="V144" s="29">
        <f t="shared" si="21"/>
        <v>0</v>
      </c>
      <c r="W144" s="29">
        <f t="shared" si="22"/>
        <v>0</v>
      </c>
      <c r="X144" s="29">
        <f t="shared" si="23"/>
        <v>0</v>
      </c>
      <c r="Y144" s="29">
        <f t="shared" si="24"/>
        <v>0</v>
      </c>
      <c r="Z144" s="29">
        <f t="shared" si="25"/>
        <v>0</v>
      </c>
      <c r="AA144" s="29">
        <f t="shared" si="26"/>
        <v>0</v>
      </c>
    </row>
    <row r="145" spans="1:27" x14ac:dyDescent="0.3">
      <c r="A145" s="2" t="s">
        <v>196</v>
      </c>
      <c r="B145" s="2" t="s">
        <v>118</v>
      </c>
      <c r="D145" s="3" t="s">
        <v>16</v>
      </c>
      <c r="L145" s="29">
        <f>(SUMIFS(终端客户销售统计表!$K:$K,终端客户销售统计表!$L:$L,$B145,终端客户销售统计表!$H:$H,$D145,终端客户销售统计表!$G:$G,"1月")+SUMIFS(终端客户销售统计表!$K:$K,终端客户销售统计表!$L:$L,$B145,终端客户销售统计表!$H:$H,$D145,终端客户销售统计表!$G:$G,"2月")+SUMIFS(终端客户销售统计表!$K:$K,终端客户销售统计表!$L:$L,$B145,终端客户销售统计表!$H:$H,$D145,终端客户销售统计表!$G:$G,"3月"))/10000</f>
        <v>0</v>
      </c>
      <c r="M145" s="29">
        <f>(SUMIFS(终端客户销售统计表!$K:$K,终端客户销售统计表!$L:$L,$B145,终端客户销售统计表!$H:$H,$D145,终端客户销售统计表!$G:$G,"4月")+SUMIFS(终端客户销售统计表!$K:$K,终端客户销售统计表!$L:$L,$B145,终端客户销售统计表!$H:$H,$D145,终端客户销售统计表!$G:$G,"5月")+SUMIFS(终端客户销售统计表!$K:$K,终端客户销售统计表!$L:$L,$B145,终端客户销售统计表!$H:$H,$D145,终端客户销售统计表!$G:$G,"6月"))/10000</f>
        <v>0</v>
      </c>
      <c r="N145" s="29">
        <f>(SUMIFS(终端客户销售统计表!$K:$K,终端客户销售统计表!$L:$L,$B145,终端客户销售统计表!$H:$H,$D145,终端客户销售统计表!$G:$G,"7月")+SUMIFS(终端客户销售统计表!$K:$K,终端客户销售统计表!$L:$L,$B145,终端客户销售统计表!$H:$H,$D145,终端客户销售统计表!$G:$G,"8月")+SUMIFS(终端客户销售统计表!$K:$K,终端客户销售统计表!$L:$L,$B145,终端客户销售统计表!$H:$H,$D145,终端客户销售统计表!$G:$G,"9月"))/10000</f>
        <v>0</v>
      </c>
      <c r="O145" s="29">
        <f>(SUMIFS(终端客户销售统计表!$K:$K,终端客户销售统计表!$L:$L,$B145,终端客户销售统计表!$H:$H,$D145,终端客户销售统计表!$G:$G,"10月")+SUMIFS(终端客户销售统计表!$K:$K,终端客户销售统计表!$L:$L,$B145,终端客户销售统计表!$H:$H,$D145,终端客户销售统计表!$G:$G,"11月")+SUMIFS(终端客户销售统计表!$K:$K,终端客户销售统计表!$L:$L,$B145,终端客户销售统计表!$H:$H,$D145,终端客户销售统计表!$G:$G,"12月"))/10000</f>
        <v>0</v>
      </c>
      <c r="P145" s="29">
        <f>SUM(L145:O145)</f>
        <v>0</v>
      </c>
      <c r="Q145" s="44" t="str">
        <f t="shared" si="20"/>
        <v/>
      </c>
      <c r="R145" s="29">
        <f>(SUMIFS('代理商-进货明细表'!$I:$I,'代理商-进货明细表'!$B:$B,'代理商-产品进销存'!$B145,'代理商-进货明细表'!$F:$F,'代理商-产品进销存'!$D145,'代理商-进货明细表'!$E:$E,"1月")+SUMIFS('代理商-进货明细表'!$I:$I,'代理商-进货明细表'!$B:$B,'代理商-产品进销存'!$B145,'代理商-进货明细表'!$F:$F,'代理商-产品进销存'!$D145,'代理商-进货明细表'!$E:$E,"2月")+SUMIFS('代理商-进货明细表'!$I:$I,'代理商-进货明细表'!$B:$B,'代理商-产品进销存'!$B145,'代理商-进货明细表'!$F:$F,'代理商-产品进销存'!$D145,'代理商-进货明细表'!$E:$E,"3月"))/10000</f>
        <v>0</v>
      </c>
      <c r="S145" s="29">
        <f>(SUMIFS('代理商-进货明细表'!$I:$I,'代理商-进货明细表'!$B:$B,'代理商-产品进销存'!$B145,'代理商-进货明细表'!$F:$F,'代理商-产品进销存'!$D145,'代理商-进货明细表'!$E:$E,"4月")+SUMIFS('代理商-进货明细表'!$I:$I,'代理商-进货明细表'!$B:$B,'代理商-产品进销存'!$B145,'代理商-进货明细表'!$F:$F,'代理商-产品进销存'!$D145,'代理商-进货明细表'!$E:$E,"5月")+SUMIFS('代理商-进货明细表'!$I:$I,'代理商-进货明细表'!$B:$B,'代理商-产品进销存'!$B145,'代理商-进货明细表'!$F:$F,'代理商-产品进销存'!$D145,'代理商-进货明细表'!$E:$E,"6月"))/10000</f>
        <v>0</v>
      </c>
      <c r="T145" s="29">
        <f>(SUMIFS('代理商-进货明细表'!$I:$I,'代理商-进货明细表'!$B:$B,'代理商-产品进销存'!$B145,'代理商-进货明细表'!$F:$F,'代理商-产品进销存'!$D145,'代理商-进货明细表'!$E:$E,"7月")+SUMIFS('代理商-进货明细表'!$I:$I,'代理商-进货明细表'!$B:$B,'代理商-产品进销存'!$B145,'代理商-进货明细表'!$F:$F,'代理商-产品进销存'!$D145,'代理商-进货明细表'!$E:$E,"8月")+SUMIFS('代理商-进货明细表'!$I:$I,'代理商-进货明细表'!$B:$B,'代理商-产品进销存'!$B145,'代理商-进货明细表'!$F:$F,'代理商-产品进销存'!$D145,'代理商-进货明细表'!$E:$E,"9月"))/10000</f>
        <v>0</v>
      </c>
      <c r="U145" s="29">
        <f>(SUMIFS('代理商-进货明细表'!$I:$I,'代理商-进货明细表'!$B:$B,'代理商-产品进销存'!$B145,'代理商-进货明细表'!$F:$F,'代理商-产品进销存'!$D145,'代理商-进货明细表'!$E:$E,"10月")+SUMIFS('代理商-进货明细表'!$I:$I,'代理商-进货明细表'!$B:$B,'代理商-产品进销存'!$B145,'代理商-进货明细表'!$F:$F,'代理商-产品进销存'!$D145,'代理商-进货明细表'!$E:$E,"11月")+SUMIFS('代理商-进货明细表'!$I:$I,'代理商-进货明细表'!$B:$B,'代理商-产品进销存'!$B145,'代理商-进货明细表'!$F:$F,'代理商-产品进销存'!$D145,'代理商-进货明细表'!$E:$E,"12月"))/10000</f>
        <v>0</v>
      </c>
      <c r="V145" s="29">
        <f t="shared" si="21"/>
        <v>0</v>
      </c>
      <c r="W145" s="29">
        <f t="shared" si="22"/>
        <v>0</v>
      </c>
      <c r="X145" s="29">
        <f t="shared" si="23"/>
        <v>0</v>
      </c>
      <c r="Y145" s="29">
        <f t="shared" si="24"/>
        <v>0</v>
      </c>
      <c r="Z145" s="29">
        <f t="shared" si="25"/>
        <v>0</v>
      </c>
      <c r="AA145" s="29">
        <f t="shared" si="26"/>
        <v>0</v>
      </c>
    </row>
    <row r="146" spans="1:27" x14ac:dyDescent="0.3">
      <c r="A146" s="2" t="s">
        <v>196</v>
      </c>
      <c r="B146" s="2" t="s">
        <v>118</v>
      </c>
      <c r="D146" s="3" t="s">
        <v>17</v>
      </c>
      <c r="L146" s="29">
        <f>(SUMIFS(终端客户销售统计表!$K:$K,终端客户销售统计表!$L:$L,$B146,终端客户销售统计表!$H:$H,$D146,终端客户销售统计表!$G:$G,"1月")+SUMIFS(终端客户销售统计表!$K:$K,终端客户销售统计表!$L:$L,$B146,终端客户销售统计表!$H:$H,$D146,终端客户销售统计表!$G:$G,"2月")+SUMIFS(终端客户销售统计表!$K:$K,终端客户销售统计表!$L:$L,$B146,终端客户销售统计表!$H:$H,$D146,终端客户销售统计表!$G:$G,"3月"))/10000</f>
        <v>0</v>
      </c>
      <c r="M146" s="29">
        <f>(SUMIFS(终端客户销售统计表!$K:$K,终端客户销售统计表!$L:$L,$B146,终端客户销售统计表!$H:$H,$D146,终端客户销售统计表!$G:$G,"4月")+SUMIFS(终端客户销售统计表!$K:$K,终端客户销售统计表!$L:$L,$B146,终端客户销售统计表!$H:$H,$D146,终端客户销售统计表!$G:$G,"5月")+SUMIFS(终端客户销售统计表!$K:$K,终端客户销售统计表!$L:$L,$B146,终端客户销售统计表!$H:$H,$D146,终端客户销售统计表!$G:$G,"6月"))/10000</f>
        <v>0</v>
      </c>
      <c r="N146" s="29">
        <f>(SUMIFS(终端客户销售统计表!$K:$K,终端客户销售统计表!$L:$L,$B146,终端客户销售统计表!$H:$H,$D146,终端客户销售统计表!$G:$G,"7月")+SUMIFS(终端客户销售统计表!$K:$K,终端客户销售统计表!$L:$L,$B146,终端客户销售统计表!$H:$H,$D146,终端客户销售统计表!$G:$G,"8月")+SUMIFS(终端客户销售统计表!$K:$K,终端客户销售统计表!$L:$L,$B146,终端客户销售统计表!$H:$H,$D146,终端客户销售统计表!$G:$G,"9月"))/10000</f>
        <v>0</v>
      </c>
      <c r="O146" s="29">
        <f>(SUMIFS(终端客户销售统计表!$K:$K,终端客户销售统计表!$L:$L,$B146,终端客户销售统计表!$H:$H,$D146,终端客户销售统计表!$G:$G,"10月")+SUMIFS(终端客户销售统计表!$K:$K,终端客户销售统计表!$L:$L,$B146,终端客户销售统计表!$H:$H,$D146,终端客户销售统计表!$G:$G,"11月")+SUMIFS(终端客户销售统计表!$K:$K,终端客户销售统计表!$L:$L,$B146,终端客户销售统计表!$H:$H,$D146,终端客户销售统计表!$G:$G,"12月"))/10000</f>
        <v>0</v>
      </c>
      <c r="P146" s="29">
        <f>SUM(L146:O146)</f>
        <v>0</v>
      </c>
      <c r="Q146" s="44" t="str">
        <f t="shared" si="20"/>
        <v/>
      </c>
      <c r="R146" s="29">
        <f>(SUMIFS('代理商-进货明细表'!$I:$I,'代理商-进货明细表'!$B:$B,'代理商-产品进销存'!$B146,'代理商-进货明细表'!$F:$F,'代理商-产品进销存'!$D146,'代理商-进货明细表'!$E:$E,"1月")+SUMIFS('代理商-进货明细表'!$I:$I,'代理商-进货明细表'!$B:$B,'代理商-产品进销存'!$B146,'代理商-进货明细表'!$F:$F,'代理商-产品进销存'!$D146,'代理商-进货明细表'!$E:$E,"2月")+SUMIFS('代理商-进货明细表'!$I:$I,'代理商-进货明细表'!$B:$B,'代理商-产品进销存'!$B146,'代理商-进货明细表'!$F:$F,'代理商-产品进销存'!$D146,'代理商-进货明细表'!$E:$E,"3月"))/10000</f>
        <v>0</v>
      </c>
      <c r="S146" s="29">
        <f>(SUMIFS('代理商-进货明细表'!$I:$I,'代理商-进货明细表'!$B:$B,'代理商-产品进销存'!$B146,'代理商-进货明细表'!$F:$F,'代理商-产品进销存'!$D146,'代理商-进货明细表'!$E:$E,"4月")+SUMIFS('代理商-进货明细表'!$I:$I,'代理商-进货明细表'!$B:$B,'代理商-产品进销存'!$B146,'代理商-进货明细表'!$F:$F,'代理商-产品进销存'!$D146,'代理商-进货明细表'!$E:$E,"5月")+SUMIFS('代理商-进货明细表'!$I:$I,'代理商-进货明细表'!$B:$B,'代理商-产品进销存'!$B146,'代理商-进货明细表'!$F:$F,'代理商-产品进销存'!$D146,'代理商-进货明细表'!$E:$E,"6月"))/10000</f>
        <v>0</v>
      </c>
      <c r="T146" s="29">
        <f>(SUMIFS('代理商-进货明细表'!$I:$I,'代理商-进货明细表'!$B:$B,'代理商-产品进销存'!$B146,'代理商-进货明细表'!$F:$F,'代理商-产品进销存'!$D146,'代理商-进货明细表'!$E:$E,"7月")+SUMIFS('代理商-进货明细表'!$I:$I,'代理商-进货明细表'!$B:$B,'代理商-产品进销存'!$B146,'代理商-进货明细表'!$F:$F,'代理商-产品进销存'!$D146,'代理商-进货明细表'!$E:$E,"8月")+SUMIFS('代理商-进货明细表'!$I:$I,'代理商-进货明细表'!$B:$B,'代理商-产品进销存'!$B146,'代理商-进货明细表'!$F:$F,'代理商-产品进销存'!$D146,'代理商-进货明细表'!$E:$E,"9月"))/10000</f>
        <v>0</v>
      </c>
      <c r="U146" s="29">
        <f>(SUMIFS('代理商-进货明细表'!$I:$I,'代理商-进货明细表'!$B:$B,'代理商-产品进销存'!$B146,'代理商-进货明细表'!$F:$F,'代理商-产品进销存'!$D146,'代理商-进货明细表'!$E:$E,"10月")+SUMIFS('代理商-进货明细表'!$I:$I,'代理商-进货明细表'!$B:$B,'代理商-产品进销存'!$B146,'代理商-进货明细表'!$F:$F,'代理商-产品进销存'!$D146,'代理商-进货明细表'!$E:$E,"11月")+SUMIFS('代理商-进货明细表'!$I:$I,'代理商-进货明细表'!$B:$B,'代理商-产品进销存'!$B146,'代理商-进货明细表'!$F:$F,'代理商-产品进销存'!$D146,'代理商-进货明细表'!$E:$E,"12月"))/10000</f>
        <v>0</v>
      </c>
      <c r="V146" s="29">
        <f t="shared" si="21"/>
        <v>0</v>
      </c>
      <c r="W146" s="29">
        <f t="shared" si="22"/>
        <v>0</v>
      </c>
      <c r="X146" s="29">
        <f t="shared" si="23"/>
        <v>0</v>
      </c>
      <c r="Y146" s="29">
        <f t="shared" si="24"/>
        <v>0</v>
      </c>
      <c r="Z146" s="29">
        <f t="shared" si="25"/>
        <v>0</v>
      </c>
      <c r="AA146" s="29">
        <f t="shared" si="26"/>
        <v>0</v>
      </c>
    </row>
    <row r="147" spans="1:27" x14ac:dyDescent="0.3">
      <c r="A147" s="2" t="s">
        <v>197</v>
      </c>
      <c r="B147" s="2" t="s">
        <v>119</v>
      </c>
      <c r="D147" s="3" t="s">
        <v>14</v>
      </c>
      <c r="L147" s="29">
        <f>(SUMIFS(终端客户销售统计表!$K:$K,终端客户销售统计表!$L:$L,$B147,终端客户销售统计表!$H:$H,$D147,终端客户销售统计表!$G:$G,"1月")+SUMIFS(终端客户销售统计表!$K:$K,终端客户销售统计表!$L:$L,$B147,终端客户销售统计表!$H:$H,$D147,终端客户销售统计表!$G:$G,"2月")+SUMIFS(终端客户销售统计表!$K:$K,终端客户销售统计表!$L:$L,$B147,终端客户销售统计表!$H:$H,$D147,终端客户销售统计表!$G:$G,"3月"))/10000</f>
        <v>0</v>
      </c>
      <c r="M147" s="29">
        <f>(SUMIFS(终端客户销售统计表!$K:$K,终端客户销售统计表!$L:$L,$B147,终端客户销售统计表!$H:$H,$D147,终端客户销售统计表!$G:$G,"4月")+SUMIFS(终端客户销售统计表!$K:$K,终端客户销售统计表!$L:$L,$B147,终端客户销售统计表!$H:$H,$D147,终端客户销售统计表!$G:$G,"5月")+SUMIFS(终端客户销售统计表!$K:$K,终端客户销售统计表!$L:$L,$B147,终端客户销售统计表!$H:$H,$D147,终端客户销售统计表!$G:$G,"6月"))/10000</f>
        <v>0</v>
      </c>
      <c r="N147" s="29">
        <f>(SUMIFS(终端客户销售统计表!$K:$K,终端客户销售统计表!$L:$L,$B147,终端客户销售统计表!$H:$H,$D147,终端客户销售统计表!$G:$G,"7月")+SUMIFS(终端客户销售统计表!$K:$K,终端客户销售统计表!$L:$L,$B147,终端客户销售统计表!$H:$H,$D147,终端客户销售统计表!$G:$G,"8月")+SUMIFS(终端客户销售统计表!$K:$K,终端客户销售统计表!$L:$L,$B147,终端客户销售统计表!$H:$H,$D147,终端客户销售统计表!$G:$G,"9月"))/10000</f>
        <v>0</v>
      </c>
      <c r="O147" s="29">
        <f>(SUMIFS(终端客户销售统计表!$K:$K,终端客户销售统计表!$L:$L,$B147,终端客户销售统计表!$H:$H,$D147,终端客户销售统计表!$G:$G,"10月")+SUMIFS(终端客户销售统计表!$K:$K,终端客户销售统计表!$L:$L,$B147,终端客户销售统计表!$H:$H,$D147,终端客户销售统计表!$G:$G,"11月")+SUMIFS(终端客户销售统计表!$K:$K,终端客户销售统计表!$L:$L,$B147,终端客户销售统计表!$H:$H,$D147,终端客户销售统计表!$G:$G,"12月"))/10000</f>
        <v>0</v>
      </c>
      <c r="P147" s="29">
        <f>SUM(L147:O147)</f>
        <v>0</v>
      </c>
      <c r="Q147" s="44" t="str">
        <f t="shared" si="20"/>
        <v/>
      </c>
      <c r="R147" s="29">
        <f>(SUMIFS('代理商-进货明细表'!$I:$I,'代理商-进货明细表'!$B:$B,'代理商-产品进销存'!$B147,'代理商-进货明细表'!$F:$F,'代理商-产品进销存'!$D147,'代理商-进货明细表'!$E:$E,"1月")+SUMIFS('代理商-进货明细表'!$I:$I,'代理商-进货明细表'!$B:$B,'代理商-产品进销存'!$B147,'代理商-进货明细表'!$F:$F,'代理商-产品进销存'!$D147,'代理商-进货明细表'!$E:$E,"2月")+SUMIFS('代理商-进货明细表'!$I:$I,'代理商-进货明细表'!$B:$B,'代理商-产品进销存'!$B147,'代理商-进货明细表'!$F:$F,'代理商-产品进销存'!$D147,'代理商-进货明细表'!$E:$E,"3月"))/10000</f>
        <v>0</v>
      </c>
      <c r="S147" s="29">
        <f>(SUMIFS('代理商-进货明细表'!$I:$I,'代理商-进货明细表'!$B:$B,'代理商-产品进销存'!$B147,'代理商-进货明细表'!$F:$F,'代理商-产品进销存'!$D147,'代理商-进货明细表'!$E:$E,"4月")+SUMIFS('代理商-进货明细表'!$I:$I,'代理商-进货明细表'!$B:$B,'代理商-产品进销存'!$B147,'代理商-进货明细表'!$F:$F,'代理商-产品进销存'!$D147,'代理商-进货明细表'!$E:$E,"5月")+SUMIFS('代理商-进货明细表'!$I:$I,'代理商-进货明细表'!$B:$B,'代理商-产品进销存'!$B147,'代理商-进货明细表'!$F:$F,'代理商-产品进销存'!$D147,'代理商-进货明细表'!$E:$E,"6月"))/10000</f>
        <v>0</v>
      </c>
      <c r="T147" s="29">
        <f>(SUMIFS('代理商-进货明细表'!$I:$I,'代理商-进货明细表'!$B:$B,'代理商-产品进销存'!$B147,'代理商-进货明细表'!$F:$F,'代理商-产品进销存'!$D147,'代理商-进货明细表'!$E:$E,"7月")+SUMIFS('代理商-进货明细表'!$I:$I,'代理商-进货明细表'!$B:$B,'代理商-产品进销存'!$B147,'代理商-进货明细表'!$F:$F,'代理商-产品进销存'!$D147,'代理商-进货明细表'!$E:$E,"8月")+SUMIFS('代理商-进货明细表'!$I:$I,'代理商-进货明细表'!$B:$B,'代理商-产品进销存'!$B147,'代理商-进货明细表'!$F:$F,'代理商-产品进销存'!$D147,'代理商-进货明细表'!$E:$E,"9月"))/10000</f>
        <v>0</v>
      </c>
      <c r="U147" s="29">
        <f>(SUMIFS('代理商-进货明细表'!$I:$I,'代理商-进货明细表'!$B:$B,'代理商-产品进销存'!$B147,'代理商-进货明细表'!$F:$F,'代理商-产品进销存'!$D147,'代理商-进货明细表'!$E:$E,"10月")+SUMIFS('代理商-进货明细表'!$I:$I,'代理商-进货明细表'!$B:$B,'代理商-产品进销存'!$B147,'代理商-进货明细表'!$F:$F,'代理商-产品进销存'!$D147,'代理商-进货明细表'!$E:$E,"11月")+SUMIFS('代理商-进货明细表'!$I:$I,'代理商-进货明细表'!$B:$B,'代理商-产品进销存'!$B147,'代理商-进货明细表'!$F:$F,'代理商-产品进销存'!$D147,'代理商-进货明细表'!$E:$E,"12月"))/10000</f>
        <v>0</v>
      </c>
      <c r="V147" s="29">
        <f t="shared" si="21"/>
        <v>0</v>
      </c>
      <c r="W147" s="29">
        <f t="shared" si="22"/>
        <v>0</v>
      </c>
      <c r="X147" s="29">
        <f t="shared" si="23"/>
        <v>0</v>
      </c>
      <c r="Y147" s="29">
        <f t="shared" si="24"/>
        <v>0</v>
      </c>
      <c r="Z147" s="29">
        <f t="shared" si="25"/>
        <v>0</v>
      </c>
      <c r="AA147" s="29">
        <f t="shared" si="26"/>
        <v>0</v>
      </c>
    </row>
    <row r="148" spans="1:27" x14ac:dyDescent="0.3">
      <c r="A148" s="2" t="s">
        <v>197</v>
      </c>
      <c r="B148" s="2" t="s">
        <v>119</v>
      </c>
      <c r="D148" s="3" t="s">
        <v>15</v>
      </c>
      <c r="L148" s="29">
        <f>(SUMIFS(终端客户销售统计表!$K:$K,终端客户销售统计表!$L:$L,$B148,终端客户销售统计表!$H:$H,$D148,终端客户销售统计表!$G:$G,"1月")+SUMIFS(终端客户销售统计表!$K:$K,终端客户销售统计表!$L:$L,$B148,终端客户销售统计表!$H:$H,$D148,终端客户销售统计表!$G:$G,"2月")+SUMIFS(终端客户销售统计表!$K:$K,终端客户销售统计表!$L:$L,$B148,终端客户销售统计表!$H:$H,$D148,终端客户销售统计表!$G:$G,"3月"))/10000</f>
        <v>0</v>
      </c>
      <c r="M148" s="29">
        <f>(SUMIFS(终端客户销售统计表!$K:$K,终端客户销售统计表!$L:$L,$B148,终端客户销售统计表!$H:$H,$D148,终端客户销售统计表!$G:$G,"4月")+SUMIFS(终端客户销售统计表!$K:$K,终端客户销售统计表!$L:$L,$B148,终端客户销售统计表!$H:$H,$D148,终端客户销售统计表!$G:$G,"5月")+SUMIFS(终端客户销售统计表!$K:$K,终端客户销售统计表!$L:$L,$B148,终端客户销售统计表!$H:$H,$D148,终端客户销售统计表!$G:$G,"6月"))/10000</f>
        <v>0</v>
      </c>
      <c r="N148" s="29">
        <f>(SUMIFS(终端客户销售统计表!$K:$K,终端客户销售统计表!$L:$L,$B148,终端客户销售统计表!$H:$H,$D148,终端客户销售统计表!$G:$G,"7月")+SUMIFS(终端客户销售统计表!$K:$K,终端客户销售统计表!$L:$L,$B148,终端客户销售统计表!$H:$H,$D148,终端客户销售统计表!$G:$G,"8月")+SUMIFS(终端客户销售统计表!$K:$K,终端客户销售统计表!$L:$L,$B148,终端客户销售统计表!$H:$H,$D148,终端客户销售统计表!$G:$G,"9月"))/10000</f>
        <v>0</v>
      </c>
      <c r="O148" s="29">
        <f>(SUMIFS(终端客户销售统计表!$K:$K,终端客户销售统计表!$L:$L,$B148,终端客户销售统计表!$H:$H,$D148,终端客户销售统计表!$G:$G,"10月")+SUMIFS(终端客户销售统计表!$K:$K,终端客户销售统计表!$L:$L,$B148,终端客户销售统计表!$H:$H,$D148,终端客户销售统计表!$G:$G,"11月")+SUMIFS(终端客户销售统计表!$K:$K,终端客户销售统计表!$L:$L,$B148,终端客户销售统计表!$H:$H,$D148,终端客户销售统计表!$G:$G,"12月"))/10000</f>
        <v>0</v>
      </c>
      <c r="P148" s="29">
        <f>SUM(L148:O148)</f>
        <v>0</v>
      </c>
      <c r="Q148" s="44" t="str">
        <f t="shared" si="20"/>
        <v/>
      </c>
      <c r="R148" s="29">
        <f>(SUMIFS('代理商-进货明细表'!$I:$I,'代理商-进货明细表'!$B:$B,'代理商-产品进销存'!$B148,'代理商-进货明细表'!$F:$F,'代理商-产品进销存'!$D148,'代理商-进货明细表'!$E:$E,"1月")+SUMIFS('代理商-进货明细表'!$I:$I,'代理商-进货明细表'!$B:$B,'代理商-产品进销存'!$B148,'代理商-进货明细表'!$F:$F,'代理商-产品进销存'!$D148,'代理商-进货明细表'!$E:$E,"2月")+SUMIFS('代理商-进货明细表'!$I:$I,'代理商-进货明细表'!$B:$B,'代理商-产品进销存'!$B148,'代理商-进货明细表'!$F:$F,'代理商-产品进销存'!$D148,'代理商-进货明细表'!$E:$E,"3月"))/10000</f>
        <v>0</v>
      </c>
      <c r="S148" s="29">
        <f>(SUMIFS('代理商-进货明细表'!$I:$I,'代理商-进货明细表'!$B:$B,'代理商-产品进销存'!$B148,'代理商-进货明细表'!$F:$F,'代理商-产品进销存'!$D148,'代理商-进货明细表'!$E:$E,"4月")+SUMIFS('代理商-进货明细表'!$I:$I,'代理商-进货明细表'!$B:$B,'代理商-产品进销存'!$B148,'代理商-进货明细表'!$F:$F,'代理商-产品进销存'!$D148,'代理商-进货明细表'!$E:$E,"5月")+SUMIFS('代理商-进货明细表'!$I:$I,'代理商-进货明细表'!$B:$B,'代理商-产品进销存'!$B148,'代理商-进货明细表'!$F:$F,'代理商-产品进销存'!$D148,'代理商-进货明细表'!$E:$E,"6月"))/10000</f>
        <v>0</v>
      </c>
      <c r="T148" s="29">
        <f>(SUMIFS('代理商-进货明细表'!$I:$I,'代理商-进货明细表'!$B:$B,'代理商-产品进销存'!$B148,'代理商-进货明细表'!$F:$F,'代理商-产品进销存'!$D148,'代理商-进货明细表'!$E:$E,"7月")+SUMIFS('代理商-进货明细表'!$I:$I,'代理商-进货明细表'!$B:$B,'代理商-产品进销存'!$B148,'代理商-进货明细表'!$F:$F,'代理商-产品进销存'!$D148,'代理商-进货明细表'!$E:$E,"8月")+SUMIFS('代理商-进货明细表'!$I:$I,'代理商-进货明细表'!$B:$B,'代理商-产品进销存'!$B148,'代理商-进货明细表'!$F:$F,'代理商-产品进销存'!$D148,'代理商-进货明细表'!$E:$E,"9月"))/10000</f>
        <v>0</v>
      </c>
      <c r="U148" s="29">
        <f>(SUMIFS('代理商-进货明细表'!$I:$I,'代理商-进货明细表'!$B:$B,'代理商-产品进销存'!$B148,'代理商-进货明细表'!$F:$F,'代理商-产品进销存'!$D148,'代理商-进货明细表'!$E:$E,"10月")+SUMIFS('代理商-进货明细表'!$I:$I,'代理商-进货明细表'!$B:$B,'代理商-产品进销存'!$B148,'代理商-进货明细表'!$F:$F,'代理商-产品进销存'!$D148,'代理商-进货明细表'!$E:$E,"11月")+SUMIFS('代理商-进货明细表'!$I:$I,'代理商-进货明细表'!$B:$B,'代理商-产品进销存'!$B148,'代理商-进货明细表'!$F:$F,'代理商-产品进销存'!$D148,'代理商-进货明细表'!$E:$E,"12月"))/10000</f>
        <v>0</v>
      </c>
      <c r="V148" s="29">
        <f t="shared" si="21"/>
        <v>0</v>
      </c>
      <c r="W148" s="29">
        <f t="shared" si="22"/>
        <v>0</v>
      </c>
      <c r="X148" s="29">
        <f t="shared" si="23"/>
        <v>0</v>
      </c>
      <c r="Y148" s="29">
        <f t="shared" si="24"/>
        <v>0</v>
      </c>
      <c r="Z148" s="29">
        <f t="shared" si="25"/>
        <v>0</v>
      </c>
      <c r="AA148" s="29">
        <f t="shared" si="26"/>
        <v>0</v>
      </c>
    </row>
    <row r="149" spans="1:27" x14ac:dyDescent="0.3">
      <c r="A149" s="2" t="s">
        <v>197</v>
      </c>
      <c r="B149" s="2" t="s">
        <v>119</v>
      </c>
      <c r="D149" s="3" t="s">
        <v>16</v>
      </c>
      <c r="L149" s="29">
        <f>(SUMIFS(终端客户销售统计表!$K:$K,终端客户销售统计表!$L:$L,$B149,终端客户销售统计表!$H:$H,$D149,终端客户销售统计表!$G:$G,"1月")+SUMIFS(终端客户销售统计表!$K:$K,终端客户销售统计表!$L:$L,$B149,终端客户销售统计表!$H:$H,$D149,终端客户销售统计表!$G:$G,"2月")+SUMIFS(终端客户销售统计表!$K:$K,终端客户销售统计表!$L:$L,$B149,终端客户销售统计表!$H:$H,$D149,终端客户销售统计表!$G:$G,"3月"))/10000</f>
        <v>0</v>
      </c>
      <c r="M149" s="29">
        <f>(SUMIFS(终端客户销售统计表!$K:$K,终端客户销售统计表!$L:$L,$B149,终端客户销售统计表!$H:$H,$D149,终端客户销售统计表!$G:$G,"4月")+SUMIFS(终端客户销售统计表!$K:$K,终端客户销售统计表!$L:$L,$B149,终端客户销售统计表!$H:$H,$D149,终端客户销售统计表!$G:$G,"5月")+SUMIFS(终端客户销售统计表!$K:$K,终端客户销售统计表!$L:$L,$B149,终端客户销售统计表!$H:$H,$D149,终端客户销售统计表!$G:$G,"6月"))/10000</f>
        <v>0</v>
      </c>
      <c r="N149" s="29">
        <f>(SUMIFS(终端客户销售统计表!$K:$K,终端客户销售统计表!$L:$L,$B149,终端客户销售统计表!$H:$H,$D149,终端客户销售统计表!$G:$G,"7月")+SUMIFS(终端客户销售统计表!$K:$K,终端客户销售统计表!$L:$L,$B149,终端客户销售统计表!$H:$H,$D149,终端客户销售统计表!$G:$G,"8月")+SUMIFS(终端客户销售统计表!$K:$K,终端客户销售统计表!$L:$L,$B149,终端客户销售统计表!$H:$H,$D149,终端客户销售统计表!$G:$G,"9月"))/10000</f>
        <v>0</v>
      </c>
      <c r="O149" s="29">
        <f>(SUMIFS(终端客户销售统计表!$K:$K,终端客户销售统计表!$L:$L,$B149,终端客户销售统计表!$H:$H,$D149,终端客户销售统计表!$G:$G,"10月")+SUMIFS(终端客户销售统计表!$K:$K,终端客户销售统计表!$L:$L,$B149,终端客户销售统计表!$H:$H,$D149,终端客户销售统计表!$G:$G,"11月")+SUMIFS(终端客户销售统计表!$K:$K,终端客户销售统计表!$L:$L,$B149,终端客户销售统计表!$H:$H,$D149,终端客户销售统计表!$G:$G,"12月"))/10000</f>
        <v>0</v>
      </c>
      <c r="P149" s="29">
        <f>SUM(L149:O149)</f>
        <v>0</v>
      </c>
      <c r="Q149" s="44" t="str">
        <f t="shared" si="20"/>
        <v/>
      </c>
      <c r="R149" s="29">
        <f>(SUMIFS('代理商-进货明细表'!$I:$I,'代理商-进货明细表'!$B:$B,'代理商-产品进销存'!$B149,'代理商-进货明细表'!$F:$F,'代理商-产品进销存'!$D149,'代理商-进货明细表'!$E:$E,"1月")+SUMIFS('代理商-进货明细表'!$I:$I,'代理商-进货明细表'!$B:$B,'代理商-产品进销存'!$B149,'代理商-进货明细表'!$F:$F,'代理商-产品进销存'!$D149,'代理商-进货明细表'!$E:$E,"2月")+SUMIFS('代理商-进货明细表'!$I:$I,'代理商-进货明细表'!$B:$B,'代理商-产品进销存'!$B149,'代理商-进货明细表'!$F:$F,'代理商-产品进销存'!$D149,'代理商-进货明细表'!$E:$E,"3月"))/10000</f>
        <v>0</v>
      </c>
      <c r="S149" s="29">
        <f>(SUMIFS('代理商-进货明细表'!$I:$I,'代理商-进货明细表'!$B:$B,'代理商-产品进销存'!$B149,'代理商-进货明细表'!$F:$F,'代理商-产品进销存'!$D149,'代理商-进货明细表'!$E:$E,"4月")+SUMIFS('代理商-进货明细表'!$I:$I,'代理商-进货明细表'!$B:$B,'代理商-产品进销存'!$B149,'代理商-进货明细表'!$F:$F,'代理商-产品进销存'!$D149,'代理商-进货明细表'!$E:$E,"5月")+SUMIFS('代理商-进货明细表'!$I:$I,'代理商-进货明细表'!$B:$B,'代理商-产品进销存'!$B149,'代理商-进货明细表'!$F:$F,'代理商-产品进销存'!$D149,'代理商-进货明细表'!$E:$E,"6月"))/10000</f>
        <v>0</v>
      </c>
      <c r="T149" s="29">
        <f>(SUMIFS('代理商-进货明细表'!$I:$I,'代理商-进货明细表'!$B:$B,'代理商-产品进销存'!$B149,'代理商-进货明细表'!$F:$F,'代理商-产品进销存'!$D149,'代理商-进货明细表'!$E:$E,"7月")+SUMIFS('代理商-进货明细表'!$I:$I,'代理商-进货明细表'!$B:$B,'代理商-产品进销存'!$B149,'代理商-进货明细表'!$F:$F,'代理商-产品进销存'!$D149,'代理商-进货明细表'!$E:$E,"8月")+SUMIFS('代理商-进货明细表'!$I:$I,'代理商-进货明细表'!$B:$B,'代理商-产品进销存'!$B149,'代理商-进货明细表'!$F:$F,'代理商-产品进销存'!$D149,'代理商-进货明细表'!$E:$E,"9月"))/10000</f>
        <v>0</v>
      </c>
      <c r="U149" s="29">
        <f>(SUMIFS('代理商-进货明细表'!$I:$I,'代理商-进货明细表'!$B:$B,'代理商-产品进销存'!$B149,'代理商-进货明细表'!$F:$F,'代理商-产品进销存'!$D149,'代理商-进货明细表'!$E:$E,"10月")+SUMIFS('代理商-进货明细表'!$I:$I,'代理商-进货明细表'!$B:$B,'代理商-产品进销存'!$B149,'代理商-进货明细表'!$F:$F,'代理商-产品进销存'!$D149,'代理商-进货明细表'!$E:$E,"11月")+SUMIFS('代理商-进货明细表'!$I:$I,'代理商-进货明细表'!$B:$B,'代理商-产品进销存'!$B149,'代理商-进货明细表'!$F:$F,'代理商-产品进销存'!$D149,'代理商-进货明细表'!$E:$E,"12月"))/10000</f>
        <v>0</v>
      </c>
      <c r="V149" s="29">
        <f t="shared" si="21"/>
        <v>0</v>
      </c>
      <c r="W149" s="29">
        <f t="shared" si="22"/>
        <v>0</v>
      </c>
      <c r="X149" s="29">
        <f t="shared" si="23"/>
        <v>0</v>
      </c>
      <c r="Y149" s="29">
        <f t="shared" si="24"/>
        <v>0</v>
      </c>
      <c r="Z149" s="29">
        <f t="shared" si="25"/>
        <v>0</v>
      </c>
      <c r="AA149" s="29">
        <f t="shared" si="26"/>
        <v>0</v>
      </c>
    </row>
    <row r="150" spans="1:27" x14ac:dyDescent="0.3">
      <c r="A150" s="2" t="s">
        <v>197</v>
      </c>
      <c r="B150" s="2" t="s">
        <v>119</v>
      </c>
      <c r="D150" s="3" t="s">
        <v>17</v>
      </c>
      <c r="L150" s="29">
        <f>(SUMIFS(终端客户销售统计表!$K:$K,终端客户销售统计表!$L:$L,$B150,终端客户销售统计表!$H:$H,$D150,终端客户销售统计表!$G:$G,"1月")+SUMIFS(终端客户销售统计表!$K:$K,终端客户销售统计表!$L:$L,$B150,终端客户销售统计表!$H:$H,$D150,终端客户销售统计表!$G:$G,"2月")+SUMIFS(终端客户销售统计表!$K:$K,终端客户销售统计表!$L:$L,$B150,终端客户销售统计表!$H:$H,$D150,终端客户销售统计表!$G:$G,"3月"))/10000</f>
        <v>0</v>
      </c>
      <c r="M150" s="29">
        <f>(SUMIFS(终端客户销售统计表!$K:$K,终端客户销售统计表!$L:$L,$B150,终端客户销售统计表!$H:$H,$D150,终端客户销售统计表!$G:$G,"4月")+SUMIFS(终端客户销售统计表!$K:$K,终端客户销售统计表!$L:$L,$B150,终端客户销售统计表!$H:$H,$D150,终端客户销售统计表!$G:$G,"5月")+SUMIFS(终端客户销售统计表!$K:$K,终端客户销售统计表!$L:$L,$B150,终端客户销售统计表!$H:$H,$D150,终端客户销售统计表!$G:$G,"6月"))/10000</f>
        <v>0</v>
      </c>
      <c r="N150" s="29">
        <f>(SUMIFS(终端客户销售统计表!$K:$K,终端客户销售统计表!$L:$L,$B150,终端客户销售统计表!$H:$H,$D150,终端客户销售统计表!$G:$G,"7月")+SUMIFS(终端客户销售统计表!$K:$K,终端客户销售统计表!$L:$L,$B150,终端客户销售统计表!$H:$H,$D150,终端客户销售统计表!$G:$G,"8月")+SUMIFS(终端客户销售统计表!$K:$K,终端客户销售统计表!$L:$L,$B150,终端客户销售统计表!$H:$H,$D150,终端客户销售统计表!$G:$G,"9月"))/10000</f>
        <v>0</v>
      </c>
      <c r="O150" s="29">
        <f>(SUMIFS(终端客户销售统计表!$K:$K,终端客户销售统计表!$L:$L,$B150,终端客户销售统计表!$H:$H,$D150,终端客户销售统计表!$G:$G,"10月")+SUMIFS(终端客户销售统计表!$K:$K,终端客户销售统计表!$L:$L,$B150,终端客户销售统计表!$H:$H,$D150,终端客户销售统计表!$G:$G,"11月")+SUMIFS(终端客户销售统计表!$K:$K,终端客户销售统计表!$L:$L,$B150,终端客户销售统计表!$H:$H,$D150,终端客户销售统计表!$G:$G,"12月"))/10000</f>
        <v>0</v>
      </c>
      <c r="P150" s="29">
        <f>SUM(L150:O150)</f>
        <v>0</v>
      </c>
      <c r="Q150" s="44" t="str">
        <f t="shared" si="20"/>
        <v/>
      </c>
      <c r="R150" s="29">
        <f>(SUMIFS('代理商-进货明细表'!$I:$I,'代理商-进货明细表'!$B:$B,'代理商-产品进销存'!$B150,'代理商-进货明细表'!$F:$F,'代理商-产品进销存'!$D150,'代理商-进货明细表'!$E:$E,"1月")+SUMIFS('代理商-进货明细表'!$I:$I,'代理商-进货明细表'!$B:$B,'代理商-产品进销存'!$B150,'代理商-进货明细表'!$F:$F,'代理商-产品进销存'!$D150,'代理商-进货明细表'!$E:$E,"2月")+SUMIFS('代理商-进货明细表'!$I:$I,'代理商-进货明细表'!$B:$B,'代理商-产品进销存'!$B150,'代理商-进货明细表'!$F:$F,'代理商-产品进销存'!$D150,'代理商-进货明细表'!$E:$E,"3月"))/10000</f>
        <v>0</v>
      </c>
      <c r="S150" s="29">
        <f>(SUMIFS('代理商-进货明细表'!$I:$I,'代理商-进货明细表'!$B:$B,'代理商-产品进销存'!$B150,'代理商-进货明细表'!$F:$F,'代理商-产品进销存'!$D150,'代理商-进货明细表'!$E:$E,"4月")+SUMIFS('代理商-进货明细表'!$I:$I,'代理商-进货明细表'!$B:$B,'代理商-产品进销存'!$B150,'代理商-进货明细表'!$F:$F,'代理商-产品进销存'!$D150,'代理商-进货明细表'!$E:$E,"5月")+SUMIFS('代理商-进货明细表'!$I:$I,'代理商-进货明细表'!$B:$B,'代理商-产品进销存'!$B150,'代理商-进货明细表'!$F:$F,'代理商-产品进销存'!$D150,'代理商-进货明细表'!$E:$E,"6月"))/10000</f>
        <v>0</v>
      </c>
      <c r="T150" s="29">
        <f>(SUMIFS('代理商-进货明细表'!$I:$I,'代理商-进货明细表'!$B:$B,'代理商-产品进销存'!$B150,'代理商-进货明细表'!$F:$F,'代理商-产品进销存'!$D150,'代理商-进货明细表'!$E:$E,"7月")+SUMIFS('代理商-进货明细表'!$I:$I,'代理商-进货明细表'!$B:$B,'代理商-产品进销存'!$B150,'代理商-进货明细表'!$F:$F,'代理商-产品进销存'!$D150,'代理商-进货明细表'!$E:$E,"8月")+SUMIFS('代理商-进货明细表'!$I:$I,'代理商-进货明细表'!$B:$B,'代理商-产品进销存'!$B150,'代理商-进货明细表'!$F:$F,'代理商-产品进销存'!$D150,'代理商-进货明细表'!$E:$E,"9月"))/10000</f>
        <v>0</v>
      </c>
      <c r="U150" s="29">
        <f>(SUMIFS('代理商-进货明细表'!$I:$I,'代理商-进货明细表'!$B:$B,'代理商-产品进销存'!$B150,'代理商-进货明细表'!$F:$F,'代理商-产品进销存'!$D150,'代理商-进货明细表'!$E:$E,"10月")+SUMIFS('代理商-进货明细表'!$I:$I,'代理商-进货明细表'!$B:$B,'代理商-产品进销存'!$B150,'代理商-进货明细表'!$F:$F,'代理商-产品进销存'!$D150,'代理商-进货明细表'!$E:$E,"11月")+SUMIFS('代理商-进货明细表'!$I:$I,'代理商-进货明细表'!$B:$B,'代理商-产品进销存'!$B150,'代理商-进货明细表'!$F:$F,'代理商-产品进销存'!$D150,'代理商-进货明细表'!$E:$E,"12月"))/10000</f>
        <v>0</v>
      </c>
      <c r="V150" s="29">
        <f t="shared" si="21"/>
        <v>0</v>
      </c>
      <c r="W150" s="29">
        <f t="shared" si="22"/>
        <v>0</v>
      </c>
      <c r="X150" s="29">
        <f t="shared" si="23"/>
        <v>0</v>
      </c>
      <c r="Y150" s="29">
        <f t="shared" si="24"/>
        <v>0</v>
      </c>
      <c r="Z150" s="29">
        <f t="shared" si="25"/>
        <v>0</v>
      </c>
      <c r="AA150" s="29">
        <f t="shared" si="26"/>
        <v>0</v>
      </c>
    </row>
    <row r="151" spans="1:27" x14ac:dyDescent="0.3">
      <c r="A151" s="2" t="s">
        <v>198</v>
      </c>
      <c r="B151" s="2" t="s">
        <v>120</v>
      </c>
      <c r="D151" s="3" t="s">
        <v>14</v>
      </c>
      <c r="L151" s="29">
        <f>(SUMIFS(终端客户销售统计表!$K:$K,终端客户销售统计表!$L:$L,$B151,终端客户销售统计表!$H:$H,$D151,终端客户销售统计表!$G:$G,"1月")+SUMIFS(终端客户销售统计表!$K:$K,终端客户销售统计表!$L:$L,$B151,终端客户销售统计表!$H:$H,$D151,终端客户销售统计表!$G:$G,"2月")+SUMIFS(终端客户销售统计表!$K:$K,终端客户销售统计表!$L:$L,$B151,终端客户销售统计表!$H:$H,$D151,终端客户销售统计表!$G:$G,"3月"))/10000</f>
        <v>0</v>
      </c>
      <c r="M151" s="29">
        <f>(SUMIFS(终端客户销售统计表!$K:$K,终端客户销售统计表!$L:$L,$B151,终端客户销售统计表!$H:$H,$D151,终端客户销售统计表!$G:$G,"4月")+SUMIFS(终端客户销售统计表!$K:$K,终端客户销售统计表!$L:$L,$B151,终端客户销售统计表!$H:$H,$D151,终端客户销售统计表!$G:$G,"5月")+SUMIFS(终端客户销售统计表!$K:$K,终端客户销售统计表!$L:$L,$B151,终端客户销售统计表!$H:$H,$D151,终端客户销售统计表!$G:$G,"6月"))/10000</f>
        <v>0</v>
      </c>
      <c r="N151" s="29">
        <f>(SUMIFS(终端客户销售统计表!$K:$K,终端客户销售统计表!$L:$L,$B151,终端客户销售统计表!$H:$H,$D151,终端客户销售统计表!$G:$G,"7月")+SUMIFS(终端客户销售统计表!$K:$K,终端客户销售统计表!$L:$L,$B151,终端客户销售统计表!$H:$H,$D151,终端客户销售统计表!$G:$G,"8月")+SUMIFS(终端客户销售统计表!$K:$K,终端客户销售统计表!$L:$L,$B151,终端客户销售统计表!$H:$H,$D151,终端客户销售统计表!$G:$G,"9月"))/10000</f>
        <v>0</v>
      </c>
      <c r="O151" s="29">
        <f>(SUMIFS(终端客户销售统计表!$K:$K,终端客户销售统计表!$L:$L,$B151,终端客户销售统计表!$H:$H,$D151,终端客户销售统计表!$G:$G,"10月")+SUMIFS(终端客户销售统计表!$K:$K,终端客户销售统计表!$L:$L,$B151,终端客户销售统计表!$H:$H,$D151,终端客户销售统计表!$G:$G,"11月")+SUMIFS(终端客户销售统计表!$K:$K,终端客户销售统计表!$L:$L,$B151,终端客户销售统计表!$H:$H,$D151,终端客户销售统计表!$G:$G,"12月"))/10000</f>
        <v>0</v>
      </c>
      <c r="P151" s="29">
        <f>SUM(L151:O151)</f>
        <v>0</v>
      </c>
      <c r="Q151" s="44" t="str">
        <f t="shared" si="20"/>
        <v/>
      </c>
      <c r="R151" s="29">
        <f>(SUMIFS('代理商-进货明细表'!$I:$I,'代理商-进货明细表'!$B:$B,'代理商-产品进销存'!$B151,'代理商-进货明细表'!$F:$F,'代理商-产品进销存'!$D151,'代理商-进货明细表'!$E:$E,"1月")+SUMIFS('代理商-进货明细表'!$I:$I,'代理商-进货明细表'!$B:$B,'代理商-产品进销存'!$B151,'代理商-进货明细表'!$F:$F,'代理商-产品进销存'!$D151,'代理商-进货明细表'!$E:$E,"2月")+SUMIFS('代理商-进货明细表'!$I:$I,'代理商-进货明细表'!$B:$B,'代理商-产品进销存'!$B151,'代理商-进货明细表'!$F:$F,'代理商-产品进销存'!$D151,'代理商-进货明细表'!$E:$E,"3月"))/10000</f>
        <v>0</v>
      </c>
      <c r="S151" s="29">
        <f>(SUMIFS('代理商-进货明细表'!$I:$I,'代理商-进货明细表'!$B:$B,'代理商-产品进销存'!$B151,'代理商-进货明细表'!$F:$F,'代理商-产品进销存'!$D151,'代理商-进货明细表'!$E:$E,"4月")+SUMIFS('代理商-进货明细表'!$I:$I,'代理商-进货明细表'!$B:$B,'代理商-产品进销存'!$B151,'代理商-进货明细表'!$F:$F,'代理商-产品进销存'!$D151,'代理商-进货明细表'!$E:$E,"5月")+SUMIFS('代理商-进货明细表'!$I:$I,'代理商-进货明细表'!$B:$B,'代理商-产品进销存'!$B151,'代理商-进货明细表'!$F:$F,'代理商-产品进销存'!$D151,'代理商-进货明细表'!$E:$E,"6月"))/10000</f>
        <v>0</v>
      </c>
      <c r="T151" s="29">
        <f>(SUMIFS('代理商-进货明细表'!$I:$I,'代理商-进货明细表'!$B:$B,'代理商-产品进销存'!$B151,'代理商-进货明细表'!$F:$F,'代理商-产品进销存'!$D151,'代理商-进货明细表'!$E:$E,"7月")+SUMIFS('代理商-进货明细表'!$I:$I,'代理商-进货明细表'!$B:$B,'代理商-产品进销存'!$B151,'代理商-进货明细表'!$F:$F,'代理商-产品进销存'!$D151,'代理商-进货明细表'!$E:$E,"8月")+SUMIFS('代理商-进货明细表'!$I:$I,'代理商-进货明细表'!$B:$B,'代理商-产品进销存'!$B151,'代理商-进货明细表'!$F:$F,'代理商-产品进销存'!$D151,'代理商-进货明细表'!$E:$E,"9月"))/10000</f>
        <v>0</v>
      </c>
      <c r="U151" s="29">
        <f>(SUMIFS('代理商-进货明细表'!$I:$I,'代理商-进货明细表'!$B:$B,'代理商-产品进销存'!$B151,'代理商-进货明细表'!$F:$F,'代理商-产品进销存'!$D151,'代理商-进货明细表'!$E:$E,"10月")+SUMIFS('代理商-进货明细表'!$I:$I,'代理商-进货明细表'!$B:$B,'代理商-产品进销存'!$B151,'代理商-进货明细表'!$F:$F,'代理商-产品进销存'!$D151,'代理商-进货明细表'!$E:$E,"11月")+SUMIFS('代理商-进货明细表'!$I:$I,'代理商-进货明细表'!$B:$B,'代理商-产品进销存'!$B151,'代理商-进货明细表'!$F:$F,'代理商-产品进销存'!$D151,'代理商-进货明细表'!$E:$E,"12月"))/10000</f>
        <v>0</v>
      </c>
      <c r="V151" s="29">
        <f t="shared" si="21"/>
        <v>0</v>
      </c>
      <c r="W151" s="29">
        <f t="shared" si="22"/>
        <v>0</v>
      </c>
      <c r="X151" s="29">
        <f t="shared" si="23"/>
        <v>0</v>
      </c>
      <c r="Y151" s="29">
        <f t="shared" si="24"/>
        <v>0</v>
      </c>
      <c r="Z151" s="29">
        <f t="shared" si="25"/>
        <v>0</v>
      </c>
      <c r="AA151" s="29">
        <f t="shared" si="26"/>
        <v>0</v>
      </c>
    </row>
    <row r="152" spans="1:27" x14ac:dyDescent="0.3">
      <c r="A152" s="2" t="s">
        <v>198</v>
      </c>
      <c r="B152" s="2" t="s">
        <v>120</v>
      </c>
      <c r="D152" s="3" t="s">
        <v>15</v>
      </c>
      <c r="L152" s="29">
        <f>(SUMIFS(终端客户销售统计表!$K:$K,终端客户销售统计表!$L:$L,$B152,终端客户销售统计表!$H:$H,$D152,终端客户销售统计表!$G:$G,"1月")+SUMIFS(终端客户销售统计表!$K:$K,终端客户销售统计表!$L:$L,$B152,终端客户销售统计表!$H:$H,$D152,终端客户销售统计表!$G:$G,"2月")+SUMIFS(终端客户销售统计表!$K:$K,终端客户销售统计表!$L:$L,$B152,终端客户销售统计表!$H:$H,$D152,终端客户销售统计表!$G:$G,"3月"))/10000</f>
        <v>0</v>
      </c>
      <c r="M152" s="29">
        <f>(SUMIFS(终端客户销售统计表!$K:$K,终端客户销售统计表!$L:$L,$B152,终端客户销售统计表!$H:$H,$D152,终端客户销售统计表!$G:$G,"4月")+SUMIFS(终端客户销售统计表!$K:$K,终端客户销售统计表!$L:$L,$B152,终端客户销售统计表!$H:$H,$D152,终端客户销售统计表!$G:$G,"5月")+SUMIFS(终端客户销售统计表!$K:$K,终端客户销售统计表!$L:$L,$B152,终端客户销售统计表!$H:$H,$D152,终端客户销售统计表!$G:$G,"6月"))/10000</f>
        <v>0</v>
      </c>
      <c r="N152" s="29">
        <f>(SUMIFS(终端客户销售统计表!$K:$K,终端客户销售统计表!$L:$L,$B152,终端客户销售统计表!$H:$H,$D152,终端客户销售统计表!$G:$G,"7月")+SUMIFS(终端客户销售统计表!$K:$K,终端客户销售统计表!$L:$L,$B152,终端客户销售统计表!$H:$H,$D152,终端客户销售统计表!$G:$G,"8月")+SUMIFS(终端客户销售统计表!$K:$K,终端客户销售统计表!$L:$L,$B152,终端客户销售统计表!$H:$H,$D152,终端客户销售统计表!$G:$G,"9月"))/10000</f>
        <v>0</v>
      </c>
      <c r="O152" s="29">
        <f>(SUMIFS(终端客户销售统计表!$K:$K,终端客户销售统计表!$L:$L,$B152,终端客户销售统计表!$H:$H,$D152,终端客户销售统计表!$G:$G,"10月")+SUMIFS(终端客户销售统计表!$K:$K,终端客户销售统计表!$L:$L,$B152,终端客户销售统计表!$H:$H,$D152,终端客户销售统计表!$G:$G,"11月")+SUMIFS(终端客户销售统计表!$K:$K,终端客户销售统计表!$L:$L,$B152,终端客户销售统计表!$H:$H,$D152,终端客户销售统计表!$G:$G,"12月"))/10000</f>
        <v>0</v>
      </c>
      <c r="P152" s="29">
        <f>SUM(L152:O152)</f>
        <v>0</v>
      </c>
      <c r="Q152" s="44" t="str">
        <f t="shared" si="20"/>
        <v/>
      </c>
      <c r="R152" s="29">
        <f>(SUMIFS('代理商-进货明细表'!$I:$I,'代理商-进货明细表'!$B:$B,'代理商-产品进销存'!$B152,'代理商-进货明细表'!$F:$F,'代理商-产品进销存'!$D152,'代理商-进货明细表'!$E:$E,"1月")+SUMIFS('代理商-进货明细表'!$I:$I,'代理商-进货明细表'!$B:$B,'代理商-产品进销存'!$B152,'代理商-进货明细表'!$F:$F,'代理商-产品进销存'!$D152,'代理商-进货明细表'!$E:$E,"2月")+SUMIFS('代理商-进货明细表'!$I:$I,'代理商-进货明细表'!$B:$B,'代理商-产品进销存'!$B152,'代理商-进货明细表'!$F:$F,'代理商-产品进销存'!$D152,'代理商-进货明细表'!$E:$E,"3月"))/10000</f>
        <v>0</v>
      </c>
      <c r="S152" s="29">
        <f>(SUMIFS('代理商-进货明细表'!$I:$I,'代理商-进货明细表'!$B:$B,'代理商-产品进销存'!$B152,'代理商-进货明细表'!$F:$F,'代理商-产品进销存'!$D152,'代理商-进货明细表'!$E:$E,"4月")+SUMIFS('代理商-进货明细表'!$I:$I,'代理商-进货明细表'!$B:$B,'代理商-产品进销存'!$B152,'代理商-进货明细表'!$F:$F,'代理商-产品进销存'!$D152,'代理商-进货明细表'!$E:$E,"5月")+SUMIFS('代理商-进货明细表'!$I:$I,'代理商-进货明细表'!$B:$B,'代理商-产品进销存'!$B152,'代理商-进货明细表'!$F:$F,'代理商-产品进销存'!$D152,'代理商-进货明细表'!$E:$E,"6月"))/10000</f>
        <v>0</v>
      </c>
      <c r="T152" s="29">
        <f>(SUMIFS('代理商-进货明细表'!$I:$I,'代理商-进货明细表'!$B:$B,'代理商-产品进销存'!$B152,'代理商-进货明细表'!$F:$F,'代理商-产品进销存'!$D152,'代理商-进货明细表'!$E:$E,"7月")+SUMIFS('代理商-进货明细表'!$I:$I,'代理商-进货明细表'!$B:$B,'代理商-产品进销存'!$B152,'代理商-进货明细表'!$F:$F,'代理商-产品进销存'!$D152,'代理商-进货明细表'!$E:$E,"8月")+SUMIFS('代理商-进货明细表'!$I:$I,'代理商-进货明细表'!$B:$B,'代理商-产品进销存'!$B152,'代理商-进货明细表'!$F:$F,'代理商-产品进销存'!$D152,'代理商-进货明细表'!$E:$E,"9月"))/10000</f>
        <v>0</v>
      </c>
      <c r="U152" s="29">
        <f>(SUMIFS('代理商-进货明细表'!$I:$I,'代理商-进货明细表'!$B:$B,'代理商-产品进销存'!$B152,'代理商-进货明细表'!$F:$F,'代理商-产品进销存'!$D152,'代理商-进货明细表'!$E:$E,"10月")+SUMIFS('代理商-进货明细表'!$I:$I,'代理商-进货明细表'!$B:$B,'代理商-产品进销存'!$B152,'代理商-进货明细表'!$F:$F,'代理商-产品进销存'!$D152,'代理商-进货明细表'!$E:$E,"11月")+SUMIFS('代理商-进货明细表'!$I:$I,'代理商-进货明细表'!$B:$B,'代理商-产品进销存'!$B152,'代理商-进货明细表'!$F:$F,'代理商-产品进销存'!$D152,'代理商-进货明细表'!$E:$E,"12月"))/10000</f>
        <v>0</v>
      </c>
      <c r="V152" s="29">
        <f t="shared" si="21"/>
        <v>0</v>
      </c>
      <c r="W152" s="29">
        <f t="shared" si="22"/>
        <v>0</v>
      </c>
      <c r="X152" s="29">
        <f t="shared" si="23"/>
        <v>0</v>
      </c>
      <c r="Y152" s="29">
        <f t="shared" si="24"/>
        <v>0</v>
      </c>
      <c r="Z152" s="29">
        <f t="shared" si="25"/>
        <v>0</v>
      </c>
      <c r="AA152" s="29">
        <f t="shared" si="26"/>
        <v>0</v>
      </c>
    </row>
    <row r="153" spans="1:27" x14ac:dyDescent="0.3">
      <c r="A153" s="2" t="s">
        <v>198</v>
      </c>
      <c r="B153" s="2" t="s">
        <v>120</v>
      </c>
      <c r="D153" s="3" t="s">
        <v>16</v>
      </c>
      <c r="L153" s="29">
        <f>(SUMIFS(终端客户销售统计表!$K:$K,终端客户销售统计表!$L:$L,$B153,终端客户销售统计表!$H:$H,$D153,终端客户销售统计表!$G:$G,"1月")+SUMIFS(终端客户销售统计表!$K:$K,终端客户销售统计表!$L:$L,$B153,终端客户销售统计表!$H:$H,$D153,终端客户销售统计表!$G:$G,"2月")+SUMIFS(终端客户销售统计表!$K:$K,终端客户销售统计表!$L:$L,$B153,终端客户销售统计表!$H:$H,$D153,终端客户销售统计表!$G:$G,"3月"))/10000</f>
        <v>0</v>
      </c>
      <c r="M153" s="29">
        <f>(SUMIFS(终端客户销售统计表!$K:$K,终端客户销售统计表!$L:$L,$B153,终端客户销售统计表!$H:$H,$D153,终端客户销售统计表!$G:$G,"4月")+SUMIFS(终端客户销售统计表!$K:$K,终端客户销售统计表!$L:$L,$B153,终端客户销售统计表!$H:$H,$D153,终端客户销售统计表!$G:$G,"5月")+SUMIFS(终端客户销售统计表!$K:$K,终端客户销售统计表!$L:$L,$B153,终端客户销售统计表!$H:$H,$D153,终端客户销售统计表!$G:$G,"6月"))/10000</f>
        <v>0</v>
      </c>
      <c r="N153" s="29">
        <f>(SUMIFS(终端客户销售统计表!$K:$K,终端客户销售统计表!$L:$L,$B153,终端客户销售统计表!$H:$H,$D153,终端客户销售统计表!$G:$G,"7月")+SUMIFS(终端客户销售统计表!$K:$K,终端客户销售统计表!$L:$L,$B153,终端客户销售统计表!$H:$H,$D153,终端客户销售统计表!$G:$G,"8月")+SUMIFS(终端客户销售统计表!$K:$K,终端客户销售统计表!$L:$L,$B153,终端客户销售统计表!$H:$H,$D153,终端客户销售统计表!$G:$G,"9月"))/10000</f>
        <v>0</v>
      </c>
      <c r="O153" s="29">
        <f>(SUMIFS(终端客户销售统计表!$K:$K,终端客户销售统计表!$L:$L,$B153,终端客户销售统计表!$H:$H,$D153,终端客户销售统计表!$G:$G,"10月")+SUMIFS(终端客户销售统计表!$K:$K,终端客户销售统计表!$L:$L,$B153,终端客户销售统计表!$H:$H,$D153,终端客户销售统计表!$G:$G,"11月")+SUMIFS(终端客户销售统计表!$K:$K,终端客户销售统计表!$L:$L,$B153,终端客户销售统计表!$H:$H,$D153,终端客户销售统计表!$G:$G,"12月"))/10000</f>
        <v>0</v>
      </c>
      <c r="P153" s="29">
        <f>SUM(L153:O153)</f>
        <v>0</v>
      </c>
      <c r="Q153" s="44" t="str">
        <f t="shared" si="20"/>
        <v/>
      </c>
      <c r="R153" s="29">
        <f>(SUMIFS('代理商-进货明细表'!$I:$I,'代理商-进货明细表'!$B:$B,'代理商-产品进销存'!$B153,'代理商-进货明细表'!$F:$F,'代理商-产品进销存'!$D153,'代理商-进货明细表'!$E:$E,"1月")+SUMIFS('代理商-进货明细表'!$I:$I,'代理商-进货明细表'!$B:$B,'代理商-产品进销存'!$B153,'代理商-进货明细表'!$F:$F,'代理商-产品进销存'!$D153,'代理商-进货明细表'!$E:$E,"2月")+SUMIFS('代理商-进货明细表'!$I:$I,'代理商-进货明细表'!$B:$B,'代理商-产品进销存'!$B153,'代理商-进货明细表'!$F:$F,'代理商-产品进销存'!$D153,'代理商-进货明细表'!$E:$E,"3月"))/10000</f>
        <v>0</v>
      </c>
      <c r="S153" s="29">
        <f>(SUMIFS('代理商-进货明细表'!$I:$I,'代理商-进货明细表'!$B:$B,'代理商-产品进销存'!$B153,'代理商-进货明细表'!$F:$F,'代理商-产品进销存'!$D153,'代理商-进货明细表'!$E:$E,"4月")+SUMIFS('代理商-进货明细表'!$I:$I,'代理商-进货明细表'!$B:$B,'代理商-产品进销存'!$B153,'代理商-进货明细表'!$F:$F,'代理商-产品进销存'!$D153,'代理商-进货明细表'!$E:$E,"5月")+SUMIFS('代理商-进货明细表'!$I:$I,'代理商-进货明细表'!$B:$B,'代理商-产品进销存'!$B153,'代理商-进货明细表'!$F:$F,'代理商-产品进销存'!$D153,'代理商-进货明细表'!$E:$E,"6月"))/10000</f>
        <v>0</v>
      </c>
      <c r="T153" s="29">
        <f>(SUMIFS('代理商-进货明细表'!$I:$I,'代理商-进货明细表'!$B:$B,'代理商-产品进销存'!$B153,'代理商-进货明细表'!$F:$F,'代理商-产品进销存'!$D153,'代理商-进货明细表'!$E:$E,"7月")+SUMIFS('代理商-进货明细表'!$I:$I,'代理商-进货明细表'!$B:$B,'代理商-产品进销存'!$B153,'代理商-进货明细表'!$F:$F,'代理商-产品进销存'!$D153,'代理商-进货明细表'!$E:$E,"8月")+SUMIFS('代理商-进货明细表'!$I:$I,'代理商-进货明细表'!$B:$B,'代理商-产品进销存'!$B153,'代理商-进货明细表'!$F:$F,'代理商-产品进销存'!$D153,'代理商-进货明细表'!$E:$E,"9月"))/10000</f>
        <v>0</v>
      </c>
      <c r="U153" s="29">
        <f>(SUMIFS('代理商-进货明细表'!$I:$I,'代理商-进货明细表'!$B:$B,'代理商-产品进销存'!$B153,'代理商-进货明细表'!$F:$F,'代理商-产品进销存'!$D153,'代理商-进货明细表'!$E:$E,"10月")+SUMIFS('代理商-进货明细表'!$I:$I,'代理商-进货明细表'!$B:$B,'代理商-产品进销存'!$B153,'代理商-进货明细表'!$F:$F,'代理商-产品进销存'!$D153,'代理商-进货明细表'!$E:$E,"11月")+SUMIFS('代理商-进货明细表'!$I:$I,'代理商-进货明细表'!$B:$B,'代理商-产品进销存'!$B153,'代理商-进货明细表'!$F:$F,'代理商-产品进销存'!$D153,'代理商-进货明细表'!$E:$E,"12月"))/10000</f>
        <v>0</v>
      </c>
      <c r="V153" s="29">
        <f t="shared" si="21"/>
        <v>0</v>
      </c>
      <c r="W153" s="29">
        <f t="shared" si="22"/>
        <v>0</v>
      </c>
      <c r="X153" s="29">
        <f t="shared" si="23"/>
        <v>0</v>
      </c>
      <c r="Y153" s="29">
        <f t="shared" si="24"/>
        <v>0</v>
      </c>
      <c r="Z153" s="29">
        <f t="shared" si="25"/>
        <v>0</v>
      </c>
      <c r="AA153" s="29">
        <f t="shared" si="26"/>
        <v>0</v>
      </c>
    </row>
    <row r="154" spans="1:27" x14ac:dyDescent="0.3">
      <c r="A154" s="2" t="s">
        <v>198</v>
      </c>
      <c r="B154" s="2" t="s">
        <v>120</v>
      </c>
      <c r="D154" s="3" t="s">
        <v>17</v>
      </c>
      <c r="L154" s="29">
        <f>(SUMIFS(终端客户销售统计表!$K:$K,终端客户销售统计表!$L:$L,$B154,终端客户销售统计表!$H:$H,$D154,终端客户销售统计表!$G:$G,"1月")+SUMIFS(终端客户销售统计表!$K:$K,终端客户销售统计表!$L:$L,$B154,终端客户销售统计表!$H:$H,$D154,终端客户销售统计表!$G:$G,"2月")+SUMIFS(终端客户销售统计表!$K:$K,终端客户销售统计表!$L:$L,$B154,终端客户销售统计表!$H:$H,$D154,终端客户销售统计表!$G:$G,"3月"))/10000</f>
        <v>0</v>
      </c>
      <c r="M154" s="29">
        <f>(SUMIFS(终端客户销售统计表!$K:$K,终端客户销售统计表!$L:$L,$B154,终端客户销售统计表!$H:$H,$D154,终端客户销售统计表!$G:$G,"4月")+SUMIFS(终端客户销售统计表!$K:$K,终端客户销售统计表!$L:$L,$B154,终端客户销售统计表!$H:$H,$D154,终端客户销售统计表!$G:$G,"5月")+SUMIFS(终端客户销售统计表!$K:$K,终端客户销售统计表!$L:$L,$B154,终端客户销售统计表!$H:$H,$D154,终端客户销售统计表!$G:$G,"6月"))/10000</f>
        <v>0</v>
      </c>
      <c r="N154" s="29">
        <f>(SUMIFS(终端客户销售统计表!$K:$K,终端客户销售统计表!$L:$L,$B154,终端客户销售统计表!$H:$H,$D154,终端客户销售统计表!$G:$G,"7月")+SUMIFS(终端客户销售统计表!$K:$K,终端客户销售统计表!$L:$L,$B154,终端客户销售统计表!$H:$H,$D154,终端客户销售统计表!$G:$G,"8月")+SUMIFS(终端客户销售统计表!$K:$K,终端客户销售统计表!$L:$L,$B154,终端客户销售统计表!$H:$H,$D154,终端客户销售统计表!$G:$G,"9月"))/10000</f>
        <v>0</v>
      </c>
      <c r="O154" s="29">
        <f>(SUMIFS(终端客户销售统计表!$K:$K,终端客户销售统计表!$L:$L,$B154,终端客户销售统计表!$H:$H,$D154,终端客户销售统计表!$G:$G,"10月")+SUMIFS(终端客户销售统计表!$K:$K,终端客户销售统计表!$L:$L,$B154,终端客户销售统计表!$H:$H,$D154,终端客户销售统计表!$G:$G,"11月")+SUMIFS(终端客户销售统计表!$K:$K,终端客户销售统计表!$L:$L,$B154,终端客户销售统计表!$H:$H,$D154,终端客户销售统计表!$G:$G,"12月"))/10000</f>
        <v>0</v>
      </c>
      <c r="P154" s="29">
        <f>SUM(L154:O154)</f>
        <v>0</v>
      </c>
      <c r="Q154" s="44" t="str">
        <f t="shared" si="20"/>
        <v/>
      </c>
      <c r="R154" s="29">
        <f>(SUMIFS('代理商-进货明细表'!$I:$I,'代理商-进货明细表'!$B:$B,'代理商-产品进销存'!$B154,'代理商-进货明细表'!$F:$F,'代理商-产品进销存'!$D154,'代理商-进货明细表'!$E:$E,"1月")+SUMIFS('代理商-进货明细表'!$I:$I,'代理商-进货明细表'!$B:$B,'代理商-产品进销存'!$B154,'代理商-进货明细表'!$F:$F,'代理商-产品进销存'!$D154,'代理商-进货明细表'!$E:$E,"2月")+SUMIFS('代理商-进货明细表'!$I:$I,'代理商-进货明细表'!$B:$B,'代理商-产品进销存'!$B154,'代理商-进货明细表'!$F:$F,'代理商-产品进销存'!$D154,'代理商-进货明细表'!$E:$E,"3月"))/10000</f>
        <v>0</v>
      </c>
      <c r="S154" s="29">
        <f>(SUMIFS('代理商-进货明细表'!$I:$I,'代理商-进货明细表'!$B:$B,'代理商-产品进销存'!$B154,'代理商-进货明细表'!$F:$F,'代理商-产品进销存'!$D154,'代理商-进货明细表'!$E:$E,"4月")+SUMIFS('代理商-进货明细表'!$I:$I,'代理商-进货明细表'!$B:$B,'代理商-产品进销存'!$B154,'代理商-进货明细表'!$F:$F,'代理商-产品进销存'!$D154,'代理商-进货明细表'!$E:$E,"5月")+SUMIFS('代理商-进货明细表'!$I:$I,'代理商-进货明细表'!$B:$B,'代理商-产品进销存'!$B154,'代理商-进货明细表'!$F:$F,'代理商-产品进销存'!$D154,'代理商-进货明细表'!$E:$E,"6月"))/10000</f>
        <v>0</v>
      </c>
      <c r="T154" s="29">
        <f>(SUMIFS('代理商-进货明细表'!$I:$I,'代理商-进货明细表'!$B:$B,'代理商-产品进销存'!$B154,'代理商-进货明细表'!$F:$F,'代理商-产品进销存'!$D154,'代理商-进货明细表'!$E:$E,"7月")+SUMIFS('代理商-进货明细表'!$I:$I,'代理商-进货明细表'!$B:$B,'代理商-产品进销存'!$B154,'代理商-进货明细表'!$F:$F,'代理商-产品进销存'!$D154,'代理商-进货明细表'!$E:$E,"8月")+SUMIFS('代理商-进货明细表'!$I:$I,'代理商-进货明细表'!$B:$B,'代理商-产品进销存'!$B154,'代理商-进货明细表'!$F:$F,'代理商-产品进销存'!$D154,'代理商-进货明细表'!$E:$E,"9月"))/10000</f>
        <v>0</v>
      </c>
      <c r="U154" s="29">
        <f>(SUMIFS('代理商-进货明细表'!$I:$I,'代理商-进货明细表'!$B:$B,'代理商-产品进销存'!$B154,'代理商-进货明细表'!$F:$F,'代理商-产品进销存'!$D154,'代理商-进货明细表'!$E:$E,"10月")+SUMIFS('代理商-进货明细表'!$I:$I,'代理商-进货明细表'!$B:$B,'代理商-产品进销存'!$B154,'代理商-进货明细表'!$F:$F,'代理商-产品进销存'!$D154,'代理商-进货明细表'!$E:$E,"11月")+SUMIFS('代理商-进货明细表'!$I:$I,'代理商-进货明细表'!$B:$B,'代理商-产品进销存'!$B154,'代理商-进货明细表'!$F:$F,'代理商-产品进销存'!$D154,'代理商-进货明细表'!$E:$E,"12月"))/10000</f>
        <v>0</v>
      </c>
      <c r="V154" s="29">
        <f t="shared" si="21"/>
        <v>0</v>
      </c>
      <c r="W154" s="29">
        <f t="shared" si="22"/>
        <v>0</v>
      </c>
      <c r="X154" s="29">
        <f t="shared" si="23"/>
        <v>0</v>
      </c>
      <c r="Y154" s="29">
        <f t="shared" si="24"/>
        <v>0</v>
      </c>
      <c r="Z154" s="29">
        <f t="shared" si="25"/>
        <v>0</v>
      </c>
      <c r="AA154" s="29">
        <f t="shared" si="26"/>
        <v>0</v>
      </c>
    </row>
    <row r="155" spans="1:27" x14ac:dyDescent="0.3">
      <c r="A155" s="2" t="s">
        <v>199</v>
      </c>
      <c r="B155" s="2" t="s">
        <v>121</v>
      </c>
      <c r="D155" s="3" t="s">
        <v>14</v>
      </c>
      <c r="L155" s="29">
        <f>(SUMIFS(终端客户销售统计表!$K:$K,终端客户销售统计表!$L:$L,$B155,终端客户销售统计表!$H:$H,$D155,终端客户销售统计表!$G:$G,"1月")+SUMIFS(终端客户销售统计表!$K:$K,终端客户销售统计表!$L:$L,$B155,终端客户销售统计表!$H:$H,$D155,终端客户销售统计表!$G:$G,"2月")+SUMIFS(终端客户销售统计表!$K:$K,终端客户销售统计表!$L:$L,$B155,终端客户销售统计表!$H:$H,$D155,终端客户销售统计表!$G:$G,"3月"))/10000</f>
        <v>0</v>
      </c>
      <c r="M155" s="29">
        <f>(SUMIFS(终端客户销售统计表!$K:$K,终端客户销售统计表!$L:$L,$B155,终端客户销售统计表!$H:$H,$D155,终端客户销售统计表!$G:$G,"4月")+SUMIFS(终端客户销售统计表!$K:$K,终端客户销售统计表!$L:$L,$B155,终端客户销售统计表!$H:$H,$D155,终端客户销售统计表!$G:$G,"5月")+SUMIFS(终端客户销售统计表!$K:$K,终端客户销售统计表!$L:$L,$B155,终端客户销售统计表!$H:$H,$D155,终端客户销售统计表!$G:$G,"6月"))/10000</f>
        <v>0</v>
      </c>
      <c r="N155" s="29">
        <f>(SUMIFS(终端客户销售统计表!$K:$K,终端客户销售统计表!$L:$L,$B155,终端客户销售统计表!$H:$H,$D155,终端客户销售统计表!$G:$G,"7月")+SUMIFS(终端客户销售统计表!$K:$K,终端客户销售统计表!$L:$L,$B155,终端客户销售统计表!$H:$H,$D155,终端客户销售统计表!$G:$G,"8月")+SUMIFS(终端客户销售统计表!$K:$K,终端客户销售统计表!$L:$L,$B155,终端客户销售统计表!$H:$H,$D155,终端客户销售统计表!$G:$G,"9月"))/10000</f>
        <v>0</v>
      </c>
      <c r="O155" s="29">
        <f>(SUMIFS(终端客户销售统计表!$K:$K,终端客户销售统计表!$L:$L,$B155,终端客户销售统计表!$H:$H,$D155,终端客户销售统计表!$G:$G,"10月")+SUMIFS(终端客户销售统计表!$K:$K,终端客户销售统计表!$L:$L,$B155,终端客户销售统计表!$H:$H,$D155,终端客户销售统计表!$G:$G,"11月")+SUMIFS(终端客户销售统计表!$K:$K,终端客户销售统计表!$L:$L,$B155,终端客户销售统计表!$H:$H,$D155,终端客户销售统计表!$G:$G,"12月"))/10000</f>
        <v>0</v>
      </c>
      <c r="P155" s="29">
        <f>SUM(L155:O155)</f>
        <v>0</v>
      </c>
      <c r="Q155" s="44" t="str">
        <f t="shared" si="20"/>
        <v/>
      </c>
      <c r="R155" s="29">
        <f>(SUMIFS('代理商-进货明细表'!$I:$I,'代理商-进货明细表'!$B:$B,'代理商-产品进销存'!$B155,'代理商-进货明细表'!$F:$F,'代理商-产品进销存'!$D155,'代理商-进货明细表'!$E:$E,"1月")+SUMIFS('代理商-进货明细表'!$I:$I,'代理商-进货明细表'!$B:$B,'代理商-产品进销存'!$B155,'代理商-进货明细表'!$F:$F,'代理商-产品进销存'!$D155,'代理商-进货明细表'!$E:$E,"2月")+SUMIFS('代理商-进货明细表'!$I:$I,'代理商-进货明细表'!$B:$B,'代理商-产品进销存'!$B155,'代理商-进货明细表'!$F:$F,'代理商-产品进销存'!$D155,'代理商-进货明细表'!$E:$E,"3月"))/10000</f>
        <v>0</v>
      </c>
      <c r="S155" s="29">
        <f>(SUMIFS('代理商-进货明细表'!$I:$I,'代理商-进货明细表'!$B:$B,'代理商-产品进销存'!$B155,'代理商-进货明细表'!$F:$F,'代理商-产品进销存'!$D155,'代理商-进货明细表'!$E:$E,"4月")+SUMIFS('代理商-进货明细表'!$I:$I,'代理商-进货明细表'!$B:$B,'代理商-产品进销存'!$B155,'代理商-进货明细表'!$F:$F,'代理商-产品进销存'!$D155,'代理商-进货明细表'!$E:$E,"5月")+SUMIFS('代理商-进货明细表'!$I:$I,'代理商-进货明细表'!$B:$B,'代理商-产品进销存'!$B155,'代理商-进货明细表'!$F:$F,'代理商-产品进销存'!$D155,'代理商-进货明细表'!$E:$E,"6月"))/10000</f>
        <v>0</v>
      </c>
      <c r="T155" s="29">
        <f>(SUMIFS('代理商-进货明细表'!$I:$I,'代理商-进货明细表'!$B:$B,'代理商-产品进销存'!$B155,'代理商-进货明细表'!$F:$F,'代理商-产品进销存'!$D155,'代理商-进货明细表'!$E:$E,"7月")+SUMIFS('代理商-进货明细表'!$I:$I,'代理商-进货明细表'!$B:$B,'代理商-产品进销存'!$B155,'代理商-进货明细表'!$F:$F,'代理商-产品进销存'!$D155,'代理商-进货明细表'!$E:$E,"8月")+SUMIFS('代理商-进货明细表'!$I:$I,'代理商-进货明细表'!$B:$B,'代理商-产品进销存'!$B155,'代理商-进货明细表'!$F:$F,'代理商-产品进销存'!$D155,'代理商-进货明细表'!$E:$E,"9月"))/10000</f>
        <v>0</v>
      </c>
      <c r="U155" s="29">
        <f>(SUMIFS('代理商-进货明细表'!$I:$I,'代理商-进货明细表'!$B:$B,'代理商-产品进销存'!$B155,'代理商-进货明细表'!$F:$F,'代理商-产品进销存'!$D155,'代理商-进货明细表'!$E:$E,"10月")+SUMIFS('代理商-进货明细表'!$I:$I,'代理商-进货明细表'!$B:$B,'代理商-产品进销存'!$B155,'代理商-进货明细表'!$F:$F,'代理商-产品进销存'!$D155,'代理商-进货明细表'!$E:$E,"11月")+SUMIFS('代理商-进货明细表'!$I:$I,'代理商-进货明细表'!$B:$B,'代理商-产品进销存'!$B155,'代理商-进货明细表'!$F:$F,'代理商-产品进销存'!$D155,'代理商-进货明细表'!$E:$E,"12月"))/10000</f>
        <v>0</v>
      </c>
      <c r="V155" s="29">
        <f t="shared" si="21"/>
        <v>0</v>
      </c>
      <c r="W155" s="29">
        <f t="shared" si="22"/>
        <v>0</v>
      </c>
      <c r="X155" s="29">
        <f t="shared" si="23"/>
        <v>0</v>
      </c>
      <c r="Y155" s="29">
        <f t="shared" si="24"/>
        <v>0</v>
      </c>
      <c r="Z155" s="29">
        <f t="shared" si="25"/>
        <v>0</v>
      </c>
      <c r="AA155" s="29">
        <f t="shared" si="26"/>
        <v>0</v>
      </c>
    </row>
    <row r="156" spans="1:27" x14ac:dyDescent="0.3">
      <c r="A156" s="2" t="s">
        <v>199</v>
      </c>
      <c r="B156" s="2" t="s">
        <v>121</v>
      </c>
      <c r="D156" s="3" t="s">
        <v>15</v>
      </c>
      <c r="L156" s="29">
        <f>(SUMIFS(终端客户销售统计表!$K:$K,终端客户销售统计表!$L:$L,$B156,终端客户销售统计表!$H:$H,$D156,终端客户销售统计表!$G:$G,"1月")+SUMIFS(终端客户销售统计表!$K:$K,终端客户销售统计表!$L:$L,$B156,终端客户销售统计表!$H:$H,$D156,终端客户销售统计表!$G:$G,"2月")+SUMIFS(终端客户销售统计表!$K:$K,终端客户销售统计表!$L:$L,$B156,终端客户销售统计表!$H:$H,$D156,终端客户销售统计表!$G:$G,"3月"))/10000</f>
        <v>0</v>
      </c>
      <c r="M156" s="29">
        <f>(SUMIFS(终端客户销售统计表!$K:$K,终端客户销售统计表!$L:$L,$B156,终端客户销售统计表!$H:$H,$D156,终端客户销售统计表!$G:$G,"4月")+SUMIFS(终端客户销售统计表!$K:$K,终端客户销售统计表!$L:$L,$B156,终端客户销售统计表!$H:$H,$D156,终端客户销售统计表!$G:$G,"5月")+SUMIFS(终端客户销售统计表!$K:$K,终端客户销售统计表!$L:$L,$B156,终端客户销售统计表!$H:$H,$D156,终端客户销售统计表!$G:$G,"6月"))/10000</f>
        <v>0</v>
      </c>
      <c r="N156" s="29">
        <f>(SUMIFS(终端客户销售统计表!$K:$K,终端客户销售统计表!$L:$L,$B156,终端客户销售统计表!$H:$H,$D156,终端客户销售统计表!$G:$G,"7月")+SUMIFS(终端客户销售统计表!$K:$K,终端客户销售统计表!$L:$L,$B156,终端客户销售统计表!$H:$H,$D156,终端客户销售统计表!$G:$G,"8月")+SUMIFS(终端客户销售统计表!$K:$K,终端客户销售统计表!$L:$L,$B156,终端客户销售统计表!$H:$H,$D156,终端客户销售统计表!$G:$G,"9月"))/10000</f>
        <v>0</v>
      </c>
      <c r="O156" s="29">
        <f>(SUMIFS(终端客户销售统计表!$K:$K,终端客户销售统计表!$L:$L,$B156,终端客户销售统计表!$H:$H,$D156,终端客户销售统计表!$G:$G,"10月")+SUMIFS(终端客户销售统计表!$K:$K,终端客户销售统计表!$L:$L,$B156,终端客户销售统计表!$H:$H,$D156,终端客户销售统计表!$G:$G,"11月")+SUMIFS(终端客户销售统计表!$K:$K,终端客户销售统计表!$L:$L,$B156,终端客户销售统计表!$H:$H,$D156,终端客户销售统计表!$G:$G,"12月"))/10000</f>
        <v>0</v>
      </c>
      <c r="P156" s="29">
        <f>SUM(L156:O156)</f>
        <v>0</v>
      </c>
      <c r="Q156" s="44" t="str">
        <f t="shared" si="20"/>
        <v/>
      </c>
      <c r="R156" s="29">
        <f>(SUMIFS('代理商-进货明细表'!$I:$I,'代理商-进货明细表'!$B:$B,'代理商-产品进销存'!$B156,'代理商-进货明细表'!$F:$F,'代理商-产品进销存'!$D156,'代理商-进货明细表'!$E:$E,"1月")+SUMIFS('代理商-进货明细表'!$I:$I,'代理商-进货明细表'!$B:$B,'代理商-产品进销存'!$B156,'代理商-进货明细表'!$F:$F,'代理商-产品进销存'!$D156,'代理商-进货明细表'!$E:$E,"2月")+SUMIFS('代理商-进货明细表'!$I:$I,'代理商-进货明细表'!$B:$B,'代理商-产品进销存'!$B156,'代理商-进货明细表'!$F:$F,'代理商-产品进销存'!$D156,'代理商-进货明细表'!$E:$E,"3月"))/10000</f>
        <v>0</v>
      </c>
      <c r="S156" s="29">
        <f>(SUMIFS('代理商-进货明细表'!$I:$I,'代理商-进货明细表'!$B:$B,'代理商-产品进销存'!$B156,'代理商-进货明细表'!$F:$F,'代理商-产品进销存'!$D156,'代理商-进货明细表'!$E:$E,"4月")+SUMIFS('代理商-进货明细表'!$I:$I,'代理商-进货明细表'!$B:$B,'代理商-产品进销存'!$B156,'代理商-进货明细表'!$F:$F,'代理商-产品进销存'!$D156,'代理商-进货明细表'!$E:$E,"5月")+SUMIFS('代理商-进货明细表'!$I:$I,'代理商-进货明细表'!$B:$B,'代理商-产品进销存'!$B156,'代理商-进货明细表'!$F:$F,'代理商-产品进销存'!$D156,'代理商-进货明细表'!$E:$E,"6月"))/10000</f>
        <v>0</v>
      </c>
      <c r="T156" s="29">
        <f>(SUMIFS('代理商-进货明细表'!$I:$I,'代理商-进货明细表'!$B:$B,'代理商-产品进销存'!$B156,'代理商-进货明细表'!$F:$F,'代理商-产品进销存'!$D156,'代理商-进货明细表'!$E:$E,"7月")+SUMIFS('代理商-进货明细表'!$I:$I,'代理商-进货明细表'!$B:$B,'代理商-产品进销存'!$B156,'代理商-进货明细表'!$F:$F,'代理商-产品进销存'!$D156,'代理商-进货明细表'!$E:$E,"8月")+SUMIFS('代理商-进货明细表'!$I:$I,'代理商-进货明细表'!$B:$B,'代理商-产品进销存'!$B156,'代理商-进货明细表'!$F:$F,'代理商-产品进销存'!$D156,'代理商-进货明细表'!$E:$E,"9月"))/10000</f>
        <v>0</v>
      </c>
      <c r="U156" s="29">
        <f>(SUMIFS('代理商-进货明细表'!$I:$I,'代理商-进货明细表'!$B:$B,'代理商-产品进销存'!$B156,'代理商-进货明细表'!$F:$F,'代理商-产品进销存'!$D156,'代理商-进货明细表'!$E:$E,"10月")+SUMIFS('代理商-进货明细表'!$I:$I,'代理商-进货明细表'!$B:$B,'代理商-产品进销存'!$B156,'代理商-进货明细表'!$F:$F,'代理商-产品进销存'!$D156,'代理商-进货明细表'!$E:$E,"11月")+SUMIFS('代理商-进货明细表'!$I:$I,'代理商-进货明细表'!$B:$B,'代理商-产品进销存'!$B156,'代理商-进货明细表'!$F:$F,'代理商-产品进销存'!$D156,'代理商-进货明细表'!$E:$E,"12月"))/10000</f>
        <v>0</v>
      </c>
      <c r="V156" s="29">
        <f t="shared" si="21"/>
        <v>0</v>
      </c>
      <c r="W156" s="29">
        <f t="shared" si="22"/>
        <v>0</v>
      </c>
      <c r="X156" s="29">
        <f t="shared" si="23"/>
        <v>0</v>
      </c>
      <c r="Y156" s="29">
        <f t="shared" si="24"/>
        <v>0</v>
      </c>
      <c r="Z156" s="29">
        <f t="shared" si="25"/>
        <v>0</v>
      </c>
      <c r="AA156" s="29">
        <f t="shared" si="26"/>
        <v>0</v>
      </c>
    </row>
    <row r="157" spans="1:27" x14ac:dyDescent="0.3">
      <c r="A157" s="2" t="s">
        <v>199</v>
      </c>
      <c r="B157" s="2" t="s">
        <v>121</v>
      </c>
      <c r="D157" s="3" t="s">
        <v>16</v>
      </c>
      <c r="L157" s="29">
        <f>(SUMIFS(终端客户销售统计表!$K:$K,终端客户销售统计表!$L:$L,$B157,终端客户销售统计表!$H:$H,$D157,终端客户销售统计表!$G:$G,"1月")+SUMIFS(终端客户销售统计表!$K:$K,终端客户销售统计表!$L:$L,$B157,终端客户销售统计表!$H:$H,$D157,终端客户销售统计表!$G:$G,"2月")+SUMIFS(终端客户销售统计表!$K:$K,终端客户销售统计表!$L:$L,$B157,终端客户销售统计表!$H:$H,$D157,终端客户销售统计表!$G:$G,"3月"))/10000</f>
        <v>0</v>
      </c>
      <c r="M157" s="29">
        <f>(SUMIFS(终端客户销售统计表!$K:$K,终端客户销售统计表!$L:$L,$B157,终端客户销售统计表!$H:$H,$D157,终端客户销售统计表!$G:$G,"4月")+SUMIFS(终端客户销售统计表!$K:$K,终端客户销售统计表!$L:$L,$B157,终端客户销售统计表!$H:$H,$D157,终端客户销售统计表!$G:$G,"5月")+SUMIFS(终端客户销售统计表!$K:$K,终端客户销售统计表!$L:$L,$B157,终端客户销售统计表!$H:$H,$D157,终端客户销售统计表!$G:$G,"6月"))/10000</f>
        <v>0</v>
      </c>
      <c r="N157" s="29">
        <f>(SUMIFS(终端客户销售统计表!$K:$K,终端客户销售统计表!$L:$L,$B157,终端客户销售统计表!$H:$H,$D157,终端客户销售统计表!$G:$G,"7月")+SUMIFS(终端客户销售统计表!$K:$K,终端客户销售统计表!$L:$L,$B157,终端客户销售统计表!$H:$H,$D157,终端客户销售统计表!$G:$G,"8月")+SUMIFS(终端客户销售统计表!$K:$K,终端客户销售统计表!$L:$L,$B157,终端客户销售统计表!$H:$H,$D157,终端客户销售统计表!$G:$G,"9月"))/10000</f>
        <v>0</v>
      </c>
      <c r="O157" s="29">
        <f>(SUMIFS(终端客户销售统计表!$K:$K,终端客户销售统计表!$L:$L,$B157,终端客户销售统计表!$H:$H,$D157,终端客户销售统计表!$G:$G,"10月")+SUMIFS(终端客户销售统计表!$K:$K,终端客户销售统计表!$L:$L,$B157,终端客户销售统计表!$H:$H,$D157,终端客户销售统计表!$G:$G,"11月")+SUMIFS(终端客户销售统计表!$K:$K,终端客户销售统计表!$L:$L,$B157,终端客户销售统计表!$H:$H,$D157,终端客户销售统计表!$G:$G,"12月"))/10000</f>
        <v>0</v>
      </c>
      <c r="P157" s="29">
        <f>SUM(L157:O157)</f>
        <v>0</v>
      </c>
      <c r="Q157" s="44" t="str">
        <f t="shared" si="20"/>
        <v/>
      </c>
      <c r="R157" s="29">
        <f>(SUMIFS('代理商-进货明细表'!$I:$I,'代理商-进货明细表'!$B:$B,'代理商-产品进销存'!$B157,'代理商-进货明细表'!$F:$F,'代理商-产品进销存'!$D157,'代理商-进货明细表'!$E:$E,"1月")+SUMIFS('代理商-进货明细表'!$I:$I,'代理商-进货明细表'!$B:$B,'代理商-产品进销存'!$B157,'代理商-进货明细表'!$F:$F,'代理商-产品进销存'!$D157,'代理商-进货明细表'!$E:$E,"2月")+SUMIFS('代理商-进货明细表'!$I:$I,'代理商-进货明细表'!$B:$B,'代理商-产品进销存'!$B157,'代理商-进货明细表'!$F:$F,'代理商-产品进销存'!$D157,'代理商-进货明细表'!$E:$E,"3月"))/10000</f>
        <v>0</v>
      </c>
      <c r="S157" s="29">
        <f>(SUMIFS('代理商-进货明细表'!$I:$I,'代理商-进货明细表'!$B:$B,'代理商-产品进销存'!$B157,'代理商-进货明细表'!$F:$F,'代理商-产品进销存'!$D157,'代理商-进货明细表'!$E:$E,"4月")+SUMIFS('代理商-进货明细表'!$I:$I,'代理商-进货明细表'!$B:$B,'代理商-产品进销存'!$B157,'代理商-进货明细表'!$F:$F,'代理商-产品进销存'!$D157,'代理商-进货明细表'!$E:$E,"5月")+SUMIFS('代理商-进货明细表'!$I:$I,'代理商-进货明细表'!$B:$B,'代理商-产品进销存'!$B157,'代理商-进货明细表'!$F:$F,'代理商-产品进销存'!$D157,'代理商-进货明细表'!$E:$E,"6月"))/10000</f>
        <v>0</v>
      </c>
      <c r="T157" s="29">
        <f>(SUMIFS('代理商-进货明细表'!$I:$I,'代理商-进货明细表'!$B:$B,'代理商-产品进销存'!$B157,'代理商-进货明细表'!$F:$F,'代理商-产品进销存'!$D157,'代理商-进货明细表'!$E:$E,"7月")+SUMIFS('代理商-进货明细表'!$I:$I,'代理商-进货明细表'!$B:$B,'代理商-产品进销存'!$B157,'代理商-进货明细表'!$F:$F,'代理商-产品进销存'!$D157,'代理商-进货明细表'!$E:$E,"8月")+SUMIFS('代理商-进货明细表'!$I:$I,'代理商-进货明细表'!$B:$B,'代理商-产品进销存'!$B157,'代理商-进货明细表'!$F:$F,'代理商-产品进销存'!$D157,'代理商-进货明细表'!$E:$E,"9月"))/10000</f>
        <v>0</v>
      </c>
      <c r="U157" s="29">
        <f>(SUMIFS('代理商-进货明细表'!$I:$I,'代理商-进货明细表'!$B:$B,'代理商-产品进销存'!$B157,'代理商-进货明细表'!$F:$F,'代理商-产品进销存'!$D157,'代理商-进货明细表'!$E:$E,"10月")+SUMIFS('代理商-进货明细表'!$I:$I,'代理商-进货明细表'!$B:$B,'代理商-产品进销存'!$B157,'代理商-进货明细表'!$F:$F,'代理商-产品进销存'!$D157,'代理商-进货明细表'!$E:$E,"11月")+SUMIFS('代理商-进货明细表'!$I:$I,'代理商-进货明细表'!$B:$B,'代理商-产品进销存'!$B157,'代理商-进货明细表'!$F:$F,'代理商-产品进销存'!$D157,'代理商-进货明细表'!$E:$E,"12月"))/10000</f>
        <v>0</v>
      </c>
      <c r="V157" s="29">
        <f t="shared" si="21"/>
        <v>0</v>
      </c>
      <c r="W157" s="29">
        <f t="shared" si="22"/>
        <v>0</v>
      </c>
      <c r="X157" s="29">
        <f t="shared" si="23"/>
        <v>0</v>
      </c>
      <c r="Y157" s="29">
        <f t="shared" si="24"/>
        <v>0</v>
      </c>
      <c r="Z157" s="29">
        <f t="shared" si="25"/>
        <v>0</v>
      </c>
      <c r="AA157" s="29">
        <f t="shared" si="26"/>
        <v>0</v>
      </c>
    </row>
    <row r="158" spans="1:27" x14ac:dyDescent="0.3">
      <c r="A158" s="2" t="s">
        <v>199</v>
      </c>
      <c r="B158" s="2" t="s">
        <v>121</v>
      </c>
      <c r="D158" s="3" t="s">
        <v>17</v>
      </c>
      <c r="L158" s="29">
        <f>(SUMIFS(终端客户销售统计表!$K:$K,终端客户销售统计表!$L:$L,$B158,终端客户销售统计表!$H:$H,$D158,终端客户销售统计表!$G:$G,"1月")+SUMIFS(终端客户销售统计表!$K:$K,终端客户销售统计表!$L:$L,$B158,终端客户销售统计表!$H:$H,$D158,终端客户销售统计表!$G:$G,"2月")+SUMIFS(终端客户销售统计表!$K:$K,终端客户销售统计表!$L:$L,$B158,终端客户销售统计表!$H:$H,$D158,终端客户销售统计表!$G:$G,"3月"))/10000</f>
        <v>0</v>
      </c>
      <c r="M158" s="29">
        <f>(SUMIFS(终端客户销售统计表!$K:$K,终端客户销售统计表!$L:$L,$B158,终端客户销售统计表!$H:$H,$D158,终端客户销售统计表!$G:$G,"4月")+SUMIFS(终端客户销售统计表!$K:$K,终端客户销售统计表!$L:$L,$B158,终端客户销售统计表!$H:$H,$D158,终端客户销售统计表!$G:$G,"5月")+SUMIFS(终端客户销售统计表!$K:$K,终端客户销售统计表!$L:$L,$B158,终端客户销售统计表!$H:$H,$D158,终端客户销售统计表!$G:$G,"6月"))/10000</f>
        <v>0</v>
      </c>
      <c r="N158" s="29">
        <f>(SUMIFS(终端客户销售统计表!$K:$K,终端客户销售统计表!$L:$L,$B158,终端客户销售统计表!$H:$H,$D158,终端客户销售统计表!$G:$G,"7月")+SUMIFS(终端客户销售统计表!$K:$K,终端客户销售统计表!$L:$L,$B158,终端客户销售统计表!$H:$H,$D158,终端客户销售统计表!$G:$G,"8月")+SUMIFS(终端客户销售统计表!$K:$K,终端客户销售统计表!$L:$L,$B158,终端客户销售统计表!$H:$H,$D158,终端客户销售统计表!$G:$G,"9月"))/10000</f>
        <v>0</v>
      </c>
      <c r="O158" s="29">
        <f>(SUMIFS(终端客户销售统计表!$K:$K,终端客户销售统计表!$L:$L,$B158,终端客户销售统计表!$H:$H,$D158,终端客户销售统计表!$G:$G,"10月")+SUMIFS(终端客户销售统计表!$K:$K,终端客户销售统计表!$L:$L,$B158,终端客户销售统计表!$H:$H,$D158,终端客户销售统计表!$G:$G,"11月")+SUMIFS(终端客户销售统计表!$K:$K,终端客户销售统计表!$L:$L,$B158,终端客户销售统计表!$H:$H,$D158,终端客户销售统计表!$G:$G,"12月"))/10000</f>
        <v>0</v>
      </c>
      <c r="P158" s="29">
        <f>SUM(L158:O158)</f>
        <v>0</v>
      </c>
      <c r="Q158" s="44" t="str">
        <f t="shared" si="20"/>
        <v/>
      </c>
      <c r="R158" s="29">
        <f>(SUMIFS('代理商-进货明细表'!$I:$I,'代理商-进货明细表'!$B:$B,'代理商-产品进销存'!$B158,'代理商-进货明细表'!$F:$F,'代理商-产品进销存'!$D158,'代理商-进货明细表'!$E:$E,"1月")+SUMIFS('代理商-进货明细表'!$I:$I,'代理商-进货明细表'!$B:$B,'代理商-产品进销存'!$B158,'代理商-进货明细表'!$F:$F,'代理商-产品进销存'!$D158,'代理商-进货明细表'!$E:$E,"2月")+SUMIFS('代理商-进货明细表'!$I:$I,'代理商-进货明细表'!$B:$B,'代理商-产品进销存'!$B158,'代理商-进货明细表'!$F:$F,'代理商-产品进销存'!$D158,'代理商-进货明细表'!$E:$E,"3月"))/10000</f>
        <v>0</v>
      </c>
      <c r="S158" s="29">
        <f>(SUMIFS('代理商-进货明细表'!$I:$I,'代理商-进货明细表'!$B:$B,'代理商-产品进销存'!$B158,'代理商-进货明细表'!$F:$F,'代理商-产品进销存'!$D158,'代理商-进货明细表'!$E:$E,"4月")+SUMIFS('代理商-进货明细表'!$I:$I,'代理商-进货明细表'!$B:$B,'代理商-产品进销存'!$B158,'代理商-进货明细表'!$F:$F,'代理商-产品进销存'!$D158,'代理商-进货明细表'!$E:$E,"5月")+SUMIFS('代理商-进货明细表'!$I:$I,'代理商-进货明细表'!$B:$B,'代理商-产品进销存'!$B158,'代理商-进货明细表'!$F:$F,'代理商-产品进销存'!$D158,'代理商-进货明细表'!$E:$E,"6月"))/10000</f>
        <v>0</v>
      </c>
      <c r="T158" s="29">
        <f>(SUMIFS('代理商-进货明细表'!$I:$I,'代理商-进货明细表'!$B:$B,'代理商-产品进销存'!$B158,'代理商-进货明细表'!$F:$F,'代理商-产品进销存'!$D158,'代理商-进货明细表'!$E:$E,"7月")+SUMIFS('代理商-进货明细表'!$I:$I,'代理商-进货明细表'!$B:$B,'代理商-产品进销存'!$B158,'代理商-进货明细表'!$F:$F,'代理商-产品进销存'!$D158,'代理商-进货明细表'!$E:$E,"8月")+SUMIFS('代理商-进货明细表'!$I:$I,'代理商-进货明细表'!$B:$B,'代理商-产品进销存'!$B158,'代理商-进货明细表'!$F:$F,'代理商-产品进销存'!$D158,'代理商-进货明细表'!$E:$E,"9月"))/10000</f>
        <v>0</v>
      </c>
      <c r="U158" s="29">
        <f>(SUMIFS('代理商-进货明细表'!$I:$I,'代理商-进货明细表'!$B:$B,'代理商-产品进销存'!$B158,'代理商-进货明细表'!$F:$F,'代理商-产品进销存'!$D158,'代理商-进货明细表'!$E:$E,"10月")+SUMIFS('代理商-进货明细表'!$I:$I,'代理商-进货明细表'!$B:$B,'代理商-产品进销存'!$B158,'代理商-进货明细表'!$F:$F,'代理商-产品进销存'!$D158,'代理商-进货明细表'!$E:$E,"11月")+SUMIFS('代理商-进货明细表'!$I:$I,'代理商-进货明细表'!$B:$B,'代理商-产品进销存'!$B158,'代理商-进货明细表'!$F:$F,'代理商-产品进销存'!$D158,'代理商-进货明细表'!$E:$E,"12月"))/10000</f>
        <v>0</v>
      </c>
      <c r="V158" s="29">
        <f t="shared" si="21"/>
        <v>0</v>
      </c>
      <c r="W158" s="29">
        <f t="shared" si="22"/>
        <v>0</v>
      </c>
      <c r="X158" s="29">
        <f t="shared" si="23"/>
        <v>0</v>
      </c>
      <c r="Y158" s="29">
        <f t="shared" si="24"/>
        <v>0</v>
      </c>
      <c r="Z158" s="29">
        <f t="shared" si="25"/>
        <v>0</v>
      </c>
      <c r="AA158" s="29">
        <f t="shared" si="26"/>
        <v>0</v>
      </c>
    </row>
  </sheetData>
  <sortState xmlns:xlrd2="http://schemas.microsoft.com/office/spreadsheetml/2017/richdata2" ref="A3:AC158">
    <sortCondition ref="C3:C158"/>
  </sortState>
  <mergeCells count="1">
    <mergeCell ref="E1:K1"/>
  </mergeCells>
  <phoneticPr fontId="1" type="noConversion"/>
  <pageMargins left="0.7" right="0.7" top="0.75" bottom="0.75" header="0.3" footer="0.3"/>
  <ignoredErrors>
    <ignoredError sqref="J3 J4:J16 S3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97302-2826-4A98-BBF5-97E657473DDE}">
  <sheetPr codeName="Sheet6"/>
  <dimension ref="A1:I40"/>
  <sheetViews>
    <sheetView showGridLines="0" workbookViewId="0">
      <selection activeCell="H9" sqref="H9"/>
    </sheetView>
  </sheetViews>
  <sheetFormatPr defaultRowHeight="13.9" x14ac:dyDescent="0.3"/>
  <cols>
    <col min="1" max="1" width="12.796875" style="1" customWidth="1"/>
    <col min="2" max="2" width="35.86328125" style="1" customWidth="1"/>
    <col min="3" max="3" width="8.796875" style="1" customWidth="1"/>
    <col min="4" max="4" width="13" style="1" customWidth="1"/>
    <col min="5" max="5" width="13.33203125" style="1" customWidth="1"/>
    <col min="6" max="6" width="10.46484375" style="1" customWidth="1"/>
    <col min="7" max="7" width="6.265625" style="1" customWidth="1"/>
    <col min="8" max="8" width="6.3984375" style="1" bestFit="1" customWidth="1"/>
    <col min="9" max="9" width="8.53125" style="1" bestFit="1" customWidth="1"/>
    <col min="10" max="10" width="12.19921875" style="1" customWidth="1"/>
    <col min="11" max="16384" width="9.06640625" style="1"/>
  </cols>
  <sheetData>
    <row r="1" spans="1:9" ht="14.65" x14ac:dyDescent="0.3">
      <c r="A1" s="33" t="s">
        <v>28</v>
      </c>
      <c r="B1" s="33" t="s">
        <v>29</v>
      </c>
      <c r="C1" s="35" t="s">
        <v>27</v>
      </c>
      <c r="D1" s="33" t="s">
        <v>202</v>
      </c>
      <c r="E1" s="33" t="s">
        <v>203</v>
      </c>
      <c r="F1" s="35" t="s">
        <v>128</v>
      </c>
      <c r="G1" s="33" t="s">
        <v>129</v>
      </c>
      <c r="H1" s="34" t="s">
        <v>130</v>
      </c>
      <c r="I1" s="34" t="s">
        <v>131</v>
      </c>
    </row>
    <row r="2" spans="1:9" x14ac:dyDescent="0.3">
      <c r="A2" s="2" t="s">
        <v>32</v>
      </c>
      <c r="B2" s="2" t="s">
        <v>83</v>
      </c>
      <c r="C2" s="3"/>
      <c r="D2" s="21">
        <v>45787</v>
      </c>
      <c r="E2" s="26" t="str">
        <f>IF(D2="","",MONTH(D2)&amp;"月")</f>
        <v>5月</v>
      </c>
      <c r="F2" s="3" t="s">
        <v>14</v>
      </c>
      <c r="G2" s="3">
        <v>400</v>
      </c>
      <c r="H2" s="11">
        <v>10000</v>
      </c>
      <c r="I2" s="3">
        <f>G2*H2</f>
        <v>4000000</v>
      </c>
    </row>
    <row r="3" spans="1:9" x14ac:dyDescent="0.3">
      <c r="A3" s="2" t="s">
        <v>32</v>
      </c>
      <c r="B3" s="2" t="s">
        <v>83</v>
      </c>
      <c r="C3" s="3"/>
      <c r="D3" s="21">
        <v>45726</v>
      </c>
      <c r="E3" s="26" t="str">
        <f t="shared" ref="E3:E40" si="0">IF(D3="","",MONTH(D3)&amp;"月")</f>
        <v>3月</v>
      </c>
      <c r="F3" s="3" t="s">
        <v>15</v>
      </c>
      <c r="G3" s="3">
        <v>400</v>
      </c>
      <c r="H3" s="11">
        <v>10000</v>
      </c>
      <c r="I3" s="3">
        <f t="shared" ref="I3:I5" si="1">G3*H3</f>
        <v>4000000</v>
      </c>
    </row>
    <row r="4" spans="1:9" x14ac:dyDescent="0.3">
      <c r="A4" s="2" t="s">
        <v>32</v>
      </c>
      <c r="B4" s="2" t="s">
        <v>83</v>
      </c>
      <c r="C4" s="3"/>
      <c r="D4" s="21">
        <v>45848</v>
      </c>
      <c r="E4" s="26" t="str">
        <f t="shared" si="0"/>
        <v>7月</v>
      </c>
      <c r="F4" s="3" t="s">
        <v>16</v>
      </c>
      <c r="G4" s="3">
        <v>400</v>
      </c>
      <c r="H4" s="11">
        <v>10000</v>
      </c>
      <c r="I4" s="3">
        <f t="shared" si="1"/>
        <v>4000000</v>
      </c>
    </row>
    <row r="5" spans="1:9" x14ac:dyDescent="0.3">
      <c r="A5" s="2" t="s">
        <v>32</v>
      </c>
      <c r="B5" s="2" t="s">
        <v>83</v>
      </c>
      <c r="C5" s="3"/>
      <c r="D5" s="21">
        <v>45973</v>
      </c>
      <c r="E5" s="26" t="str">
        <f t="shared" si="0"/>
        <v>11月</v>
      </c>
      <c r="F5" s="3" t="s">
        <v>17</v>
      </c>
      <c r="G5" s="3">
        <v>400</v>
      </c>
      <c r="H5" s="11">
        <v>10000</v>
      </c>
      <c r="I5" s="3">
        <f t="shared" si="1"/>
        <v>4000000</v>
      </c>
    </row>
    <row r="6" spans="1:9" x14ac:dyDescent="0.3">
      <c r="A6" s="2"/>
      <c r="B6" s="2"/>
      <c r="C6" s="3"/>
      <c r="D6" s="3"/>
      <c r="E6" s="26" t="str">
        <f t="shared" si="0"/>
        <v/>
      </c>
      <c r="F6" s="3"/>
      <c r="G6" s="3"/>
      <c r="H6" s="3"/>
      <c r="I6" s="3"/>
    </row>
    <row r="7" spans="1:9" x14ac:dyDescent="0.3">
      <c r="A7" s="2"/>
      <c r="B7" s="2"/>
      <c r="C7" s="3"/>
      <c r="D7" s="3"/>
      <c r="E7" s="26" t="str">
        <f t="shared" si="0"/>
        <v/>
      </c>
      <c r="F7" s="3"/>
      <c r="G7" s="3"/>
      <c r="H7" s="3"/>
      <c r="I7" s="3"/>
    </row>
    <row r="8" spans="1:9" x14ac:dyDescent="0.3">
      <c r="A8" s="2"/>
      <c r="B8" s="2"/>
      <c r="C8" s="3"/>
      <c r="D8" s="3"/>
      <c r="E8" s="26" t="str">
        <f t="shared" si="0"/>
        <v/>
      </c>
      <c r="F8" s="3"/>
      <c r="G8" s="3"/>
      <c r="H8" s="3"/>
      <c r="I8" s="3"/>
    </row>
    <row r="9" spans="1:9" x14ac:dyDescent="0.3">
      <c r="A9" s="2"/>
      <c r="B9" s="2"/>
      <c r="C9" s="3"/>
      <c r="D9" s="3"/>
      <c r="E9" s="26" t="str">
        <f t="shared" si="0"/>
        <v/>
      </c>
      <c r="F9" s="3"/>
      <c r="G9" s="3"/>
      <c r="H9" s="3"/>
      <c r="I9" s="3"/>
    </row>
    <row r="10" spans="1:9" x14ac:dyDescent="0.3">
      <c r="A10" s="2"/>
      <c r="B10" s="2"/>
      <c r="C10" s="3"/>
      <c r="D10" s="3"/>
      <c r="E10" s="26" t="str">
        <f t="shared" si="0"/>
        <v/>
      </c>
      <c r="F10" s="3"/>
      <c r="G10" s="3"/>
      <c r="H10" s="3"/>
      <c r="I10" s="3"/>
    </row>
    <row r="11" spans="1:9" x14ac:dyDescent="0.3">
      <c r="A11" s="2"/>
      <c r="B11" s="2"/>
      <c r="C11" s="3"/>
      <c r="D11" s="3"/>
      <c r="E11" s="26" t="str">
        <f t="shared" si="0"/>
        <v/>
      </c>
      <c r="F11" s="3"/>
      <c r="G11" s="3"/>
      <c r="H11" s="3"/>
      <c r="I11" s="3"/>
    </row>
    <row r="12" spans="1:9" x14ac:dyDescent="0.3">
      <c r="A12" s="2"/>
      <c r="B12" s="2"/>
      <c r="C12" s="3"/>
      <c r="D12" s="3"/>
      <c r="E12" s="26" t="str">
        <f t="shared" si="0"/>
        <v/>
      </c>
      <c r="F12" s="3"/>
      <c r="G12" s="3"/>
      <c r="H12" s="3"/>
      <c r="I12" s="3"/>
    </row>
    <row r="13" spans="1:9" x14ac:dyDescent="0.3">
      <c r="A13" s="2"/>
      <c r="B13" s="2"/>
      <c r="C13" s="3"/>
      <c r="D13" s="3"/>
      <c r="E13" s="26" t="str">
        <f t="shared" si="0"/>
        <v/>
      </c>
      <c r="F13" s="3"/>
      <c r="G13" s="3"/>
      <c r="H13" s="3"/>
      <c r="I13" s="3"/>
    </row>
    <row r="14" spans="1:9" x14ac:dyDescent="0.3">
      <c r="A14" s="2"/>
      <c r="B14" s="2"/>
      <c r="C14" s="3"/>
      <c r="D14" s="3"/>
      <c r="E14" s="26" t="str">
        <f t="shared" si="0"/>
        <v/>
      </c>
      <c r="F14" s="3"/>
      <c r="G14" s="3"/>
      <c r="H14" s="3"/>
      <c r="I14" s="3"/>
    </row>
    <row r="15" spans="1:9" x14ac:dyDescent="0.3">
      <c r="A15" s="2"/>
      <c r="B15" s="2"/>
      <c r="C15" s="3"/>
      <c r="D15" s="3"/>
      <c r="E15" s="26" t="str">
        <f t="shared" si="0"/>
        <v/>
      </c>
      <c r="F15" s="3"/>
      <c r="G15" s="3"/>
      <c r="H15" s="3"/>
      <c r="I15" s="3"/>
    </row>
    <row r="16" spans="1:9" x14ac:dyDescent="0.3">
      <c r="A16" s="2"/>
      <c r="B16" s="2"/>
      <c r="C16" s="3"/>
      <c r="D16" s="3"/>
      <c r="E16" s="26" t="str">
        <f t="shared" si="0"/>
        <v/>
      </c>
      <c r="F16" s="3"/>
      <c r="G16" s="3"/>
      <c r="H16" s="3"/>
      <c r="I16" s="3"/>
    </row>
    <row r="17" spans="1:9" x14ac:dyDescent="0.3">
      <c r="A17" s="2"/>
      <c r="B17" s="2"/>
      <c r="C17" s="3"/>
      <c r="D17" s="3"/>
      <c r="E17" s="26" t="str">
        <f t="shared" si="0"/>
        <v/>
      </c>
      <c r="F17" s="3"/>
      <c r="G17" s="3"/>
      <c r="H17" s="3"/>
      <c r="I17" s="3"/>
    </row>
    <row r="18" spans="1:9" x14ac:dyDescent="0.3">
      <c r="A18" s="2"/>
      <c r="B18" s="2"/>
      <c r="C18" s="3"/>
      <c r="D18" s="3"/>
      <c r="E18" s="26" t="str">
        <f t="shared" si="0"/>
        <v/>
      </c>
      <c r="F18" s="3"/>
      <c r="G18" s="3"/>
      <c r="H18" s="3"/>
      <c r="I18" s="3"/>
    </row>
    <row r="19" spans="1:9" x14ac:dyDescent="0.3">
      <c r="A19" s="2"/>
      <c r="B19" s="2"/>
      <c r="C19" s="3"/>
      <c r="D19" s="3"/>
      <c r="E19" s="26" t="str">
        <f t="shared" si="0"/>
        <v/>
      </c>
      <c r="F19" s="3"/>
      <c r="G19" s="3"/>
      <c r="H19" s="3"/>
      <c r="I19" s="3"/>
    </row>
    <row r="20" spans="1:9" x14ac:dyDescent="0.3">
      <c r="A20" s="2"/>
      <c r="B20" s="2"/>
      <c r="C20" s="3"/>
      <c r="D20" s="3"/>
      <c r="E20" s="26" t="str">
        <f t="shared" si="0"/>
        <v/>
      </c>
      <c r="F20" s="3"/>
      <c r="G20" s="3"/>
      <c r="H20" s="3"/>
      <c r="I20" s="3"/>
    </row>
    <row r="21" spans="1:9" x14ac:dyDescent="0.3">
      <c r="A21" s="2"/>
      <c r="B21" s="2"/>
      <c r="C21" s="3"/>
      <c r="D21" s="3"/>
      <c r="E21" s="26" t="str">
        <f t="shared" si="0"/>
        <v/>
      </c>
      <c r="F21" s="3"/>
      <c r="G21" s="3"/>
      <c r="H21" s="3"/>
      <c r="I21" s="3"/>
    </row>
    <row r="22" spans="1:9" x14ac:dyDescent="0.3">
      <c r="A22" s="2"/>
      <c r="B22" s="2"/>
      <c r="C22" s="3"/>
      <c r="D22" s="3"/>
      <c r="E22" s="26" t="str">
        <f t="shared" si="0"/>
        <v/>
      </c>
      <c r="F22" s="3"/>
      <c r="G22" s="3"/>
      <c r="H22" s="3"/>
      <c r="I22" s="3"/>
    </row>
    <row r="23" spans="1:9" x14ac:dyDescent="0.3">
      <c r="A23" s="2"/>
      <c r="B23" s="2"/>
      <c r="C23" s="3"/>
      <c r="D23" s="3"/>
      <c r="E23" s="26" t="str">
        <f t="shared" si="0"/>
        <v/>
      </c>
      <c r="F23" s="3"/>
      <c r="G23" s="3"/>
      <c r="H23" s="3"/>
      <c r="I23" s="3"/>
    </row>
    <row r="24" spans="1:9" x14ac:dyDescent="0.3">
      <c r="A24" s="2"/>
      <c r="B24" s="2"/>
      <c r="C24" s="3"/>
      <c r="D24" s="3"/>
      <c r="E24" s="26" t="str">
        <f t="shared" si="0"/>
        <v/>
      </c>
      <c r="F24" s="3"/>
      <c r="G24" s="3"/>
      <c r="H24" s="3"/>
      <c r="I24" s="3"/>
    </row>
    <row r="25" spans="1:9" x14ac:dyDescent="0.3">
      <c r="A25" s="2"/>
      <c r="B25" s="2"/>
      <c r="C25" s="3"/>
      <c r="D25" s="3"/>
      <c r="E25" s="26" t="str">
        <f t="shared" si="0"/>
        <v/>
      </c>
      <c r="F25" s="3"/>
      <c r="G25" s="3"/>
      <c r="H25" s="3"/>
      <c r="I25" s="3"/>
    </row>
    <row r="26" spans="1:9" x14ac:dyDescent="0.3">
      <c r="A26" s="2"/>
      <c r="B26" s="2"/>
      <c r="C26" s="3"/>
      <c r="D26" s="3"/>
      <c r="E26" s="26" t="str">
        <f t="shared" si="0"/>
        <v/>
      </c>
      <c r="F26" s="3"/>
      <c r="G26" s="3"/>
      <c r="H26" s="3"/>
      <c r="I26" s="3"/>
    </row>
    <row r="27" spans="1:9" x14ac:dyDescent="0.3">
      <c r="A27" s="2"/>
      <c r="B27" s="2"/>
      <c r="C27" s="3"/>
      <c r="D27" s="3"/>
      <c r="E27" s="26" t="str">
        <f t="shared" si="0"/>
        <v/>
      </c>
      <c r="F27" s="3"/>
      <c r="G27" s="3"/>
      <c r="H27" s="3"/>
      <c r="I27" s="3"/>
    </row>
    <row r="28" spans="1:9" x14ac:dyDescent="0.3">
      <c r="A28" s="2"/>
      <c r="B28" s="2"/>
      <c r="C28" s="3"/>
      <c r="D28" s="3"/>
      <c r="E28" s="26" t="str">
        <f t="shared" si="0"/>
        <v/>
      </c>
      <c r="F28" s="3"/>
      <c r="G28" s="3"/>
      <c r="H28" s="3"/>
      <c r="I28" s="3"/>
    </row>
    <row r="29" spans="1:9" x14ac:dyDescent="0.3">
      <c r="A29" s="2"/>
      <c r="B29" s="2"/>
      <c r="C29" s="3"/>
      <c r="D29" s="3"/>
      <c r="E29" s="26" t="str">
        <f t="shared" si="0"/>
        <v/>
      </c>
      <c r="F29" s="3"/>
      <c r="G29" s="3"/>
      <c r="H29" s="3"/>
      <c r="I29" s="3"/>
    </row>
    <row r="30" spans="1:9" x14ac:dyDescent="0.3">
      <c r="A30" s="2"/>
      <c r="B30" s="2"/>
      <c r="C30" s="3"/>
      <c r="D30" s="3"/>
      <c r="E30" s="26" t="str">
        <f t="shared" si="0"/>
        <v/>
      </c>
      <c r="F30" s="3"/>
      <c r="G30" s="3"/>
      <c r="H30" s="3"/>
      <c r="I30" s="3"/>
    </row>
    <row r="31" spans="1:9" x14ac:dyDescent="0.3">
      <c r="A31" s="2"/>
      <c r="B31" s="2"/>
      <c r="C31" s="3"/>
      <c r="D31" s="3"/>
      <c r="E31" s="26" t="str">
        <f t="shared" si="0"/>
        <v/>
      </c>
      <c r="F31" s="3"/>
      <c r="G31" s="3"/>
      <c r="H31" s="3"/>
      <c r="I31" s="3"/>
    </row>
    <row r="32" spans="1:9" x14ac:dyDescent="0.3">
      <c r="A32" s="2"/>
      <c r="B32" s="2"/>
      <c r="C32" s="3"/>
      <c r="D32" s="3"/>
      <c r="E32" s="26" t="str">
        <f t="shared" si="0"/>
        <v/>
      </c>
      <c r="F32" s="3"/>
      <c r="G32" s="3"/>
      <c r="H32" s="3"/>
      <c r="I32" s="3"/>
    </row>
    <row r="33" spans="1:9" x14ac:dyDescent="0.3">
      <c r="A33" s="2"/>
      <c r="B33" s="2"/>
      <c r="C33" s="3"/>
      <c r="D33" s="3"/>
      <c r="E33" s="26" t="str">
        <f t="shared" si="0"/>
        <v/>
      </c>
      <c r="F33" s="3"/>
      <c r="G33" s="3"/>
      <c r="H33" s="3"/>
      <c r="I33" s="3"/>
    </row>
    <row r="34" spans="1:9" x14ac:dyDescent="0.3">
      <c r="A34" s="2"/>
      <c r="B34" s="2"/>
      <c r="C34" s="3"/>
      <c r="D34" s="3"/>
      <c r="E34" s="26" t="str">
        <f t="shared" si="0"/>
        <v/>
      </c>
      <c r="F34" s="3"/>
      <c r="G34" s="3"/>
      <c r="H34" s="3"/>
      <c r="I34" s="3"/>
    </row>
    <row r="35" spans="1:9" x14ac:dyDescent="0.3">
      <c r="A35" s="2"/>
      <c r="B35" s="2"/>
      <c r="C35" s="3"/>
      <c r="D35" s="3"/>
      <c r="E35" s="26" t="str">
        <f t="shared" si="0"/>
        <v/>
      </c>
      <c r="F35" s="3"/>
      <c r="G35" s="3"/>
      <c r="H35" s="3"/>
      <c r="I35" s="3"/>
    </row>
    <row r="36" spans="1:9" x14ac:dyDescent="0.3">
      <c r="A36" s="2"/>
      <c r="B36" s="2"/>
      <c r="C36" s="3"/>
      <c r="D36" s="3"/>
      <c r="E36" s="26" t="str">
        <f t="shared" si="0"/>
        <v/>
      </c>
      <c r="F36" s="3"/>
      <c r="G36" s="3"/>
      <c r="H36" s="3"/>
      <c r="I36" s="3"/>
    </row>
    <row r="37" spans="1:9" x14ac:dyDescent="0.3">
      <c r="A37" s="2"/>
      <c r="B37" s="2"/>
      <c r="C37" s="3"/>
      <c r="D37" s="3"/>
      <c r="E37" s="26" t="str">
        <f t="shared" si="0"/>
        <v/>
      </c>
      <c r="F37" s="3"/>
      <c r="G37" s="3"/>
      <c r="H37" s="3"/>
      <c r="I37" s="3"/>
    </row>
    <row r="38" spans="1:9" x14ac:dyDescent="0.3">
      <c r="A38" s="2"/>
      <c r="B38" s="2"/>
      <c r="C38" s="3"/>
      <c r="D38" s="3"/>
      <c r="E38" s="26" t="str">
        <f t="shared" si="0"/>
        <v/>
      </c>
      <c r="F38" s="3"/>
      <c r="G38" s="3"/>
      <c r="H38" s="3"/>
      <c r="I38" s="3"/>
    </row>
    <row r="39" spans="1:9" x14ac:dyDescent="0.3">
      <c r="A39" s="2"/>
      <c r="B39" s="2"/>
      <c r="C39" s="3"/>
      <c r="D39" s="3"/>
      <c r="E39" s="26" t="str">
        <f t="shared" si="0"/>
        <v/>
      </c>
      <c r="F39" s="3"/>
      <c r="G39" s="3"/>
      <c r="H39" s="3"/>
      <c r="I39" s="3"/>
    </row>
    <row r="40" spans="1:9" x14ac:dyDescent="0.3">
      <c r="A40" s="2"/>
      <c r="B40" s="2"/>
      <c r="C40" s="3"/>
      <c r="D40" s="3"/>
      <c r="E40" s="26" t="str">
        <f t="shared" si="0"/>
        <v/>
      </c>
      <c r="F40" s="3"/>
      <c r="G40" s="3"/>
      <c r="H40" s="3"/>
      <c r="I40" s="3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82914-0A99-4BA7-9E7A-12E557FB54D6}">
  <sheetPr codeName="Sheet7"/>
  <dimension ref="A1:M40"/>
  <sheetViews>
    <sheetView showGridLines="0" workbookViewId="0">
      <pane ySplit="1" topLeftCell="A2" activePane="bottomLeft" state="frozen"/>
      <selection pane="bottomLeft" activeCell="D21" sqref="D21"/>
    </sheetView>
  </sheetViews>
  <sheetFormatPr defaultRowHeight="13.9" x14ac:dyDescent="0.3"/>
  <cols>
    <col min="1" max="1" width="32.9296875" style="2" bestFit="1" customWidth="1"/>
    <col min="2" max="2" width="12.265625" style="2" customWidth="1"/>
    <col min="3" max="3" width="12.265625" style="3" customWidth="1"/>
    <col min="4" max="4" width="8.3984375" style="3" bestFit="1" customWidth="1"/>
    <col min="5" max="5" width="6.46484375" style="3" bestFit="1" customWidth="1"/>
    <col min="6" max="6" width="9.06640625" style="2" bestFit="1" customWidth="1"/>
    <col min="7" max="7" width="13" style="3" customWidth="1"/>
    <col min="8" max="8" width="28.46484375" style="3" customWidth="1"/>
    <col min="9" max="9" width="9.06640625" style="21" bestFit="1" customWidth="1"/>
    <col min="10" max="10" width="10.1328125" style="21" bestFit="1" customWidth="1"/>
    <col min="11" max="11" width="28.46484375" style="3" customWidth="1"/>
    <col min="12" max="12" width="9.06640625" style="21" bestFit="1" customWidth="1"/>
    <col min="13" max="13" width="12.59765625" style="21" customWidth="1"/>
    <col min="14" max="16384" width="9.06640625" style="1"/>
  </cols>
  <sheetData>
    <row r="1" spans="1:13" ht="14.65" x14ac:dyDescent="0.3">
      <c r="A1" s="33" t="s">
        <v>36</v>
      </c>
      <c r="B1" s="33" t="s">
        <v>126</v>
      </c>
      <c r="C1" s="33" t="s">
        <v>37</v>
      </c>
      <c r="D1" s="33" t="s">
        <v>38</v>
      </c>
      <c r="E1" s="33" t="s">
        <v>39</v>
      </c>
      <c r="F1" s="33" t="s">
        <v>122</v>
      </c>
      <c r="G1" s="33" t="s">
        <v>28</v>
      </c>
      <c r="H1" s="33" t="s">
        <v>134</v>
      </c>
      <c r="I1" s="36" t="s">
        <v>49</v>
      </c>
      <c r="J1" s="36" t="s">
        <v>50</v>
      </c>
      <c r="K1" s="33" t="s">
        <v>135</v>
      </c>
      <c r="L1" s="36" t="s">
        <v>49</v>
      </c>
      <c r="M1" s="36" t="s">
        <v>50</v>
      </c>
    </row>
    <row r="2" spans="1:13" x14ac:dyDescent="0.3">
      <c r="A2" s="4" t="s">
        <v>46</v>
      </c>
      <c r="B2" s="4"/>
      <c r="C2" s="2" t="s">
        <v>125</v>
      </c>
      <c r="D2" s="3" t="s">
        <v>123</v>
      </c>
      <c r="E2" s="3" t="s">
        <v>124</v>
      </c>
      <c r="F2" s="24">
        <v>45658</v>
      </c>
      <c r="G2" s="2" t="s">
        <v>32</v>
      </c>
      <c r="H2" s="2" t="s">
        <v>83</v>
      </c>
      <c r="I2" s="21">
        <v>45658</v>
      </c>
      <c r="J2" s="21">
        <v>45838</v>
      </c>
      <c r="K2" s="2" t="s">
        <v>84</v>
      </c>
      <c r="L2" s="21">
        <v>45839</v>
      </c>
      <c r="M2" s="21">
        <v>46022</v>
      </c>
    </row>
    <row r="3" spans="1:13" x14ac:dyDescent="0.3">
      <c r="A3" s="4" t="s">
        <v>42</v>
      </c>
      <c r="B3" s="4"/>
      <c r="D3" s="3" t="s">
        <v>123</v>
      </c>
      <c r="E3" s="3" t="s">
        <v>207</v>
      </c>
      <c r="G3" s="2" t="s">
        <v>163</v>
      </c>
      <c r="H3" s="2" t="s">
        <v>84</v>
      </c>
      <c r="I3" s="21">
        <v>45658</v>
      </c>
      <c r="J3" s="21">
        <v>45838</v>
      </c>
      <c r="K3" s="2" t="s">
        <v>83</v>
      </c>
      <c r="L3" s="21">
        <v>45839</v>
      </c>
      <c r="M3" s="21">
        <v>46022</v>
      </c>
    </row>
    <row r="4" spans="1:13" x14ac:dyDescent="0.3">
      <c r="A4" s="4" t="s">
        <v>43</v>
      </c>
      <c r="B4" s="4"/>
      <c r="D4" s="3" t="s">
        <v>123</v>
      </c>
      <c r="E4" s="3" t="s">
        <v>124</v>
      </c>
      <c r="G4" s="2" t="s">
        <v>33</v>
      </c>
      <c r="H4" s="2" t="s">
        <v>85</v>
      </c>
      <c r="I4" s="21">
        <v>45658</v>
      </c>
      <c r="J4" s="21">
        <v>45838</v>
      </c>
      <c r="K4" s="2" t="s">
        <v>204</v>
      </c>
      <c r="L4" s="21">
        <v>45839</v>
      </c>
      <c r="M4" s="21">
        <v>46022</v>
      </c>
    </row>
    <row r="5" spans="1:13" x14ac:dyDescent="0.3">
      <c r="A5" s="4" t="s">
        <v>44</v>
      </c>
      <c r="B5" s="4"/>
      <c r="D5" s="3" t="s">
        <v>123</v>
      </c>
      <c r="E5" s="3" t="s">
        <v>124</v>
      </c>
      <c r="G5" s="2" t="s">
        <v>164</v>
      </c>
      <c r="H5" s="2" t="s">
        <v>86</v>
      </c>
      <c r="I5" s="21">
        <v>45658</v>
      </c>
      <c r="J5" s="21">
        <v>45838</v>
      </c>
      <c r="K5" s="2" t="s">
        <v>205</v>
      </c>
      <c r="L5" s="21">
        <v>45839</v>
      </c>
      <c r="M5" s="21">
        <v>46022</v>
      </c>
    </row>
    <row r="6" spans="1:13" x14ac:dyDescent="0.3">
      <c r="A6" s="4" t="s">
        <v>45</v>
      </c>
      <c r="B6" s="4"/>
      <c r="D6" s="3" t="s">
        <v>123</v>
      </c>
      <c r="E6" s="3" t="s">
        <v>124</v>
      </c>
      <c r="G6" s="2" t="s">
        <v>165</v>
      </c>
      <c r="H6" s="2" t="s">
        <v>87</v>
      </c>
      <c r="I6" s="21">
        <v>45658</v>
      </c>
      <c r="J6" s="21">
        <v>45838</v>
      </c>
      <c r="K6" s="2" t="s">
        <v>206</v>
      </c>
      <c r="L6" s="21">
        <v>45839</v>
      </c>
      <c r="M6" s="21">
        <v>46022</v>
      </c>
    </row>
    <row r="7" spans="1:13" x14ac:dyDescent="0.3">
      <c r="A7" s="4"/>
      <c r="B7" s="4"/>
      <c r="G7" s="2"/>
      <c r="H7" s="2"/>
      <c r="K7" s="2"/>
    </row>
    <row r="8" spans="1:13" x14ac:dyDescent="0.3">
      <c r="A8" s="4"/>
      <c r="B8" s="4"/>
      <c r="G8" s="2"/>
      <c r="H8" s="2"/>
      <c r="K8" s="2"/>
    </row>
    <row r="9" spans="1:13" x14ac:dyDescent="0.3">
      <c r="A9" s="4"/>
      <c r="B9" s="4"/>
      <c r="G9" s="2"/>
      <c r="H9" s="2"/>
      <c r="K9" s="2"/>
    </row>
    <row r="10" spans="1:13" x14ac:dyDescent="0.3">
      <c r="A10" s="4"/>
      <c r="B10" s="4"/>
      <c r="G10" s="2"/>
      <c r="H10" s="2"/>
      <c r="K10" s="2"/>
    </row>
    <row r="11" spans="1:13" x14ac:dyDescent="0.3">
      <c r="A11" s="4"/>
      <c r="B11" s="4"/>
      <c r="G11" s="2"/>
      <c r="H11" s="2"/>
      <c r="K11" s="2"/>
    </row>
    <row r="12" spans="1:13" x14ac:dyDescent="0.3">
      <c r="A12" s="4"/>
      <c r="B12" s="4"/>
      <c r="G12" s="2"/>
      <c r="H12" s="2"/>
      <c r="K12" s="2"/>
    </row>
    <row r="13" spans="1:13" x14ac:dyDescent="0.3">
      <c r="A13" s="4"/>
      <c r="B13" s="4"/>
      <c r="G13" s="2"/>
      <c r="H13" s="2"/>
      <c r="K13" s="2"/>
    </row>
    <row r="14" spans="1:13" x14ac:dyDescent="0.3">
      <c r="A14" s="4"/>
      <c r="B14" s="4"/>
      <c r="G14" s="2"/>
      <c r="H14" s="2"/>
      <c r="K14" s="2"/>
    </row>
    <row r="15" spans="1:13" x14ac:dyDescent="0.3">
      <c r="A15" s="5"/>
      <c r="B15" s="5"/>
      <c r="G15" s="2"/>
      <c r="H15" s="2"/>
      <c r="K15" s="2"/>
    </row>
    <row r="16" spans="1:13" x14ac:dyDescent="0.3">
      <c r="A16" s="4"/>
      <c r="B16" s="4"/>
      <c r="G16" s="2"/>
      <c r="H16" s="2"/>
      <c r="K16" s="2"/>
    </row>
    <row r="17" spans="1:11" x14ac:dyDescent="0.3">
      <c r="A17" s="4"/>
      <c r="B17" s="4"/>
      <c r="G17" s="2"/>
      <c r="H17" s="2"/>
      <c r="K17" s="2"/>
    </row>
    <row r="18" spans="1:11" x14ac:dyDescent="0.3">
      <c r="A18" s="4"/>
      <c r="B18" s="4"/>
      <c r="G18" s="2"/>
      <c r="H18" s="2"/>
      <c r="K18" s="2"/>
    </row>
    <row r="19" spans="1:11" x14ac:dyDescent="0.3">
      <c r="A19" s="4"/>
      <c r="B19" s="4"/>
      <c r="G19" s="2"/>
      <c r="H19" s="2"/>
      <c r="K19" s="2"/>
    </row>
    <row r="20" spans="1:11" x14ac:dyDescent="0.3">
      <c r="A20" s="4"/>
      <c r="B20" s="4"/>
      <c r="G20" s="2"/>
      <c r="H20" s="2"/>
      <c r="K20" s="2"/>
    </row>
    <row r="21" spans="1:11" x14ac:dyDescent="0.3">
      <c r="A21" s="4"/>
      <c r="B21" s="4"/>
      <c r="G21" s="2"/>
      <c r="H21" s="2"/>
      <c r="K21" s="2"/>
    </row>
    <row r="22" spans="1:11" x14ac:dyDescent="0.3">
      <c r="A22" s="4"/>
      <c r="B22" s="4"/>
      <c r="G22" s="2"/>
      <c r="H22" s="2"/>
      <c r="K22" s="2"/>
    </row>
    <row r="23" spans="1:11" x14ac:dyDescent="0.3">
      <c r="A23" s="4"/>
      <c r="B23" s="4"/>
      <c r="G23" s="2"/>
      <c r="H23" s="2"/>
      <c r="K23" s="2"/>
    </row>
    <row r="24" spans="1:11" x14ac:dyDescent="0.3">
      <c r="A24" s="4"/>
      <c r="B24" s="4"/>
      <c r="G24" s="2"/>
      <c r="H24" s="2"/>
      <c r="K24" s="2"/>
    </row>
    <row r="25" spans="1:11" x14ac:dyDescent="0.3">
      <c r="A25" s="4"/>
      <c r="B25" s="4"/>
      <c r="G25" s="2"/>
      <c r="H25" s="2"/>
      <c r="K25" s="2"/>
    </row>
    <row r="26" spans="1:11" x14ac:dyDescent="0.3">
      <c r="A26" s="4"/>
      <c r="B26" s="4"/>
      <c r="G26" s="2"/>
      <c r="H26" s="2"/>
      <c r="K26" s="2"/>
    </row>
    <row r="27" spans="1:11" x14ac:dyDescent="0.3">
      <c r="A27" s="6"/>
      <c r="B27" s="6"/>
      <c r="G27" s="2"/>
      <c r="H27" s="2"/>
      <c r="K27" s="2"/>
    </row>
    <row r="28" spans="1:11" x14ac:dyDescent="0.3">
      <c r="A28" s="6"/>
      <c r="B28" s="6"/>
      <c r="G28" s="2"/>
      <c r="H28" s="2"/>
      <c r="K28" s="2"/>
    </row>
    <row r="29" spans="1:11" x14ac:dyDescent="0.3">
      <c r="A29" s="6"/>
      <c r="B29" s="6"/>
      <c r="G29" s="2"/>
      <c r="H29" s="2"/>
      <c r="K29" s="2"/>
    </row>
    <row r="30" spans="1:11" x14ac:dyDescent="0.3">
      <c r="A30" s="6"/>
      <c r="B30" s="6"/>
      <c r="G30" s="2"/>
      <c r="H30" s="2"/>
      <c r="K30" s="2"/>
    </row>
    <row r="31" spans="1:11" x14ac:dyDescent="0.3">
      <c r="A31" s="6"/>
      <c r="B31" s="6"/>
      <c r="G31" s="2"/>
      <c r="H31" s="2"/>
      <c r="K31" s="2"/>
    </row>
    <row r="32" spans="1:11" x14ac:dyDescent="0.3">
      <c r="A32" s="6"/>
      <c r="B32" s="6"/>
      <c r="G32" s="2"/>
      <c r="H32" s="2"/>
      <c r="K32" s="2"/>
    </row>
    <row r="33" spans="1:11" x14ac:dyDescent="0.3">
      <c r="A33" s="6"/>
      <c r="B33" s="6"/>
      <c r="G33" s="2"/>
      <c r="H33" s="2"/>
      <c r="K33" s="2"/>
    </row>
    <row r="34" spans="1:11" x14ac:dyDescent="0.3">
      <c r="A34" s="6"/>
      <c r="B34" s="6"/>
      <c r="G34" s="2"/>
      <c r="H34" s="2"/>
      <c r="K34" s="2"/>
    </row>
    <row r="35" spans="1:11" x14ac:dyDescent="0.3">
      <c r="A35" s="6"/>
      <c r="B35" s="6"/>
      <c r="G35" s="2"/>
      <c r="H35" s="2"/>
      <c r="K35" s="2"/>
    </row>
    <row r="36" spans="1:11" x14ac:dyDescent="0.3">
      <c r="A36" s="4"/>
      <c r="B36" s="4"/>
      <c r="G36" s="2"/>
      <c r="H36" s="2"/>
      <c r="K36" s="2"/>
    </row>
    <row r="37" spans="1:11" x14ac:dyDescent="0.3">
      <c r="A37" s="6"/>
      <c r="B37" s="6"/>
      <c r="G37" s="2"/>
      <c r="H37" s="2"/>
      <c r="K37" s="2"/>
    </row>
    <row r="38" spans="1:11" x14ac:dyDescent="0.3">
      <c r="A38" s="6"/>
      <c r="B38" s="6"/>
      <c r="G38" s="2"/>
      <c r="H38" s="2"/>
      <c r="K38" s="2"/>
    </row>
    <row r="39" spans="1:11" x14ac:dyDescent="0.3">
      <c r="A39" s="6"/>
      <c r="B39" s="6"/>
      <c r="G39" s="2"/>
      <c r="H39" s="2"/>
      <c r="K39" s="2"/>
    </row>
    <row r="40" spans="1:11" x14ac:dyDescent="0.3">
      <c r="A40" s="6"/>
      <c r="B40" s="6"/>
      <c r="G40" s="2"/>
      <c r="H40" s="2"/>
      <c r="K40" s="2"/>
    </row>
  </sheetData>
  <phoneticPr fontId="1" type="noConversion"/>
  <dataValidations count="2">
    <dataValidation type="list" allowBlank="1" showInputMessage="1" showErrorMessage="1" sqref="D2:D40" xr:uid="{FFB498C5-0EC6-44D4-96EB-4AC1B61ED2A5}">
      <formula1>"公立,私立"</formula1>
    </dataValidation>
    <dataValidation type="list" allowBlank="1" showInputMessage="1" showErrorMessage="1" sqref="E2:E40" xr:uid="{81E25F7D-879A-4343-8E99-C9CC7C26DB55}">
      <formula1>"未开户,已开户,已培训"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D915D8A-CBFA-41AC-92AA-5E6E5F4BD727}">
          <x14:formula1>
            <xm:f>省市!$B$2:$B$32</xm:f>
          </x14:formula1>
          <xm:sqref>C2:C41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EB5A7-C12C-4CB6-8305-2AC4971A9756}">
  <sheetPr codeName="Sheet8"/>
  <dimension ref="A1:R1468"/>
  <sheetViews>
    <sheetView showGridLines="0" workbookViewId="0">
      <selection activeCell="C28" sqref="C28"/>
    </sheetView>
  </sheetViews>
  <sheetFormatPr defaultRowHeight="13.9" x14ac:dyDescent="0.3"/>
  <cols>
    <col min="1" max="1" width="32.06640625" style="2" customWidth="1"/>
    <col min="2" max="5" width="15.1328125" style="2" customWidth="1"/>
    <col min="6" max="6" width="11.6640625" style="2" customWidth="1"/>
    <col min="7" max="7" width="15.1328125" style="2" customWidth="1"/>
    <col min="8" max="8" width="9.06640625" style="3"/>
    <col min="9" max="9" width="9.06640625" style="2"/>
    <col min="10" max="11" width="10.3984375" style="11" customWidth="1"/>
    <col min="12" max="12" width="28.1328125" style="11" customWidth="1"/>
    <col min="13" max="13" width="23.9296875" style="3" customWidth="1"/>
    <col min="14" max="15" width="11" style="21" customWidth="1"/>
    <col min="16" max="16" width="17.59765625" style="3" customWidth="1"/>
    <col min="17" max="18" width="11" style="21" customWidth="1"/>
    <col min="19" max="16384" width="9.06640625" style="1"/>
  </cols>
  <sheetData>
    <row r="1" spans="1:18" ht="14.65" x14ac:dyDescent="0.3">
      <c r="A1" s="33" t="s">
        <v>36</v>
      </c>
      <c r="B1" s="33" t="s">
        <v>126</v>
      </c>
      <c r="C1" s="33" t="s">
        <v>38</v>
      </c>
      <c r="D1" s="33" t="s">
        <v>132</v>
      </c>
      <c r="E1" s="33" t="s">
        <v>133</v>
      </c>
      <c r="F1" s="33" t="s">
        <v>201</v>
      </c>
      <c r="G1" s="33" t="s">
        <v>127</v>
      </c>
      <c r="H1" s="35" t="s">
        <v>128</v>
      </c>
      <c r="I1" s="33" t="s">
        <v>129</v>
      </c>
      <c r="J1" s="34" t="s">
        <v>130</v>
      </c>
      <c r="K1" s="34" t="s">
        <v>131</v>
      </c>
      <c r="L1" s="39" t="s">
        <v>208</v>
      </c>
      <c r="M1" s="33" t="s">
        <v>134</v>
      </c>
      <c r="N1" s="36" t="s">
        <v>49</v>
      </c>
      <c r="O1" s="36" t="s">
        <v>50</v>
      </c>
      <c r="P1" s="33" t="s">
        <v>135</v>
      </c>
      <c r="Q1" s="36" t="s">
        <v>49</v>
      </c>
      <c r="R1" s="36" t="s">
        <v>50</v>
      </c>
    </row>
    <row r="2" spans="1:18" x14ac:dyDescent="0.3">
      <c r="A2" s="4" t="s">
        <v>46</v>
      </c>
      <c r="B2" s="4"/>
      <c r="C2" s="4"/>
      <c r="D2" s="4"/>
      <c r="E2" s="4"/>
      <c r="F2" s="25">
        <v>45739</v>
      </c>
      <c r="G2" s="26" t="str">
        <f>IF(F2="","",MONTH(F2)&amp;"月")</f>
        <v>3月</v>
      </c>
      <c r="H2" s="3" t="s">
        <v>14</v>
      </c>
      <c r="I2" s="2">
        <v>100</v>
      </c>
      <c r="J2" s="11">
        <v>10000</v>
      </c>
      <c r="K2" s="51">
        <f>I2*J2</f>
        <v>1000000</v>
      </c>
      <c r="L2" s="27" t="str">
        <f>IF(AND($F2&gt;$N2,$F2&lt;=$O2),$M2,IF(AND($F2&gt;=$Q2,$F2&lt;=$R2),$P2,""))</f>
        <v>公司1</v>
      </c>
      <c r="M2" s="27" t="str">
        <f>VLOOKUP($A2,'代理商-授权医院清单'!$A:$M,8,0)</f>
        <v>公司1</v>
      </c>
      <c r="N2" s="28">
        <f>VLOOKUP($A2,'代理商-授权医院清单'!$A:$M,9,0)</f>
        <v>45658</v>
      </c>
      <c r="O2" s="28">
        <f>VLOOKUP($A2,'代理商-授权医院清单'!$A:$M,10,0)</f>
        <v>45838</v>
      </c>
      <c r="P2" s="27" t="str">
        <f>VLOOKUP($A2,'代理商-授权医院清单'!$A:$M,11,0)</f>
        <v>公司2</v>
      </c>
      <c r="Q2" s="28">
        <f>VLOOKUP($A2,'代理商-授权医院清单'!$A:$M,12,0)</f>
        <v>45839</v>
      </c>
      <c r="R2" s="28">
        <f>VLOOKUP($A2,'代理商-授权医院清单'!$A:$M,13,0)</f>
        <v>46022</v>
      </c>
    </row>
    <row r="3" spans="1:18" x14ac:dyDescent="0.3">
      <c r="A3" s="4" t="s">
        <v>46</v>
      </c>
      <c r="B3" s="4"/>
      <c r="C3" s="4"/>
      <c r="D3" s="4"/>
      <c r="E3" s="4"/>
      <c r="F3" s="25">
        <v>45835</v>
      </c>
      <c r="G3" s="26" t="str">
        <f t="shared" ref="G3:G21" si="0">IF(F3="","",MONTH(F3)&amp;"月")</f>
        <v>6月</v>
      </c>
      <c r="H3" s="3" t="s">
        <v>15</v>
      </c>
      <c r="I3" s="2">
        <v>100</v>
      </c>
      <c r="J3" s="11">
        <v>10000</v>
      </c>
      <c r="K3" s="51">
        <f t="shared" ref="K3:K21" si="1">I3*J3</f>
        <v>1000000</v>
      </c>
      <c r="L3" s="27" t="str">
        <f t="shared" ref="L3:L21" si="2">IF(AND($F3&gt;$N3,$F3&lt;=$O3),$M3,IF(AND($F3&gt;=$Q3,$F3&lt;=$R3),$P3,""))</f>
        <v>公司1</v>
      </c>
      <c r="M3" s="27" t="str">
        <f>VLOOKUP($A3,'代理商-授权医院清单'!$A:$M,8,0)</f>
        <v>公司1</v>
      </c>
      <c r="N3" s="28">
        <f>VLOOKUP($A3,'代理商-授权医院清单'!$A:$M,9,0)</f>
        <v>45658</v>
      </c>
      <c r="O3" s="28">
        <f>VLOOKUP($A3,'代理商-授权医院清单'!$A:$M,10,0)</f>
        <v>45838</v>
      </c>
      <c r="P3" s="27" t="str">
        <f>VLOOKUP($A3,'代理商-授权医院清单'!$A:$M,11,0)</f>
        <v>公司2</v>
      </c>
      <c r="Q3" s="28">
        <f>VLOOKUP($A3,'代理商-授权医院清单'!$A:$M,12,0)</f>
        <v>45839</v>
      </c>
      <c r="R3" s="28">
        <f>VLOOKUP($A3,'代理商-授权医院清单'!$A:$M,13,0)</f>
        <v>46022</v>
      </c>
    </row>
    <row r="4" spans="1:18" x14ac:dyDescent="0.3">
      <c r="A4" s="4" t="s">
        <v>46</v>
      </c>
      <c r="B4" s="4"/>
      <c r="C4" s="4"/>
      <c r="D4" s="4"/>
      <c r="E4" s="4"/>
      <c r="F4" s="25">
        <v>45910</v>
      </c>
      <c r="G4" s="26" t="str">
        <f t="shared" si="0"/>
        <v>9月</v>
      </c>
      <c r="H4" s="3" t="s">
        <v>16</v>
      </c>
      <c r="I4" s="2">
        <v>100</v>
      </c>
      <c r="J4" s="11">
        <v>10000</v>
      </c>
      <c r="K4" s="51">
        <f t="shared" si="1"/>
        <v>1000000</v>
      </c>
      <c r="L4" s="27" t="str">
        <f t="shared" si="2"/>
        <v>公司2</v>
      </c>
      <c r="M4" s="27" t="str">
        <f>VLOOKUP($A4,'代理商-授权医院清单'!$A:$M,8,0)</f>
        <v>公司1</v>
      </c>
      <c r="N4" s="28">
        <f>VLOOKUP($A4,'代理商-授权医院清单'!$A:$M,9,0)</f>
        <v>45658</v>
      </c>
      <c r="O4" s="28">
        <f>VLOOKUP($A4,'代理商-授权医院清单'!$A:$M,10,0)</f>
        <v>45838</v>
      </c>
      <c r="P4" s="27" t="str">
        <f>VLOOKUP($A4,'代理商-授权医院清单'!$A:$M,11,0)</f>
        <v>公司2</v>
      </c>
      <c r="Q4" s="28">
        <f>VLOOKUP($A4,'代理商-授权医院清单'!$A:$M,12,0)</f>
        <v>45839</v>
      </c>
      <c r="R4" s="28">
        <f>VLOOKUP($A4,'代理商-授权医院清单'!$A:$M,13,0)</f>
        <v>46022</v>
      </c>
    </row>
    <row r="5" spans="1:18" x14ac:dyDescent="0.3">
      <c r="A5" s="4" t="s">
        <v>46</v>
      </c>
      <c r="B5" s="4"/>
      <c r="C5" s="4"/>
      <c r="D5" s="4"/>
      <c r="E5" s="4"/>
      <c r="F5" s="25">
        <v>45977</v>
      </c>
      <c r="G5" s="26" t="str">
        <f t="shared" si="0"/>
        <v>11月</v>
      </c>
      <c r="H5" s="3" t="s">
        <v>17</v>
      </c>
      <c r="I5" s="2">
        <v>100</v>
      </c>
      <c r="J5" s="11">
        <v>10000</v>
      </c>
      <c r="K5" s="51">
        <f t="shared" si="1"/>
        <v>1000000</v>
      </c>
      <c r="L5" s="27" t="str">
        <f t="shared" si="2"/>
        <v>公司2</v>
      </c>
      <c r="M5" s="27" t="str">
        <f>VLOOKUP($A5,'代理商-授权医院清单'!$A:$M,8,0)</f>
        <v>公司1</v>
      </c>
      <c r="N5" s="28">
        <f>VLOOKUP($A5,'代理商-授权医院清单'!$A:$M,9,0)</f>
        <v>45658</v>
      </c>
      <c r="O5" s="28">
        <f>VLOOKUP($A5,'代理商-授权医院清单'!$A:$M,10,0)</f>
        <v>45838</v>
      </c>
      <c r="P5" s="27" t="str">
        <f>VLOOKUP($A5,'代理商-授权医院清单'!$A:$M,11,0)</f>
        <v>公司2</v>
      </c>
      <c r="Q5" s="28">
        <f>VLOOKUP($A5,'代理商-授权医院清单'!$A:$M,12,0)</f>
        <v>45839</v>
      </c>
      <c r="R5" s="28">
        <f>VLOOKUP($A5,'代理商-授权医院清单'!$A:$M,13,0)</f>
        <v>46022</v>
      </c>
    </row>
    <row r="6" spans="1:18" x14ac:dyDescent="0.3">
      <c r="A6" s="4" t="s">
        <v>42</v>
      </c>
      <c r="B6" s="4"/>
      <c r="C6" s="4"/>
      <c r="D6" s="4"/>
      <c r="E6" s="4"/>
      <c r="F6" s="25">
        <v>45739</v>
      </c>
      <c r="G6" s="26" t="str">
        <f t="shared" si="0"/>
        <v>3月</v>
      </c>
      <c r="H6" s="3" t="s">
        <v>14</v>
      </c>
      <c r="I6" s="2">
        <v>100</v>
      </c>
      <c r="J6" s="11">
        <v>10000</v>
      </c>
      <c r="K6" s="51">
        <f t="shared" si="1"/>
        <v>1000000</v>
      </c>
      <c r="L6" s="27" t="str">
        <f t="shared" si="2"/>
        <v>公司2</v>
      </c>
      <c r="M6" s="27" t="str">
        <f>VLOOKUP($A6,'代理商-授权医院清单'!$A:$M,8,0)</f>
        <v>公司2</v>
      </c>
      <c r="N6" s="28">
        <f>VLOOKUP($A6,'代理商-授权医院清单'!$A:$M,9,0)</f>
        <v>45658</v>
      </c>
      <c r="O6" s="28">
        <f>VLOOKUP($A6,'代理商-授权医院清单'!$A:$M,10,0)</f>
        <v>45838</v>
      </c>
      <c r="P6" s="27" t="str">
        <f>VLOOKUP($A6,'代理商-授权医院清单'!$A:$M,11,0)</f>
        <v>公司1</v>
      </c>
      <c r="Q6" s="28">
        <f>VLOOKUP($A6,'代理商-授权医院清单'!$A:$M,12,0)</f>
        <v>45839</v>
      </c>
      <c r="R6" s="28">
        <f>VLOOKUP($A6,'代理商-授权医院清单'!$A:$M,13,0)</f>
        <v>46022</v>
      </c>
    </row>
    <row r="7" spans="1:18" x14ac:dyDescent="0.3">
      <c r="A7" s="4" t="s">
        <v>42</v>
      </c>
      <c r="B7" s="4"/>
      <c r="C7" s="4"/>
      <c r="D7" s="4"/>
      <c r="E7" s="4"/>
      <c r="F7" s="25">
        <v>45835</v>
      </c>
      <c r="G7" s="26" t="str">
        <f t="shared" si="0"/>
        <v>6月</v>
      </c>
      <c r="H7" s="3" t="s">
        <v>15</v>
      </c>
      <c r="I7" s="2">
        <v>100</v>
      </c>
      <c r="J7" s="11">
        <v>10000</v>
      </c>
      <c r="K7" s="51">
        <f t="shared" si="1"/>
        <v>1000000</v>
      </c>
      <c r="L7" s="27" t="str">
        <f t="shared" si="2"/>
        <v>公司2</v>
      </c>
      <c r="M7" s="27" t="str">
        <f>VLOOKUP($A7,'代理商-授权医院清单'!$A:$M,8,0)</f>
        <v>公司2</v>
      </c>
      <c r="N7" s="28">
        <f>VLOOKUP($A7,'代理商-授权医院清单'!$A:$M,9,0)</f>
        <v>45658</v>
      </c>
      <c r="O7" s="28">
        <f>VLOOKUP($A7,'代理商-授权医院清单'!$A:$M,10,0)</f>
        <v>45838</v>
      </c>
      <c r="P7" s="27" t="str">
        <f>VLOOKUP($A7,'代理商-授权医院清单'!$A:$M,11,0)</f>
        <v>公司1</v>
      </c>
      <c r="Q7" s="28">
        <f>VLOOKUP($A7,'代理商-授权医院清单'!$A:$M,12,0)</f>
        <v>45839</v>
      </c>
      <c r="R7" s="28">
        <f>VLOOKUP($A7,'代理商-授权医院清单'!$A:$M,13,0)</f>
        <v>46022</v>
      </c>
    </row>
    <row r="8" spans="1:18" x14ac:dyDescent="0.3">
      <c r="A8" s="4" t="s">
        <v>42</v>
      </c>
      <c r="B8" s="4"/>
      <c r="C8" s="4"/>
      <c r="D8" s="4"/>
      <c r="E8" s="4"/>
      <c r="F8" s="25">
        <v>45910</v>
      </c>
      <c r="G8" s="26" t="str">
        <f t="shared" si="0"/>
        <v>9月</v>
      </c>
      <c r="H8" s="3" t="s">
        <v>16</v>
      </c>
      <c r="I8" s="2">
        <v>100</v>
      </c>
      <c r="J8" s="11">
        <v>10000</v>
      </c>
      <c r="K8" s="51">
        <f t="shared" si="1"/>
        <v>1000000</v>
      </c>
      <c r="L8" s="27" t="str">
        <f t="shared" si="2"/>
        <v>公司1</v>
      </c>
      <c r="M8" s="27" t="str">
        <f>VLOOKUP($A8,'代理商-授权医院清单'!$A:$M,8,0)</f>
        <v>公司2</v>
      </c>
      <c r="N8" s="28">
        <f>VLOOKUP($A8,'代理商-授权医院清单'!$A:$M,9,0)</f>
        <v>45658</v>
      </c>
      <c r="O8" s="28">
        <f>VLOOKUP($A8,'代理商-授权医院清单'!$A:$M,10,0)</f>
        <v>45838</v>
      </c>
      <c r="P8" s="27" t="str">
        <f>VLOOKUP($A8,'代理商-授权医院清单'!$A:$M,11,0)</f>
        <v>公司1</v>
      </c>
      <c r="Q8" s="28">
        <f>VLOOKUP($A8,'代理商-授权医院清单'!$A:$M,12,0)</f>
        <v>45839</v>
      </c>
      <c r="R8" s="28">
        <f>VLOOKUP($A8,'代理商-授权医院清单'!$A:$M,13,0)</f>
        <v>46022</v>
      </c>
    </row>
    <row r="9" spans="1:18" x14ac:dyDescent="0.3">
      <c r="A9" s="4" t="s">
        <v>42</v>
      </c>
      <c r="B9" s="4"/>
      <c r="C9" s="4"/>
      <c r="D9" s="4"/>
      <c r="E9" s="4"/>
      <c r="F9" s="25">
        <v>45977</v>
      </c>
      <c r="G9" s="26" t="str">
        <f t="shared" si="0"/>
        <v>11月</v>
      </c>
      <c r="H9" s="3" t="s">
        <v>17</v>
      </c>
      <c r="I9" s="2">
        <v>100</v>
      </c>
      <c r="J9" s="11">
        <v>10000</v>
      </c>
      <c r="K9" s="51">
        <f t="shared" si="1"/>
        <v>1000000</v>
      </c>
      <c r="L9" s="27" t="str">
        <f t="shared" si="2"/>
        <v>公司1</v>
      </c>
      <c r="M9" s="27" t="str">
        <f>VLOOKUP($A9,'代理商-授权医院清单'!$A:$M,8,0)</f>
        <v>公司2</v>
      </c>
      <c r="N9" s="28">
        <f>VLOOKUP($A9,'代理商-授权医院清单'!$A:$M,9,0)</f>
        <v>45658</v>
      </c>
      <c r="O9" s="28">
        <f>VLOOKUP($A9,'代理商-授权医院清单'!$A:$M,10,0)</f>
        <v>45838</v>
      </c>
      <c r="P9" s="27" t="str">
        <f>VLOOKUP($A9,'代理商-授权医院清单'!$A:$M,11,0)</f>
        <v>公司1</v>
      </c>
      <c r="Q9" s="28">
        <f>VLOOKUP($A9,'代理商-授权医院清单'!$A:$M,12,0)</f>
        <v>45839</v>
      </c>
      <c r="R9" s="28">
        <f>VLOOKUP($A9,'代理商-授权医院清单'!$A:$M,13,0)</f>
        <v>46022</v>
      </c>
    </row>
    <row r="10" spans="1:18" x14ac:dyDescent="0.3">
      <c r="A10" s="4" t="s">
        <v>43</v>
      </c>
      <c r="B10" s="4"/>
      <c r="C10" s="4"/>
      <c r="D10" s="4"/>
      <c r="E10" s="4"/>
      <c r="F10" s="25">
        <v>45739</v>
      </c>
      <c r="G10" s="26" t="str">
        <f t="shared" si="0"/>
        <v>3月</v>
      </c>
      <c r="H10" s="3" t="s">
        <v>14</v>
      </c>
      <c r="I10" s="2">
        <v>100</v>
      </c>
      <c r="J10" s="11">
        <v>10000</v>
      </c>
      <c r="K10" s="51">
        <f t="shared" si="1"/>
        <v>1000000</v>
      </c>
      <c r="L10" s="27" t="str">
        <f t="shared" si="2"/>
        <v>公司3</v>
      </c>
      <c r="M10" s="27" t="str">
        <f>VLOOKUP($A10,'代理商-授权医院清单'!$A:$M,8,0)</f>
        <v>公司3</v>
      </c>
      <c r="N10" s="28">
        <f>VLOOKUP($A10,'代理商-授权医院清单'!$A:$M,9,0)</f>
        <v>45658</v>
      </c>
      <c r="O10" s="28">
        <f>VLOOKUP($A10,'代理商-授权医院清单'!$A:$M,10,0)</f>
        <v>45838</v>
      </c>
      <c r="P10" s="27" t="str">
        <f>VLOOKUP($A10,'代理商-授权医院清单'!$A:$M,11,0)</f>
        <v>公司4</v>
      </c>
      <c r="Q10" s="28">
        <f>VLOOKUP($A10,'代理商-授权医院清单'!$A:$M,12,0)</f>
        <v>45839</v>
      </c>
      <c r="R10" s="28">
        <f>VLOOKUP($A10,'代理商-授权医院清单'!$A:$M,13,0)</f>
        <v>46022</v>
      </c>
    </row>
    <row r="11" spans="1:18" x14ac:dyDescent="0.3">
      <c r="A11" s="4" t="s">
        <v>43</v>
      </c>
      <c r="B11" s="4"/>
      <c r="C11" s="4"/>
      <c r="D11" s="4"/>
      <c r="E11" s="4"/>
      <c r="F11" s="25">
        <v>45835</v>
      </c>
      <c r="G11" s="26" t="str">
        <f t="shared" si="0"/>
        <v>6月</v>
      </c>
      <c r="H11" s="3" t="s">
        <v>15</v>
      </c>
      <c r="I11" s="2">
        <v>100</v>
      </c>
      <c r="J11" s="11">
        <v>10000</v>
      </c>
      <c r="K11" s="51">
        <f t="shared" si="1"/>
        <v>1000000</v>
      </c>
      <c r="L11" s="27" t="str">
        <f t="shared" si="2"/>
        <v>公司3</v>
      </c>
      <c r="M11" s="27" t="str">
        <f>VLOOKUP($A11,'代理商-授权医院清单'!$A:$M,8,0)</f>
        <v>公司3</v>
      </c>
      <c r="N11" s="28">
        <f>VLOOKUP($A11,'代理商-授权医院清单'!$A:$M,9,0)</f>
        <v>45658</v>
      </c>
      <c r="O11" s="28">
        <f>VLOOKUP($A11,'代理商-授权医院清单'!$A:$M,10,0)</f>
        <v>45838</v>
      </c>
      <c r="P11" s="27" t="str">
        <f>VLOOKUP($A11,'代理商-授权医院清单'!$A:$M,11,0)</f>
        <v>公司4</v>
      </c>
      <c r="Q11" s="28">
        <f>VLOOKUP($A11,'代理商-授权医院清单'!$A:$M,12,0)</f>
        <v>45839</v>
      </c>
      <c r="R11" s="28">
        <f>VLOOKUP($A11,'代理商-授权医院清单'!$A:$M,13,0)</f>
        <v>46022</v>
      </c>
    </row>
    <row r="12" spans="1:18" x14ac:dyDescent="0.3">
      <c r="A12" s="4" t="s">
        <v>43</v>
      </c>
      <c r="B12" s="4"/>
      <c r="C12" s="4"/>
      <c r="D12" s="4"/>
      <c r="E12" s="4"/>
      <c r="F12" s="25">
        <v>45910</v>
      </c>
      <c r="G12" s="26" t="str">
        <f t="shared" si="0"/>
        <v>9月</v>
      </c>
      <c r="H12" s="3" t="s">
        <v>16</v>
      </c>
      <c r="I12" s="2">
        <v>100</v>
      </c>
      <c r="J12" s="11">
        <v>10000</v>
      </c>
      <c r="K12" s="51">
        <f t="shared" si="1"/>
        <v>1000000</v>
      </c>
      <c r="L12" s="27" t="str">
        <f t="shared" si="2"/>
        <v>公司4</v>
      </c>
      <c r="M12" s="27" t="str">
        <f>VLOOKUP($A12,'代理商-授权医院清单'!$A:$M,8,0)</f>
        <v>公司3</v>
      </c>
      <c r="N12" s="28">
        <f>VLOOKUP($A12,'代理商-授权医院清单'!$A:$M,9,0)</f>
        <v>45658</v>
      </c>
      <c r="O12" s="28">
        <f>VLOOKUP($A12,'代理商-授权医院清单'!$A:$M,10,0)</f>
        <v>45838</v>
      </c>
      <c r="P12" s="27" t="str">
        <f>VLOOKUP($A12,'代理商-授权医院清单'!$A:$M,11,0)</f>
        <v>公司4</v>
      </c>
      <c r="Q12" s="28">
        <f>VLOOKUP($A12,'代理商-授权医院清单'!$A:$M,12,0)</f>
        <v>45839</v>
      </c>
      <c r="R12" s="28">
        <f>VLOOKUP($A12,'代理商-授权医院清单'!$A:$M,13,0)</f>
        <v>46022</v>
      </c>
    </row>
    <row r="13" spans="1:18" x14ac:dyDescent="0.3">
      <c r="A13" s="4" t="s">
        <v>43</v>
      </c>
      <c r="B13" s="4"/>
      <c r="C13" s="4"/>
      <c r="D13" s="4"/>
      <c r="E13" s="4"/>
      <c r="F13" s="25">
        <v>45977</v>
      </c>
      <c r="G13" s="26" t="str">
        <f t="shared" si="0"/>
        <v>11月</v>
      </c>
      <c r="H13" s="3" t="s">
        <v>17</v>
      </c>
      <c r="I13" s="2">
        <v>100</v>
      </c>
      <c r="J13" s="11">
        <v>10000</v>
      </c>
      <c r="K13" s="51">
        <f t="shared" si="1"/>
        <v>1000000</v>
      </c>
      <c r="L13" s="27" t="str">
        <f t="shared" si="2"/>
        <v>公司4</v>
      </c>
      <c r="M13" s="27" t="str">
        <f>VLOOKUP($A13,'代理商-授权医院清单'!$A:$M,8,0)</f>
        <v>公司3</v>
      </c>
      <c r="N13" s="28">
        <f>VLOOKUP($A13,'代理商-授权医院清单'!$A:$M,9,0)</f>
        <v>45658</v>
      </c>
      <c r="O13" s="28">
        <f>VLOOKUP($A13,'代理商-授权医院清单'!$A:$M,10,0)</f>
        <v>45838</v>
      </c>
      <c r="P13" s="27" t="str">
        <f>VLOOKUP($A13,'代理商-授权医院清单'!$A:$M,11,0)</f>
        <v>公司4</v>
      </c>
      <c r="Q13" s="28">
        <f>VLOOKUP($A13,'代理商-授权医院清单'!$A:$M,12,0)</f>
        <v>45839</v>
      </c>
      <c r="R13" s="28">
        <f>VLOOKUP($A13,'代理商-授权医院清单'!$A:$M,13,0)</f>
        <v>46022</v>
      </c>
    </row>
    <row r="14" spans="1:18" x14ac:dyDescent="0.3">
      <c r="A14" s="4" t="s">
        <v>44</v>
      </c>
      <c r="B14" s="4"/>
      <c r="C14" s="4"/>
      <c r="D14" s="4"/>
      <c r="E14" s="4"/>
      <c r="F14" s="25">
        <v>45739</v>
      </c>
      <c r="G14" s="26" t="str">
        <f t="shared" si="0"/>
        <v>3月</v>
      </c>
      <c r="H14" s="3" t="s">
        <v>14</v>
      </c>
      <c r="I14" s="2">
        <v>100</v>
      </c>
      <c r="J14" s="11">
        <v>10000</v>
      </c>
      <c r="K14" s="51">
        <f t="shared" si="1"/>
        <v>1000000</v>
      </c>
      <c r="L14" s="27" t="str">
        <f t="shared" si="2"/>
        <v>公司4</v>
      </c>
      <c r="M14" s="27" t="str">
        <f>VLOOKUP($A14,'代理商-授权医院清单'!$A:$M,8,0)</f>
        <v>公司4</v>
      </c>
      <c r="N14" s="28">
        <f>VLOOKUP($A14,'代理商-授权医院清单'!$A:$M,9,0)</f>
        <v>45658</v>
      </c>
      <c r="O14" s="28">
        <f>VLOOKUP($A14,'代理商-授权医院清单'!$A:$M,10,0)</f>
        <v>45838</v>
      </c>
      <c r="P14" s="27" t="str">
        <f>VLOOKUP($A14,'代理商-授权医院清单'!$A:$M,11,0)</f>
        <v>公司3</v>
      </c>
      <c r="Q14" s="28">
        <f>VLOOKUP($A14,'代理商-授权医院清单'!$A:$M,12,0)</f>
        <v>45839</v>
      </c>
      <c r="R14" s="28">
        <f>VLOOKUP($A14,'代理商-授权医院清单'!$A:$M,13,0)</f>
        <v>46022</v>
      </c>
    </row>
    <row r="15" spans="1:18" x14ac:dyDescent="0.3">
      <c r="A15" s="4" t="s">
        <v>44</v>
      </c>
      <c r="B15" s="4"/>
      <c r="C15" s="4"/>
      <c r="D15" s="4"/>
      <c r="E15" s="4"/>
      <c r="F15" s="25">
        <v>45835</v>
      </c>
      <c r="G15" s="26" t="str">
        <f t="shared" si="0"/>
        <v>6月</v>
      </c>
      <c r="H15" s="3" t="s">
        <v>15</v>
      </c>
      <c r="I15" s="2">
        <v>100</v>
      </c>
      <c r="J15" s="11">
        <v>10000</v>
      </c>
      <c r="K15" s="51">
        <f t="shared" si="1"/>
        <v>1000000</v>
      </c>
      <c r="L15" s="27" t="str">
        <f t="shared" si="2"/>
        <v>公司4</v>
      </c>
      <c r="M15" s="27" t="str">
        <f>VLOOKUP($A15,'代理商-授权医院清单'!$A:$M,8,0)</f>
        <v>公司4</v>
      </c>
      <c r="N15" s="28">
        <f>VLOOKUP($A15,'代理商-授权医院清单'!$A:$M,9,0)</f>
        <v>45658</v>
      </c>
      <c r="O15" s="28">
        <f>VLOOKUP($A15,'代理商-授权医院清单'!$A:$M,10,0)</f>
        <v>45838</v>
      </c>
      <c r="P15" s="27" t="str">
        <f>VLOOKUP($A15,'代理商-授权医院清单'!$A:$M,11,0)</f>
        <v>公司3</v>
      </c>
      <c r="Q15" s="28">
        <f>VLOOKUP($A15,'代理商-授权医院清单'!$A:$M,12,0)</f>
        <v>45839</v>
      </c>
      <c r="R15" s="28">
        <f>VLOOKUP($A15,'代理商-授权医院清单'!$A:$M,13,0)</f>
        <v>46022</v>
      </c>
    </row>
    <row r="16" spans="1:18" x14ac:dyDescent="0.3">
      <c r="A16" s="4" t="s">
        <v>44</v>
      </c>
      <c r="B16" s="4"/>
      <c r="C16" s="4"/>
      <c r="D16" s="4"/>
      <c r="E16" s="4"/>
      <c r="F16" s="25">
        <v>45910</v>
      </c>
      <c r="G16" s="26" t="str">
        <f t="shared" si="0"/>
        <v>9月</v>
      </c>
      <c r="H16" s="3" t="s">
        <v>16</v>
      </c>
      <c r="I16" s="2">
        <v>100</v>
      </c>
      <c r="J16" s="11">
        <v>10000</v>
      </c>
      <c r="K16" s="51">
        <f t="shared" si="1"/>
        <v>1000000</v>
      </c>
      <c r="L16" s="27" t="str">
        <f t="shared" si="2"/>
        <v>公司3</v>
      </c>
      <c r="M16" s="27" t="str">
        <f>VLOOKUP($A16,'代理商-授权医院清单'!$A:$M,8,0)</f>
        <v>公司4</v>
      </c>
      <c r="N16" s="28">
        <f>VLOOKUP($A16,'代理商-授权医院清单'!$A:$M,9,0)</f>
        <v>45658</v>
      </c>
      <c r="O16" s="28">
        <f>VLOOKUP($A16,'代理商-授权医院清单'!$A:$M,10,0)</f>
        <v>45838</v>
      </c>
      <c r="P16" s="27" t="str">
        <f>VLOOKUP($A16,'代理商-授权医院清单'!$A:$M,11,0)</f>
        <v>公司3</v>
      </c>
      <c r="Q16" s="28">
        <f>VLOOKUP($A16,'代理商-授权医院清单'!$A:$M,12,0)</f>
        <v>45839</v>
      </c>
      <c r="R16" s="28">
        <f>VLOOKUP($A16,'代理商-授权医院清单'!$A:$M,13,0)</f>
        <v>46022</v>
      </c>
    </row>
    <row r="17" spans="1:18" x14ac:dyDescent="0.3">
      <c r="A17" s="4" t="s">
        <v>44</v>
      </c>
      <c r="B17" s="4"/>
      <c r="C17" s="4"/>
      <c r="D17" s="4"/>
      <c r="E17" s="4"/>
      <c r="F17" s="25">
        <v>45977</v>
      </c>
      <c r="G17" s="26" t="str">
        <f t="shared" si="0"/>
        <v>11月</v>
      </c>
      <c r="H17" s="3" t="s">
        <v>17</v>
      </c>
      <c r="I17" s="2">
        <v>100</v>
      </c>
      <c r="J17" s="11">
        <v>10000</v>
      </c>
      <c r="K17" s="51">
        <f t="shared" si="1"/>
        <v>1000000</v>
      </c>
      <c r="L17" s="27" t="str">
        <f t="shared" si="2"/>
        <v>公司3</v>
      </c>
      <c r="M17" s="27" t="str">
        <f>VLOOKUP($A17,'代理商-授权医院清单'!$A:$M,8,0)</f>
        <v>公司4</v>
      </c>
      <c r="N17" s="28">
        <f>VLOOKUP($A17,'代理商-授权医院清单'!$A:$M,9,0)</f>
        <v>45658</v>
      </c>
      <c r="O17" s="28">
        <f>VLOOKUP($A17,'代理商-授权医院清单'!$A:$M,10,0)</f>
        <v>45838</v>
      </c>
      <c r="P17" s="27" t="str">
        <f>VLOOKUP($A17,'代理商-授权医院清单'!$A:$M,11,0)</f>
        <v>公司3</v>
      </c>
      <c r="Q17" s="28">
        <f>VLOOKUP($A17,'代理商-授权医院清单'!$A:$M,12,0)</f>
        <v>45839</v>
      </c>
      <c r="R17" s="28">
        <f>VLOOKUP($A17,'代理商-授权医院清单'!$A:$M,13,0)</f>
        <v>46022</v>
      </c>
    </row>
    <row r="18" spans="1:18" x14ac:dyDescent="0.3">
      <c r="A18" s="4" t="s">
        <v>45</v>
      </c>
      <c r="B18" s="4"/>
      <c r="C18" s="4"/>
      <c r="D18" s="4"/>
      <c r="E18" s="4"/>
      <c r="F18" s="25">
        <v>45739</v>
      </c>
      <c r="G18" s="26" t="str">
        <f t="shared" si="0"/>
        <v>3月</v>
      </c>
      <c r="H18" s="3" t="s">
        <v>14</v>
      </c>
      <c r="I18" s="2">
        <v>100</v>
      </c>
      <c r="J18" s="11">
        <v>10000</v>
      </c>
      <c r="K18" s="51">
        <f t="shared" si="1"/>
        <v>1000000</v>
      </c>
      <c r="L18" s="27" t="str">
        <f t="shared" si="2"/>
        <v>公司5</v>
      </c>
      <c r="M18" s="27" t="str">
        <f>VLOOKUP($A18,'代理商-授权医院清单'!$A:$M,8,0)</f>
        <v>公司5</v>
      </c>
      <c r="N18" s="28">
        <f>VLOOKUP($A18,'代理商-授权医院清单'!$A:$M,9,0)</f>
        <v>45658</v>
      </c>
      <c r="O18" s="28">
        <f>VLOOKUP($A18,'代理商-授权医院清单'!$A:$M,10,0)</f>
        <v>45838</v>
      </c>
      <c r="P18" s="27" t="str">
        <f>VLOOKUP($A18,'代理商-授权医院清单'!$A:$M,11,0)</f>
        <v>公司6</v>
      </c>
      <c r="Q18" s="28">
        <f>VLOOKUP($A18,'代理商-授权医院清单'!$A:$M,12,0)</f>
        <v>45839</v>
      </c>
      <c r="R18" s="28">
        <f>VLOOKUP($A18,'代理商-授权医院清单'!$A:$M,13,0)</f>
        <v>46022</v>
      </c>
    </row>
    <row r="19" spans="1:18" x14ac:dyDescent="0.3">
      <c r="A19" s="4" t="s">
        <v>45</v>
      </c>
      <c r="B19" s="4"/>
      <c r="C19" s="4"/>
      <c r="D19" s="4"/>
      <c r="E19" s="4"/>
      <c r="F19" s="25">
        <v>45835</v>
      </c>
      <c r="G19" s="26" t="str">
        <f t="shared" si="0"/>
        <v>6月</v>
      </c>
      <c r="H19" s="3" t="s">
        <v>15</v>
      </c>
      <c r="I19" s="2">
        <v>100</v>
      </c>
      <c r="J19" s="11">
        <v>10000</v>
      </c>
      <c r="K19" s="51">
        <f t="shared" si="1"/>
        <v>1000000</v>
      </c>
      <c r="L19" s="27" t="str">
        <f t="shared" si="2"/>
        <v>公司5</v>
      </c>
      <c r="M19" s="27" t="str">
        <f>VLOOKUP($A19,'代理商-授权医院清单'!$A:$M,8,0)</f>
        <v>公司5</v>
      </c>
      <c r="N19" s="28">
        <f>VLOOKUP($A19,'代理商-授权医院清单'!$A:$M,9,0)</f>
        <v>45658</v>
      </c>
      <c r="O19" s="28">
        <f>VLOOKUP($A19,'代理商-授权医院清单'!$A:$M,10,0)</f>
        <v>45838</v>
      </c>
      <c r="P19" s="27" t="str">
        <f>VLOOKUP($A19,'代理商-授权医院清单'!$A:$M,11,0)</f>
        <v>公司6</v>
      </c>
      <c r="Q19" s="28">
        <f>VLOOKUP($A19,'代理商-授权医院清单'!$A:$M,12,0)</f>
        <v>45839</v>
      </c>
      <c r="R19" s="28">
        <f>VLOOKUP($A19,'代理商-授权医院清单'!$A:$M,13,0)</f>
        <v>46022</v>
      </c>
    </row>
    <row r="20" spans="1:18" x14ac:dyDescent="0.3">
      <c r="A20" s="4" t="s">
        <v>45</v>
      </c>
      <c r="B20" s="4"/>
      <c r="C20" s="4"/>
      <c r="D20" s="4"/>
      <c r="E20" s="4"/>
      <c r="F20" s="25">
        <v>45910</v>
      </c>
      <c r="G20" s="26" t="str">
        <f t="shared" si="0"/>
        <v>9月</v>
      </c>
      <c r="H20" s="3" t="s">
        <v>16</v>
      </c>
      <c r="I20" s="2">
        <v>100</v>
      </c>
      <c r="J20" s="11">
        <v>10000</v>
      </c>
      <c r="K20" s="51">
        <f t="shared" si="1"/>
        <v>1000000</v>
      </c>
      <c r="L20" s="27" t="str">
        <f t="shared" si="2"/>
        <v>公司6</v>
      </c>
      <c r="M20" s="27" t="str">
        <f>VLOOKUP($A20,'代理商-授权医院清单'!$A:$M,8,0)</f>
        <v>公司5</v>
      </c>
      <c r="N20" s="28">
        <f>VLOOKUP($A20,'代理商-授权医院清单'!$A:$M,9,0)</f>
        <v>45658</v>
      </c>
      <c r="O20" s="28">
        <f>VLOOKUP($A20,'代理商-授权医院清单'!$A:$M,10,0)</f>
        <v>45838</v>
      </c>
      <c r="P20" s="27" t="str">
        <f>VLOOKUP($A20,'代理商-授权医院清单'!$A:$M,11,0)</f>
        <v>公司6</v>
      </c>
      <c r="Q20" s="28">
        <f>VLOOKUP($A20,'代理商-授权医院清单'!$A:$M,12,0)</f>
        <v>45839</v>
      </c>
      <c r="R20" s="28">
        <f>VLOOKUP($A20,'代理商-授权医院清单'!$A:$M,13,0)</f>
        <v>46022</v>
      </c>
    </row>
    <row r="21" spans="1:18" x14ac:dyDescent="0.3">
      <c r="A21" s="4" t="s">
        <v>45</v>
      </c>
      <c r="B21" s="4"/>
      <c r="C21" s="4"/>
      <c r="D21" s="4"/>
      <c r="E21" s="4"/>
      <c r="F21" s="25">
        <v>45977</v>
      </c>
      <c r="G21" s="26" t="str">
        <f t="shared" si="0"/>
        <v>11月</v>
      </c>
      <c r="H21" s="3" t="s">
        <v>17</v>
      </c>
      <c r="I21" s="2">
        <v>100</v>
      </c>
      <c r="J21" s="11">
        <v>10000</v>
      </c>
      <c r="K21" s="51">
        <f t="shared" si="1"/>
        <v>1000000</v>
      </c>
      <c r="L21" s="27" t="str">
        <f t="shared" si="2"/>
        <v>公司6</v>
      </c>
      <c r="M21" s="27" t="str">
        <f>VLOOKUP($A21,'代理商-授权医院清单'!$A:$M,8,0)</f>
        <v>公司5</v>
      </c>
      <c r="N21" s="28">
        <f>VLOOKUP($A21,'代理商-授权医院清单'!$A:$M,9,0)</f>
        <v>45658</v>
      </c>
      <c r="O21" s="28">
        <f>VLOOKUP($A21,'代理商-授权医院清单'!$A:$M,10,0)</f>
        <v>45838</v>
      </c>
      <c r="P21" s="27" t="str">
        <f>VLOOKUP($A21,'代理商-授权医院清单'!$A:$M,11,0)</f>
        <v>公司6</v>
      </c>
      <c r="Q21" s="28">
        <f>VLOOKUP($A21,'代理商-授权医院清单'!$A:$M,12,0)</f>
        <v>45839</v>
      </c>
      <c r="R21" s="28">
        <f>VLOOKUP($A21,'代理商-授权医院清单'!$A:$M,13,0)</f>
        <v>46022</v>
      </c>
    </row>
    <row r="22" spans="1:18" x14ac:dyDescent="0.3">
      <c r="G22" s="4"/>
    </row>
    <row r="23" spans="1:18" x14ac:dyDescent="0.3">
      <c r="G23" s="4"/>
    </row>
    <row r="24" spans="1:18" x14ac:dyDescent="0.3">
      <c r="G24" s="4"/>
    </row>
    <row r="25" spans="1:18" x14ac:dyDescent="0.3">
      <c r="G25" s="4"/>
    </row>
    <row r="26" spans="1:18" x14ac:dyDescent="0.3">
      <c r="G26" s="4"/>
    </row>
    <row r="27" spans="1:18" x14ac:dyDescent="0.3">
      <c r="G27" s="4"/>
    </row>
    <row r="28" spans="1:18" x14ac:dyDescent="0.3">
      <c r="G28" s="4"/>
    </row>
    <row r="29" spans="1:18" x14ac:dyDescent="0.3">
      <c r="G29" s="4"/>
    </row>
    <row r="30" spans="1:18" x14ac:dyDescent="0.3">
      <c r="G30" s="4"/>
    </row>
    <row r="31" spans="1:18" x14ac:dyDescent="0.3">
      <c r="G31" s="4"/>
    </row>
    <row r="32" spans="1:18" x14ac:dyDescent="0.3">
      <c r="G32" s="4"/>
    </row>
    <row r="33" spans="7:7" x14ac:dyDescent="0.3">
      <c r="G33" s="4"/>
    </row>
    <row r="34" spans="7:7" x14ac:dyDescent="0.3">
      <c r="G34" s="4"/>
    </row>
    <row r="35" spans="7:7" x14ac:dyDescent="0.3">
      <c r="G35" s="4"/>
    </row>
    <row r="36" spans="7:7" x14ac:dyDescent="0.3">
      <c r="G36" s="4"/>
    </row>
    <row r="37" spans="7:7" x14ac:dyDescent="0.3">
      <c r="G37" s="4"/>
    </row>
    <row r="38" spans="7:7" x14ac:dyDescent="0.3">
      <c r="G38" s="4"/>
    </row>
    <row r="39" spans="7:7" x14ac:dyDescent="0.3">
      <c r="G39" s="4"/>
    </row>
    <row r="40" spans="7:7" x14ac:dyDescent="0.3">
      <c r="G40" s="4"/>
    </row>
    <row r="41" spans="7:7" x14ac:dyDescent="0.3">
      <c r="G41" s="4"/>
    </row>
    <row r="42" spans="7:7" x14ac:dyDescent="0.3">
      <c r="G42" s="4"/>
    </row>
    <row r="43" spans="7:7" x14ac:dyDescent="0.3">
      <c r="G43" s="4"/>
    </row>
    <row r="44" spans="7:7" x14ac:dyDescent="0.3">
      <c r="G44" s="4"/>
    </row>
    <row r="45" spans="7:7" x14ac:dyDescent="0.3">
      <c r="G45" s="4"/>
    </row>
    <row r="46" spans="7:7" x14ac:dyDescent="0.3">
      <c r="G46" s="4"/>
    </row>
    <row r="47" spans="7:7" x14ac:dyDescent="0.3">
      <c r="G47" s="4"/>
    </row>
    <row r="48" spans="7:7" x14ac:dyDescent="0.3">
      <c r="G48" s="4"/>
    </row>
    <row r="49" spans="7:7" x14ac:dyDescent="0.3">
      <c r="G49" s="4"/>
    </row>
    <row r="50" spans="7:7" x14ac:dyDescent="0.3">
      <c r="G50" s="4"/>
    </row>
    <row r="51" spans="7:7" x14ac:dyDescent="0.3">
      <c r="G51" s="4"/>
    </row>
    <row r="52" spans="7:7" x14ac:dyDescent="0.3">
      <c r="G52" s="4"/>
    </row>
    <row r="53" spans="7:7" x14ac:dyDescent="0.3">
      <c r="G53" s="4"/>
    </row>
    <row r="54" spans="7:7" x14ac:dyDescent="0.3">
      <c r="G54" s="4"/>
    </row>
    <row r="55" spans="7:7" x14ac:dyDescent="0.3">
      <c r="G55" s="4"/>
    </row>
    <row r="56" spans="7:7" x14ac:dyDescent="0.3">
      <c r="G56" s="4"/>
    </row>
    <row r="57" spans="7:7" x14ac:dyDescent="0.3">
      <c r="G57" s="4"/>
    </row>
    <row r="58" spans="7:7" x14ac:dyDescent="0.3">
      <c r="G58" s="4"/>
    </row>
    <row r="59" spans="7:7" x14ac:dyDescent="0.3">
      <c r="G59" s="4"/>
    </row>
    <row r="60" spans="7:7" x14ac:dyDescent="0.3">
      <c r="G60" s="4"/>
    </row>
    <row r="61" spans="7:7" x14ac:dyDescent="0.3">
      <c r="G61" s="4"/>
    </row>
    <row r="62" spans="7:7" x14ac:dyDescent="0.3">
      <c r="G62" s="4"/>
    </row>
    <row r="63" spans="7:7" x14ac:dyDescent="0.3">
      <c r="G63" s="4"/>
    </row>
    <row r="64" spans="7:7" x14ac:dyDescent="0.3">
      <c r="G64" s="4"/>
    </row>
    <row r="65" spans="7:7" x14ac:dyDescent="0.3">
      <c r="G65" s="4"/>
    </row>
    <row r="66" spans="7:7" x14ac:dyDescent="0.3">
      <c r="G66" s="4"/>
    </row>
    <row r="67" spans="7:7" x14ac:dyDescent="0.3">
      <c r="G67" s="4"/>
    </row>
    <row r="68" spans="7:7" x14ac:dyDescent="0.3">
      <c r="G68" s="4"/>
    </row>
    <row r="69" spans="7:7" x14ac:dyDescent="0.3">
      <c r="G69" s="4"/>
    </row>
    <row r="70" spans="7:7" x14ac:dyDescent="0.3">
      <c r="G70" s="4"/>
    </row>
    <row r="71" spans="7:7" x14ac:dyDescent="0.3">
      <c r="G71" s="4"/>
    </row>
    <row r="72" spans="7:7" x14ac:dyDescent="0.3">
      <c r="G72" s="4"/>
    </row>
    <row r="73" spans="7:7" x14ac:dyDescent="0.3">
      <c r="G73" s="4"/>
    </row>
    <row r="74" spans="7:7" x14ac:dyDescent="0.3">
      <c r="G74" s="4"/>
    </row>
    <row r="75" spans="7:7" x14ac:dyDescent="0.3">
      <c r="G75" s="4"/>
    </row>
    <row r="76" spans="7:7" x14ac:dyDescent="0.3">
      <c r="G76" s="4"/>
    </row>
    <row r="77" spans="7:7" x14ac:dyDescent="0.3">
      <c r="G77" s="4"/>
    </row>
    <row r="78" spans="7:7" x14ac:dyDescent="0.3">
      <c r="G78" s="4"/>
    </row>
    <row r="79" spans="7:7" x14ac:dyDescent="0.3">
      <c r="G79" s="4"/>
    </row>
    <row r="80" spans="7:7" x14ac:dyDescent="0.3">
      <c r="G80" s="4"/>
    </row>
    <row r="81" spans="7:7" x14ac:dyDescent="0.3">
      <c r="G81" s="4"/>
    </row>
    <row r="82" spans="7:7" x14ac:dyDescent="0.3">
      <c r="G82" s="4"/>
    </row>
    <row r="83" spans="7:7" x14ac:dyDescent="0.3">
      <c r="G83" s="4"/>
    </row>
    <row r="84" spans="7:7" x14ac:dyDescent="0.3">
      <c r="G84" s="4"/>
    </row>
    <row r="85" spans="7:7" x14ac:dyDescent="0.3">
      <c r="G85" s="4"/>
    </row>
    <row r="86" spans="7:7" x14ac:dyDescent="0.3">
      <c r="G86" s="4"/>
    </row>
    <row r="87" spans="7:7" x14ac:dyDescent="0.3">
      <c r="G87" s="4"/>
    </row>
    <row r="88" spans="7:7" x14ac:dyDescent="0.3">
      <c r="G88" s="4"/>
    </row>
    <row r="89" spans="7:7" x14ac:dyDescent="0.3">
      <c r="G89" s="4"/>
    </row>
    <row r="90" spans="7:7" x14ac:dyDescent="0.3">
      <c r="G90" s="4"/>
    </row>
    <row r="91" spans="7:7" x14ac:dyDescent="0.3">
      <c r="G91" s="4"/>
    </row>
    <row r="92" spans="7:7" x14ac:dyDescent="0.3">
      <c r="G92" s="4"/>
    </row>
    <row r="93" spans="7:7" x14ac:dyDescent="0.3">
      <c r="G93" s="4"/>
    </row>
    <row r="94" spans="7:7" x14ac:dyDescent="0.3">
      <c r="G94" s="4"/>
    </row>
    <row r="95" spans="7:7" x14ac:dyDescent="0.3">
      <c r="G95" s="4"/>
    </row>
    <row r="96" spans="7:7" x14ac:dyDescent="0.3">
      <c r="G96" s="4"/>
    </row>
    <row r="97" spans="7:7" x14ac:dyDescent="0.3">
      <c r="G97" s="4"/>
    </row>
    <row r="98" spans="7:7" x14ac:dyDescent="0.3">
      <c r="G98" s="4"/>
    </row>
    <row r="99" spans="7:7" x14ac:dyDescent="0.3">
      <c r="G99" s="4"/>
    </row>
    <row r="100" spans="7:7" x14ac:dyDescent="0.3">
      <c r="G100" s="4"/>
    </row>
    <row r="101" spans="7:7" x14ac:dyDescent="0.3">
      <c r="G101" s="4"/>
    </row>
    <row r="102" spans="7:7" x14ac:dyDescent="0.3">
      <c r="G102" s="4"/>
    </row>
    <row r="103" spans="7:7" x14ac:dyDescent="0.3">
      <c r="G103" s="4"/>
    </row>
    <row r="104" spans="7:7" x14ac:dyDescent="0.3">
      <c r="G104" s="4"/>
    </row>
    <row r="105" spans="7:7" x14ac:dyDescent="0.3">
      <c r="G105" s="4"/>
    </row>
    <row r="106" spans="7:7" x14ac:dyDescent="0.3">
      <c r="G106" s="4"/>
    </row>
    <row r="107" spans="7:7" x14ac:dyDescent="0.3">
      <c r="G107" s="4"/>
    </row>
    <row r="108" spans="7:7" x14ac:dyDescent="0.3">
      <c r="G108" s="4"/>
    </row>
    <row r="109" spans="7:7" x14ac:dyDescent="0.3">
      <c r="G109" s="4"/>
    </row>
    <row r="110" spans="7:7" x14ac:dyDescent="0.3">
      <c r="G110" s="4"/>
    </row>
    <row r="111" spans="7:7" x14ac:dyDescent="0.3">
      <c r="G111" s="4"/>
    </row>
    <row r="112" spans="7:7" x14ac:dyDescent="0.3">
      <c r="G112" s="4"/>
    </row>
    <row r="113" spans="7:7" x14ac:dyDescent="0.3">
      <c r="G113" s="4"/>
    </row>
    <row r="114" spans="7:7" x14ac:dyDescent="0.3">
      <c r="G114" s="4"/>
    </row>
    <row r="115" spans="7:7" x14ac:dyDescent="0.3">
      <c r="G115" s="4"/>
    </row>
    <row r="116" spans="7:7" x14ac:dyDescent="0.3">
      <c r="G116" s="4"/>
    </row>
    <row r="117" spans="7:7" x14ac:dyDescent="0.3">
      <c r="G117" s="4"/>
    </row>
    <row r="118" spans="7:7" x14ac:dyDescent="0.3">
      <c r="G118" s="4"/>
    </row>
    <row r="119" spans="7:7" x14ac:dyDescent="0.3">
      <c r="G119" s="4"/>
    </row>
    <row r="120" spans="7:7" x14ac:dyDescent="0.3">
      <c r="G120" s="4"/>
    </row>
    <row r="121" spans="7:7" x14ac:dyDescent="0.3">
      <c r="G121" s="4"/>
    </row>
    <row r="122" spans="7:7" x14ac:dyDescent="0.3">
      <c r="G122" s="4"/>
    </row>
    <row r="123" spans="7:7" x14ac:dyDescent="0.3">
      <c r="G123" s="4"/>
    </row>
    <row r="124" spans="7:7" x14ac:dyDescent="0.3">
      <c r="G124" s="4"/>
    </row>
    <row r="125" spans="7:7" x14ac:dyDescent="0.3">
      <c r="G125" s="4"/>
    </row>
    <row r="126" spans="7:7" x14ac:dyDescent="0.3">
      <c r="G126" s="4"/>
    </row>
    <row r="127" spans="7:7" x14ac:dyDescent="0.3">
      <c r="G127" s="4"/>
    </row>
    <row r="128" spans="7:7" x14ac:dyDescent="0.3">
      <c r="G128" s="4"/>
    </row>
    <row r="129" spans="7:7" x14ac:dyDescent="0.3">
      <c r="G129" s="4"/>
    </row>
    <row r="130" spans="7:7" x14ac:dyDescent="0.3">
      <c r="G130" s="4"/>
    </row>
    <row r="131" spans="7:7" x14ac:dyDescent="0.3">
      <c r="G131" s="4"/>
    </row>
    <row r="132" spans="7:7" x14ac:dyDescent="0.3">
      <c r="G132" s="4"/>
    </row>
    <row r="133" spans="7:7" x14ac:dyDescent="0.3">
      <c r="G133" s="4"/>
    </row>
    <row r="134" spans="7:7" x14ac:dyDescent="0.3">
      <c r="G134" s="4"/>
    </row>
    <row r="135" spans="7:7" x14ac:dyDescent="0.3">
      <c r="G135" s="4"/>
    </row>
    <row r="136" spans="7:7" x14ac:dyDescent="0.3">
      <c r="G136" s="4"/>
    </row>
    <row r="137" spans="7:7" x14ac:dyDescent="0.3">
      <c r="G137" s="4"/>
    </row>
    <row r="138" spans="7:7" x14ac:dyDescent="0.3">
      <c r="G138" s="4"/>
    </row>
    <row r="139" spans="7:7" x14ac:dyDescent="0.3">
      <c r="G139" s="4"/>
    </row>
    <row r="140" spans="7:7" x14ac:dyDescent="0.3">
      <c r="G140" s="4"/>
    </row>
    <row r="141" spans="7:7" x14ac:dyDescent="0.3">
      <c r="G141" s="4"/>
    </row>
    <row r="142" spans="7:7" x14ac:dyDescent="0.3">
      <c r="G142" s="4"/>
    </row>
    <row r="143" spans="7:7" x14ac:dyDescent="0.3">
      <c r="G143" s="4"/>
    </row>
    <row r="144" spans="7:7" x14ac:dyDescent="0.3">
      <c r="G144" s="4"/>
    </row>
    <row r="145" spans="7:7" x14ac:dyDescent="0.3">
      <c r="G145" s="4"/>
    </row>
    <row r="146" spans="7:7" x14ac:dyDescent="0.3">
      <c r="G146" s="4"/>
    </row>
    <row r="147" spans="7:7" x14ac:dyDescent="0.3">
      <c r="G147" s="4"/>
    </row>
    <row r="148" spans="7:7" x14ac:dyDescent="0.3">
      <c r="G148" s="4"/>
    </row>
    <row r="149" spans="7:7" x14ac:dyDescent="0.3">
      <c r="G149" s="4"/>
    </row>
    <row r="150" spans="7:7" x14ac:dyDescent="0.3">
      <c r="G150" s="4"/>
    </row>
    <row r="151" spans="7:7" x14ac:dyDescent="0.3">
      <c r="G151" s="4"/>
    </row>
    <row r="152" spans="7:7" x14ac:dyDescent="0.3">
      <c r="G152" s="4"/>
    </row>
    <row r="153" spans="7:7" x14ac:dyDescent="0.3">
      <c r="G153" s="4"/>
    </row>
    <row r="154" spans="7:7" x14ac:dyDescent="0.3">
      <c r="G154" s="4"/>
    </row>
    <row r="155" spans="7:7" x14ac:dyDescent="0.3">
      <c r="G155" s="4"/>
    </row>
    <row r="156" spans="7:7" x14ac:dyDescent="0.3">
      <c r="G156" s="4"/>
    </row>
    <row r="157" spans="7:7" x14ac:dyDescent="0.3">
      <c r="G157" s="4"/>
    </row>
    <row r="158" spans="7:7" x14ac:dyDescent="0.3">
      <c r="G158" s="4"/>
    </row>
    <row r="159" spans="7:7" x14ac:dyDescent="0.3">
      <c r="G159" s="4"/>
    </row>
    <row r="160" spans="7:7" x14ac:dyDescent="0.3">
      <c r="G160" s="4"/>
    </row>
    <row r="161" spans="7:7" x14ac:dyDescent="0.3">
      <c r="G161" s="4"/>
    </row>
    <row r="162" spans="7:7" x14ac:dyDescent="0.3">
      <c r="G162" s="4"/>
    </row>
    <row r="163" spans="7:7" x14ac:dyDescent="0.3">
      <c r="G163" s="4"/>
    </row>
    <row r="164" spans="7:7" x14ac:dyDescent="0.3">
      <c r="G164" s="4"/>
    </row>
    <row r="165" spans="7:7" x14ac:dyDescent="0.3">
      <c r="G165" s="4"/>
    </row>
    <row r="166" spans="7:7" x14ac:dyDescent="0.3">
      <c r="G166" s="4"/>
    </row>
    <row r="167" spans="7:7" x14ac:dyDescent="0.3">
      <c r="G167" s="4"/>
    </row>
    <row r="168" spans="7:7" x14ac:dyDescent="0.3">
      <c r="G168" s="4"/>
    </row>
    <row r="169" spans="7:7" x14ac:dyDescent="0.3">
      <c r="G169" s="4"/>
    </row>
    <row r="170" spans="7:7" x14ac:dyDescent="0.3">
      <c r="G170" s="4"/>
    </row>
    <row r="171" spans="7:7" x14ac:dyDescent="0.3">
      <c r="G171" s="4"/>
    </row>
    <row r="172" spans="7:7" x14ac:dyDescent="0.3">
      <c r="G172" s="4"/>
    </row>
    <row r="173" spans="7:7" x14ac:dyDescent="0.3">
      <c r="G173" s="4"/>
    </row>
    <row r="174" spans="7:7" x14ac:dyDescent="0.3">
      <c r="G174" s="4"/>
    </row>
    <row r="175" spans="7:7" x14ac:dyDescent="0.3">
      <c r="G175" s="4"/>
    </row>
    <row r="176" spans="7:7" x14ac:dyDescent="0.3">
      <c r="G176" s="4"/>
    </row>
    <row r="177" spans="7:7" x14ac:dyDescent="0.3">
      <c r="G177" s="4"/>
    </row>
    <row r="178" spans="7:7" x14ac:dyDescent="0.3">
      <c r="G178" s="4"/>
    </row>
    <row r="179" spans="7:7" x14ac:dyDescent="0.3">
      <c r="G179" s="4"/>
    </row>
    <row r="180" spans="7:7" x14ac:dyDescent="0.3">
      <c r="G180" s="4"/>
    </row>
    <row r="181" spans="7:7" x14ac:dyDescent="0.3">
      <c r="G181" s="4"/>
    </row>
    <row r="182" spans="7:7" x14ac:dyDescent="0.3">
      <c r="G182" s="4"/>
    </row>
    <row r="183" spans="7:7" x14ac:dyDescent="0.3">
      <c r="G183" s="4"/>
    </row>
    <row r="184" spans="7:7" x14ac:dyDescent="0.3">
      <c r="G184" s="4"/>
    </row>
    <row r="185" spans="7:7" x14ac:dyDescent="0.3">
      <c r="G185" s="4"/>
    </row>
    <row r="186" spans="7:7" x14ac:dyDescent="0.3">
      <c r="G186" s="4"/>
    </row>
    <row r="187" spans="7:7" x14ac:dyDescent="0.3">
      <c r="G187" s="4"/>
    </row>
    <row r="188" spans="7:7" x14ac:dyDescent="0.3">
      <c r="G188" s="4"/>
    </row>
    <row r="189" spans="7:7" x14ac:dyDescent="0.3">
      <c r="G189" s="4"/>
    </row>
    <row r="190" spans="7:7" x14ac:dyDescent="0.3">
      <c r="G190" s="4"/>
    </row>
    <row r="191" spans="7:7" x14ac:dyDescent="0.3">
      <c r="G191" s="4"/>
    </row>
    <row r="192" spans="7:7" x14ac:dyDescent="0.3">
      <c r="G192" s="4"/>
    </row>
    <row r="193" spans="7:7" x14ac:dyDescent="0.3">
      <c r="G193" s="4"/>
    </row>
    <row r="194" spans="7:7" x14ac:dyDescent="0.3">
      <c r="G194" s="4"/>
    </row>
    <row r="195" spans="7:7" x14ac:dyDescent="0.3">
      <c r="G195" s="4"/>
    </row>
    <row r="196" spans="7:7" x14ac:dyDescent="0.3">
      <c r="G196" s="4"/>
    </row>
    <row r="197" spans="7:7" x14ac:dyDescent="0.3">
      <c r="G197" s="4"/>
    </row>
    <row r="198" spans="7:7" x14ac:dyDescent="0.3">
      <c r="G198" s="4"/>
    </row>
    <row r="199" spans="7:7" x14ac:dyDescent="0.3">
      <c r="G199" s="4"/>
    </row>
    <row r="200" spans="7:7" x14ac:dyDescent="0.3">
      <c r="G200" s="4"/>
    </row>
    <row r="201" spans="7:7" x14ac:dyDescent="0.3">
      <c r="G201" s="4"/>
    </row>
    <row r="202" spans="7:7" x14ac:dyDescent="0.3">
      <c r="G202" s="4"/>
    </row>
    <row r="203" spans="7:7" x14ac:dyDescent="0.3">
      <c r="G203" s="4"/>
    </row>
    <row r="204" spans="7:7" x14ac:dyDescent="0.3">
      <c r="G204" s="4"/>
    </row>
    <row r="205" spans="7:7" x14ac:dyDescent="0.3">
      <c r="G205" s="4"/>
    </row>
    <row r="206" spans="7:7" x14ac:dyDescent="0.3">
      <c r="G206" s="4"/>
    </row>
    <row r="207" spans="7:7" x14ac:dyDescent="0.3">
      <c r="G207" s="4"/>
    </row>
    <row r="208" spans="7:7" x14ac:dyDescent="0.3">
      <c r="G208" s="4"/>
    </row>
    <row r="209" spans="7:7" x14ac:dyDescent="0.3">
      <c r="G209" s="4"/>
    </row>
    <row r="210" spans="7:7" x14ac:dyDescent="0.3">
      <c r="G210" s="4"/>
    </row>
    <row r="211" spans="7:7" x14ac:dyDescent="0.3">
      <c r="G211" s="4"/>
    </row>
    <row r="212" spans="7:7" x14ac:dyDescent="0.3">
      <c r="G212" s="4"/>
    </row>
    <row r="213" spans="7:7" x14ac:dyDescent="0.3">
      <c r="G213" s="4"/>
    </row>
    <row r="214" spans="7:7" x14ac:dyDescent="0.3">
      <c r="G214" s="4"/>
    </row>
    <row r="215" spans="7:7" x14ac:dyDescent="0.3">
      <c r="G215" s="4"/>
    </row>
    <row r="216" spans="7:7" x14ac:dyDescent="0.3">
      <c r="G216" s="4"/>
    </row>
    <row r="217" spans="7:7" x14ac:dyDescent="0.3">
      <c r="G217" s="4"/>
    </row>
    <row r="218" spans="7:7" x14ac:dyDescent="0.3">
      <c r="G218" s="4"/>
    </row>
    <row r="219" spans="7:7" x14ac:dyDescent="0.3">
      <c r="G219" s="4"/>
    </row>
    <row r="220" spans="7:7" x14ac:dyDescent="0.3">
      <c r="G220" s="4"/>
    </row>
    <row r="221" spans="7:7" x14ac:dyDescent="0.3">
      <c r="G221" s="4"/>
    </row>
    <row r="222" spans="7:7" x14ac:dyDescent="0.3">
      <c r="G222" s="4"/>
    </row>
    <row r="223" spans="7:7" x14ac:dyDescent="0.3">
      <c r="G223" s="4"/>
    </row>
    <row r="224" spans="7:7" x14ac:dyDescent="0.3">
      <c r="G224" s="4"/>
    </row>
    <row r="225" spans="7:7" x14ac:dyDescent="0.3">
      <c r="G225" s="4"/>
    </row>
    <row r="226" spans="7:7" x14ac:dyDescent="0.3">
      <c r="G226" s="4"/>
    </row>
    <row r="227" spans="7:7" x14ac:dyDescent="0.3">
      <c r="G227" s="4"/>
    </row>
    <row r="228" spans="7:7" x14ac:dyDescent="0.3">
      <c r="G228" s="4"/>
    </row>
    <row r="229" spans="7:7" x14ac:dyDescent="0.3">
      <c r="G229" s="4"/>
    </row>
    <row r="230" spans="7:7" x14ac:dyDescent="0.3">
      <c r="G230" s="4"/>
    </row>
    <row r="231" spans="7:7" x14ac:dyDescent="0.3">
      <c r="G231" s="4"/>
    </row>
    <row r="232" spans="7:7" x14ac:dyDescent="0.3">
      <c r="G232" s="4"/>
    </row>
    <row r="233" spans="7:7" x14ac:dyDescent="0.3">
      <c r="G233" s="4"/>
    </row>
    <row r="234" spans="7:7" x14ac:dyDescent="0.3">
      <c r="G234" s="4"/>
    </row>
    <row r="235" spans="7:7" x14ac:dyDescent="0.3">
      <c r="G235" s="4"/>
    </row>
    <row r="236" spans="7:7" x14ac:dyDescent="0.3">
      <c r="G236" s="4"/>
    </row>
    <row r="237" spans="7:7" x14ac:dyDescent="0.3">
      <c r="G237" s="4"/>
    </row>
    <row r="238" spans="7:7" x14ac:dyDescent="0.3">
      <c r="G238" s="4"/>
    </row>
    <row r="239" spans="7:7" x14ac:dyDescent="0.3">
      <c r="G239" s="4"/>
    </row>
    <row r="240" spans="7:7" x14ac:dyDescent="0.3">
      <c r="G240" s="4"/>
    </row>
    <row r="241" spans="7:7" x14ac:dyDescent="0.3">
      <c r="G241" s="4"/>
    </row>
    <row r="242" spans="7:7" x14ac:dyDescent="0.3">
      <c r="G242" s="4"/>
    </row>
    <row r="243" spans="7:7" x14ac:dyDescent="0.3">
      <c r="G243" s="4"/>
    </row>
    <row r="244" spans="7:7" x14ac:dyDescent="0.3">
      <c r="G244" s="4"/>
    </row>
    <row r="245" spans="7:7" x14ac:dyDescent="0.3">
      <c r="G245" s="4"/>
    </row>
    <row r="246" spans="7:7" x14ac:dyDescent="0.3">
      <c r="G246" s="4"/>
    </row>
    <row r="247" spans="7:7" x14ac:dyDescent="0.3">
      <c r="G247" s="4"/>
    </row>
    <row r="248" spans="7:7" x14ac:dyDescent="0.3">
      <c r="G248" s="4"/>
    </row>
    <row r="249" spans="7:7" x14ac:dyDescent="0.3">
      <c r="G249" s="4"/>
    </row>
    <row r="250" spans="7:7" x14ac:dyDescent="0.3">
      <c r="G250" s="4"/>
    </row>
    <row r="251" spans="7:7" x14ac:dyDescent="0.3">
      <c r="G251" s="4"/>
    </row>
    <row r="252" spans="7:7" x14ac:dyDescent="0.3">
      <c r="G252" s="4"/>
    </row>
    <row r="253" spans="7:7" x14ac:dyDescent="0.3">
      <c r="G253" s="4"/>
    </row>
    <row r="254" spans="7:7" x14ac:dyDescent="0.3">
      <c r="G254" s="4"/>
    </row>
    <row r="255" spans="7:7" x14ac:dyDescent="0.3">
      <c r="G255" s="4"/>
    </row>
    <row r="256" spans="7:7" x14ac:dyDescent="0.3">
      <c r="G256" s="4"/>
    </row>
    <row r="257" spans="7:7" x14ac:dyDescent="0.3">
      <c r="G257" s="4"/>
    </row>
    <row r="258" spans="7:7" x14ac:dyDescent="0.3">
      <c r="G258" s="4"/>
    </row>
    <row r="259" spans="7:7" x14ac:dyDescent="0.3">
      <c r="G259" s="4"/>
    </row>
    <row r="260" spans="7:7" x14ac:dyDescent="0.3">
      <c r="G260" s="4"/>
    </row>
    <row r="261" spans="7:7" x14ac:dyDescent="0.3">
      <c r="G261" s="4"/>
    </row>
    <row r="262" spans="7:7" x14ac:dyDescent="0.3">
      <c r="G262" s="4"/>
    </row>
    <row r="263" spans="7:7" x14ac:dyDescent="0.3">
      <c r="G263" s="4"/>
    </row>
    <row r="264" spans="7:7" x14ac:dyDescent="0.3">
      <c r="G264" s="4"/>
    </row>
    <row r="265" spans="7:7" x14ac:dyDescent="0.3">
      <c r="G265" s="4"/>
    </row>
    <row r="266" spans="7:7" x14ac:dyDescent="0.3">
      <c r="G266" s="4"/>
    </row>
    <row r="267" spans="7:7" x14ac:dyDescent="0.3">
      <c r="G267" s="4"/>
    </row>
    <row r="268" spans="7:7" x14ac:dyDescent="0.3">
      <c r="G268" s="4"/>
    </row>
    <row r="269" spans="7:7" x14ac:dyDescent="0.3">
      <c r="G269" s="4"/>
    </row>
    <row r="270" spans="7:7" x14ac:dyDescent="0.3">
      <c r="G270" s="4"/>
    </row>
    <row r="271" spans="7:7" x14ac:dyDescent="0.3">
      <c r="G271" s="4"/>
    </row>
    <row r="272" spans="7:7" x14ac:dyDescent="0.3">
      <c r="G272" s="4"/>
    </row>
    <row r="273" spans="7:7" x14ac:dyDescent="0.3">
      <c r="G273" s="4"/>
    </row>
    <row r="274" spans="7:7" x14ac:dyDescent="0.3">
      <c r="G274" s="4"/>
    </row>
    <row r="275" spans="7:7" x14ac:dyDescent="0.3">
      <c r="G275" s="4"/>
    </row>
    <row r="276" spans="7:7" x14ac:dyDescent="0.3">
      <c r="G276" s="4"/>
    </row>
    <row r="277" spans="7:7" x14ac:dyDescent="0.3">
      <c r="G277" s="4"/>
    </row>
    <row r="278" spans="7:7" x14ac:dyDescent="0.3">
      <c r="G278" s="4"/>
    </row>
    <row r="279" spans="7:7" x14ac:dyDescent="0.3">
      <c r="G279" s="4"/>
    </row>
    <row r="280" spans="7:7" x14ac:dyDescent="0.3">
      <c r="G280" s="4"/>
    </row>
    <row r="281" spans="7:7" x14ac:dyDescent="0.3">
      <c r="G281" s="4"/>
    </row>
    <row r="282" spans="7:7" x14ac:dyDescent="0.3">
      <c r="G282" s="4"/>
    </row>
    <row r="283" spans="7:7" x14ac:dyDescent="0.3">
      <c r="G283" s="4"/>
    </row>
    <row r="284" spans="7:7" x14ac:dyDescent="0.3">
      <c r="G284" s="4"/>
    </row>
    <row r="285" spans="7:7" x14ac:dyDescent="0.3">
      <c r="G285" s="4"/>
    </row>
    <row r="286" spans="7:7" x14ac:dyDescent="0.3">
      <c r="G286" s="4"/>
    </row>
    <row r="287" spans="7:7" x14ac:dyDescent="0.3">
      <c r="G287" s="4"/>
    </row>
    <row r="288" spans="7:7" x14ac:dyDescent="0.3">
      <c r="G288" s="4"/>
    </row>
    <row r="289" spans="7:7" x14ac:dyDescent="0.3">
      <c r="G289" s="4"/>
    </row>
    <row r="290" spans="7:7" x14ac:dyDescent="0.3">
      <c r="G290" s="4"/>
    </row>
    <row r="291" spans="7:7" x14ac:dyDescent="0.3">
      <c r="G291" s="4"/>
    </row>
    <row r="292" spans="7:7" x14ac:dyDescent="0.3">
      <c r="G292" s="4"/>
    </row>
    <row r="293" spans="7:7" x14ac:dyDescent="0.3">
      <c r="G293" s="4"/>
    </row>
    <row r="294" spans="7:7" x14ac:dyDescent="0.3">
      <c r="G294" s="4"/>
    </row>
    <row r="295" spans="7:7" x14ac:dyDescent="0.3">
      <c r="G295" s="4"/>
    </row>
    <row r="296" spans="7:7" x14ac:dyDescent="0.3">
      <c r="G296" s="4"/>
    </row>
    <row r="297" spans="7:7" x14ac:dyDescent="0.3">
      <c r="G297" s="4"/>
    </row>
    <row r="298" spans="7:7" x14ac:dyDescent="0.3">
      <c r="G298" s="4"/>
    </row>
    <row r="299" spans="7:7" x14ac:dyDescent="0.3">
      <c r="G299" s="4"/>
    </row>
    <row r="300" spans="7:7" x14ac:dyDescent="0.3">
      <c r="G300" s="4"/>
    </row>
    <row r="301" spans="7:7" x14ac:dyDescent="0.3">
      <c r="G301" s="4"/>
    </row>
    <row r="302" spans="7:7" x14ac:dyDescent="0.3">
      <c r="G302" s="4"/>
    </row>
    <row r="303" spans="7:7" x14ac:dyDescent="0.3">
      <c r="G303" s="4"/>
    </row>
    <row r="304" spans="7:7" x14ac:dyDescent="0.3">
      <c r="G304" s="4"/>
    </row>
    <row r="305" spans="7:7" x14ac:dyDescent="0.3">
      <c r="G305" s="4"/>
    </row>
    <row r="306" spans="7:7" x14ac:dyDescent="0.3">
      <c r="G306" s="4"/>
    </row>
    <row r="307" spans="7:7" x14ac:dyDescent="0.3">
      <c r="G307" s="4"/>
    </row>
    <row r="308" spans="7:7" x14ac:dyDescent="0.3">
      <c r="G308" s="4"/>
    </row>
    <row r="309" spans="7:7" x14ac:dyDescent="0.3">
      <c r="G309" s="4"/>
    </row>
    <row r="310" spans="7:7" x14ac:dyDescent="0.3">
      <c r="G310" s="4"/>
    </row>
    <row r="311" spans="7:7" x14ac:dyDescent="0.3">
      <c r="G311" s="4"/>
    </row>
    <row r="312" spans="7:7" x14ac:dyDescent="0.3">
      <c r="G312" s="4"/>
    </row>
    <row r="313" spans="7:7" x14ac:dyDescent="0.3">
      <c r="G313" s="4"/>
    </row>
    <row r="314" spans="7:7" x14ac:dyDescent="0.3">
      <c r="G314" s="4"/>
    </row>
    <row r="315" spans="7:7" x14ac:dyDescent="0.3">
      <c r="G315" s="4"/>
    </row>
    <row r="316" spans="7:7" x14ac:dyDescent="0.3">
      <c r="G316" s="4"/>
    </row>
    <row r="317" spans="7:7" x14ac:dyDescent="0.3">
      <c r="G317" s="4"/>
    </row>
    <row r="318" spans="7:7" x14ac:dyDescent="0.3">
      <c r="G318" s="4"/>
    </row>
    <row r="319" spans="7:7" x14ac:dyDescent="0.3">
      <c r="G319" s="4"/>
    </row>
    <row r="320" spans="7:7" x14ac:dyDescent="0.3">
      <c r="G320" s="4"/>
    </row>
    <row r="321" spans="7:7" x14ac:dyDescent="0.3">
      <c r="G321" s="4"/>
    </row>
    <row r="322" spans="7:7" x14ac:dyDescent="0.3">
      <c r="G322" s="4"/>
    </row>
    <row r="323" spans="7:7" x14ac:dyDescent="0.3">
      <c r="G323" s="4"/>
    </row>
    <row r="324" spans="7:7" x14ac:dyDescent="0.3">
      <c r="G324" s="4"/>
    </row>
    <row r="325" spans="7:7" x14ac:dyDescent="0.3">
      <c r="G325" s="4"/>
    </row>
    <row r="326" spans="7:7" x14ac:dyDescent="0.3">
      <c r="G326" s="4"/>
    </row>
    <row r="327" spans="7:7" x14ac:dyDescent="0.3">
      <c r="G327" s="4"/>
    </row>
    <row r="328" spans="7:7" x14ac:dyDescent="0.3">
      <c r="G328" s="4"/>
    </row>
    <row r="329" spans="7:7" x14ac:dyDescent="0.3">
      <c r="G329" s="4"/>
    </row>
    <row r="330" spans="7:7" x14ac:dyDescent="0.3">
      <c r="G330" s="4"/>
    </row>
    <row r="331" spans="7:7" x14ac:dyDescent="0.3">
      <c r="G331" s="4"/>
    </row>
    <row r="332" spans="7:7" x14ac:dyDescent="0.3">
      <c r="G332" s="4"/>
    </row>
    <row r="333" spans="7:7" x14ac:dyDescent="0.3">
      <c r="G333" s="4"/>
    </row>
    <row r="334" spans="7:7" x14ac:dyDescent="0.3">
      <c r="G334" s="4"/>
    </row>
    <row r="335" spans="7:7" x14ac:dyDescent="0.3">
      <c r="G335" s="4"/>
    </row>
    <row r="336" spans="7:7" x14ac:dyDescent="0.3">
      <c r="G336" s="4"/>
    </row>
    <row r="337" spans="7:7" x14ac:dyDescent="0.3">
      <c r="G337" s="4"/>
    </row>
    <row r="338" spans="7:7" x14ac:dyDescent="0.3">
      <c r="G338" s="4"/>
    </row>
    <row r="339" spans="7:7" x14ac:dyDescent="0.3">
      <c r="G339" s="4"/>
    </row>
    <row r="340" spans="7:7" x14ac:dyDescent="0.3">
      <c r="G340" s="4"/>
    </row>
    <row r="341" spans="7:7" x14ac:dyDescent="0.3">
      <c r="G341" s="4"/>
    </row>
    <row r="342" spans="7:7" x14ac:dyDescent="0.3">
      <c r="G342" s="4"/>
    </row>
    <row r="343" spans="7:7" x14ac:dyDescent="0.3">
      <c r="G343" s="4"/>
    </row>
    <row r="344" spans="7:7" x14ac:dyDescent="0.3">
      <c r="G344" s="4"/>
    </row>
    <row r="345" spans="7:7" x14ac:dyDescent="0.3">
      <c r="G345" s="4"/>
    </row>
    <row r="346" spans="7:7" x14ac:dyDescent="0.3">
      <c r="G346" s="4"/>
    </row>
    <row r="347" spans="7:7" x14ac:dyDescent="0.3">
      <c r="G347" s="4"/>
    </row>
    <row r="348" spans="7:7" x14ac:dyDescent="0.3">
      <c r="G348" s="4"/>
    </row>
    <row r="349" spans="7:7" x14ac:dyDescent="0.3">
      <c r="G349" s="4"/>
    </row>
    <row r="350" spans="7:7" x14ac:dyDescent="0.3">
      <c r="G350" s="4"/>
    </row>
    <row r="351" spans="7:7" x14ac:dyDescent="0.3">
      <c r="G351" s="4"/>
    </row>
    <row r="352" spans="7:7" x14ac:dyDescent="0.3">
      <c r="G352" s="4"/>
    </row>
    <row r="353" spans="7:7" x14ac:dyDescent="0.3">
      <c r="G353" s="4"/>
    </row>
    <row r="354" spans="7:7" x14ac:dyDescent="0.3">
      <c r="G354" s="4"/>
    </row>
    <row r="355" spans="7:7" x14ac:dyDescent="0.3">
      <c r="G355" s="4"/>
    </row>
    <row r="356" spans="7:7" x14ac:dyDescent="0.3">
      <c r="G356" s="4"/>
    </row>
    <row r="357" spans="7:7" x14ac:dyDescent="0.3">
      <c r="G357" s="4"/>
    </row>
    <row r="358" spans="7:7" x14ac:dyDescent="0.3">
      <c r="G358" s="4"/>
    </row>
    <row r="359" spans="7:7" x14ac:dyDescent="0.3">
      <c r="G359" s="4"/>
    </row>
    <row r="360" spans="7:7" x14ac:dyDescent="0.3">
      <c r="G360" s="4"/>
    </row>
    <row r="361" spans="7:7" x14ac:dyDescent="0.3">
      <c r="G361" s="4"/>
    </row>
    <row r="362" spans="7:7" x14ac:dyDescent="0.3">
      <c r="G362" s="4"/>
    </row>
    <row r="363" spans="7:7" x14ac:dyDescent="0.3">
      <c r="G363" s="4"/>
    </row>
    <row r="364" spans="7:7" x14ac:dyDescent="0.3">
      <c r="G364" s="4"/>
    </row>
    <row r="365" spans="7:7" x14ac:dyDescent="0.3">
      <c r="G365" s="4"/>
    </row>
    <row r="366" spans="7:7" x14ac:dyDescent="0.3">
      <c r="G366" s="4"/>
    </row>
    <row r="367" spans="7:7" x14ac:dyDescent="0.3">
      <c r="G367" s="4"/>
    </row>
    <row r="368" spans="7:7" x14ac:dyDescent="0.3">
      <c r="G368" s="4"/>
    </row>
    <row r="369" spans="7:7" x14ac:dyDescent="0.3">
      <c r="G369" s="4"/>
    </row>
    <row r="370" spans="7:7" x14ac:dyDescent="0.3">
      <c r="G370" s="4"/>
    </row>
    <row r="371" spans="7:7" x14ac:dyDescent="0.3">
      <c r="G371" s="4"/>
    </row>
    <row r="372" spans="7:7" x14ac:dyDescent="0.3">
      <c r="G372" s="4"/>
    </row>
    <row r="373" spans="7:7" x14ac:dyDescent="0.3">
      <c r="G373" s="4"/>
    </row>
    <row r="374" spans="7:7" x14ac:dyDescent="0.3">
      <c r="G374" s="4"/>
    </row>
    <row r="375" spans="7:7" x14ac:dyDescent="0.3">
      <c r="G375" s="4"/>
    </row>
    <row r="376" spans="7:7" x14ac:dyDescent="0.3">
      <c r="G376" s="4"/>
    </row>
    <row r="377" spans="7:7" x14ac:dyDescent="0.3">
      <c r="G377" s="4"/>
    </row>
    <row r="378" spans="7:7" x14ac:dyDescent="0.3">
      <c r="G378" s="4"/>
    </row>
    <row r="379" spans="7:7" x14ac:dyDescent="0.3">
      <c r="G379" s="4"/>
    </row>
    <row r="380" spans="7:7" x14ac:dyDescent="0.3">
      <c r="G380" s="4"/>
    </row>
    <row r="381" spans="7:7" x14ac:dyDescent="0.3">
      <c r="G381" s="4"/>
    </row>
    <row r="382" spans="7:7" x14ac:dyDescent="0.3">
      <c r="G382" s="4"/>
    </row>
    <row r="383" spans="7:7" x14ac:dyDescent="0.3">
      <c r="G383" s="4"/>
    </row>
    <row r="384" spans="7:7" x14ac:dyDescent="0.3">
      <c r="G384" s="4"/>
    </row>
    <row r="385" spans="7:7" x14ac:dyDescent="0.3">
      <c r="G385" s="4"/>
    </row>
    <row r="386" spans="7:7" x14ac:dyDescent="0.3">
      <c r="G386" s="4"/>
    </row>
    <row r="387" spans="7:7" x14ac:dyDescent="0.3">
      <c r="G387" s="4"/>
    </row>
    <row r="388" spans="7:7" x14ac:dyDescent="0.3">
      <c r="G388" s="4"/>
    </row>
    <row r="389" spans="7:7" x14ac:dyDescent="0.3">
      <c r="G389" s="4"/>
    </row>
    <row r="390" spans="7:7" x14ac:dyDescent="0.3">
      <c r="G390" s="4"/>
    </row>
    <row r="391" spans="7:7" x14ac:dyDescent="0.3">
      <c r="G391" s="4"/>
    </row>
    <row r="392" spans="7:7" x14ac:dyDescent="0.3">
      <c r="G392" s="4"/>
    </row>
    <row r="393" spans="7:7" x14ac:dyDescent="0.3">
      <c r="G393" s="4"/>
    </row>
    <row r="394" spans="7:7" x14ac:dyDescent="0.3">
      <c r="G394" s="4"/>
    </row>
    <row r="395" spans="7:7" x14ac:dyDescent="0.3">
      <c r="G395" s="4"/>
    </row>
    <row r="396" spans="7:7" x14ac:dyDescent="0.3">
      <c r="G396" s="4"/>
    </row>
    <row r="397" spans="7:7" x14ac:dyDescent="0.3">
      <c r="G397" s="4"/>
    </row>
    <row r="398" spans="7:7" x14ac:dyDescent="0.3">
      <c r="G398" s="4"/>
    </row>
    <row r="399" spans="7:7" x14ac:dyDescent="0.3">
      <c r="G399" s="4"/>
    </row>
    <row r="400" spans="7:7" x14ac:dyDescent="0.3">
      <c r="G400" s="4"/>
    </row>
    <row r="401" spans="7:7" x14ac:dyDescent="0.3">
      <c r="G401" s="4"/>
    </row>
    <row r="402" spans="7:7" x14ac:dyDescent="0.3">
      <c r="G402" s="4"/>
    </row>
    <row r="403" spans="7:7" x14ac:dyDescent="0.3">
      <c r="G403" s="4"/>
    </row>
    <row r="404" spans="7:7" x14ac:dyDescent="0.3">
      <c r="G404" s="4"/>
    </row>
    <row r="405" spans="7:7" x14ac:dyDescent="0.3">
      <c r="G405" s="4"/>
    </row>
    <row r="406" spans="7:7" x14ac:dyDescent="0.3">
      <c r="G406" s="4"/>
    </row>
    <row r="407" spans="7:7" x14ac:dyDescent="0.3">
      <c r="G407" s="4"/>
    </row>
    <row r="408" spans="7:7" x14ac:dyDescent="0.3">
      <c r="G408" s="4"/>
    </row>
    <row r="409" spans="7:7" x14ac:dyDescent="0.3">
      <c r="G409" s="4"/>
    </row>
    <row r="410" spans="7:7" x14ac:dyDescent="0.3">
      <c r="G410" s="4"/>
    </row>
    <row r="411" spans="7:7" x14ac:dyDescent="0.3">
      <c r="G411" s="4"/>
    </row>
    <row r="412" spans="7:7" x14ac:dyDescent="0.3">
      <c r="G412" s="4"/>
    </row>
    <row r="413" spans="7:7" x14ac:dyDescent="0.3">
      <c r="G413" s="4"/>
    </row>
    <row r="414" spans="7:7" x14ac:dyDescent="0.3">
      <c r="G414" s="4"/>
    </row>
    <row r="415" spans="7:7" x14ac:dyDescent="0.3">
      <c r="G415" s="4"/>
    </row>
    <row r="416" spans="7:7" x14ac:dyDescent="0.3">
      <c r="G416" s="4"/>
    </row>
    <row r="417" spans="7:7" x14ac:dyDescent="0.3">
      <c r="G417" s="4"/>
    </row>
    <row r="418" spans="7:7" x14ac:dyDescent="0.3">
      <c r="G418" s="4"/>
    </row>
    <row r="419" spans="7:7" x14ac:dyDescent="0.3">
      <c r="G419" s="4"/>
    </row>
    <row r="420" spans="7:7" x14ac:dyDescent="0.3">
      <c r="G420" s="4"/>
    </row>
    <row r="421" spans="7:7" x14ac:dyDescent="0.3">
      <c r="G421" s="4"/>
    </row>
    <row r="422" spans="7:7" x14ac:dyDescent="0.3">
      <c r="G422" s="4"/>
    </row>
    <row r="423" spans="7:7" x14ac:dyDescent="0.3">
      <c r="G423" s="4"/>
    </row>
    <row r="424" spans="7:7" x14ac:dyDescent="0.3">
      <c r="G424" s="4"/>
    </row>
    <row r="425" spans="7:7" x14ac:dyDescent="0.3">
      <c r="G425" s="4"/>
    </row>
    <row r="426" spans="7:7" x14ac:dyDescent="0.3">
      <c r="G426" s="4"/>
    </row>
    <row r="427" spans="7:7" x14ac:dyDescent="0.3">
      <c r="G427" s="4"/>
    </row>
    <row r="428" spans="7:7" x14ac:dyDescent="0.3">
      <c r="G428" s="4"/>
    </row>
    <row r="429" spans="7:7" x14ac:dyDescent="0.3">
      <c r="G429" s="4"/>
    </row>
    <row r="430" spans="7:7" x14ac:dyDescent="0.3">
      <c r="G430" s="4"/>
    </row>
    <row r="431" spans="7:7" x14ac:dyDescent="0.3">
      <c r="G431" s="4"/>
    </row>
    <row r="432" spans="7:7" x14ac:dyDescent="0.3">
      <c r="G432" s="4"/>
    </row>
    <row r="433" spans="7:7" x14ac:dyDescent="0.3">
      <c r="G433" s="4"/>
    </row>
    <row r="434" spans="7:7" x14ac:dyDescent="0.3">
      <c r="G434" s="4"/>
    </row>
    <row r="435" spans="7:7" x14ac:dyDescent="0.3">
      <c r="G435" s="4"/>
    </row>
    <row r="436" spans="7:7" x14ac:dyDescent="0.3">
      <c r="G436" s="4"/>
    </row>
    <row r="437" spans="7:7" x14ac:dyDescent="0.3">
      <c r="G437" s="4"/>
    </row>
    <row r="438" spans="7:7" x14ac:dyDescent="0.3">
      <c r="G438" s="4"/>
    </row>
    <row r="439" spans="7:7" x14ac:dyDescent="0.3">
      <c r="G439" s="4"/>
    </row>
    <row r="440" spans="7:7" x14ac:dyDescent="0.3">
      <c r="G440" s="4"/>
    </row>
    <row r="441" spans="7:7" x14ac:dyDescent="0.3">
      <c r="G441" s="4"/>
    </row>
    <row r="442" spans="7:7" x14ac:dyDescent="0.3">
      <c r="G442" s="4"/>
    </row>
    <row r="443" spans="7:7" x14ac:dyDescent="0.3">
      <c r="G443" s="4"/>
    </row>
    <row r="444" spans="7:7" x14ac:dyDescent="0.3">
      <c r="G444" s="4"/>
    </row>
    <row r="445" spans="7:7" x14ac:dyDescent="0.3">
      <c r="G445" s="4"/>
    </row>
    <row r="446" spans="7:7" x14ac:dyDescent="0.3">
      <c r="G446" s="4"/>
    </row>
    <row r="447" spans="7:7" x14ac:dyDescent="0.3">
      <c r="G447" s="4"/>
    </row>
    <row r="448" spans="7:7" x14ac:dyDescent="0.3">
      <c r="G448" s="4"/>
    </row>
    <row r="449" spans="7:7" x14ac:dyDescent="0.3">
      <c r="G449" s="4"/>
    </row>
    <row r="450" spans="7:7" x14ac:dyDescent="0.3">
      <c r="G450" s="4"/>
    </row>
    <row r="451" spans="7:7" x14ac:dyDescent="0.3">
      <c r="G451" s="4"/>
    </row>
    <row r="452" spans="7:7" x14ac:dyDescent="0.3">
      <c r="G452" s="4"/>
    </row>
    <row r="453" spans="7:7" x14ac:dyDescent="0.3">
      <c r="G453" s="4"/>
    </row>
    <row r="454" spans="7:7" x14ac:dyDescent="0.3">
      <c r="G454" s="4"/>
    </row>
    <row r="455" spans="7:7" x14ac:dyDescent="0.3">
      <c r="G455" s="4"/>
    </row>
    <row r="456" spans="7:7" x14ac:dyDescent="0.3">
      <c r="G456" s="4"/>
    </row>
    <row r="457" spans="7:7" x14ac:dyDescent="0.3">
      <c r="G457" s="4"/>
    </row>
    <row r="458" spans="7:7" x14ac:dyDescent="0.3">
      <c r="G458" s="4"/>
    </row>
    <row r="459" spans="7:7" x14ac:dyDescent="0.3">
      <c r="G459" s="4"/>
    </row>
    <row r="460" spans="7:7" x14ac:dyDescent="0.3">
      <c r="G460" s="4"/>
    </row>
    <row r="461" spans="7:7" x14ac:dyDescent="0.3">
      <c r="G461" s="4"/>
    </row>
    <row r="462" spans="7:7" x14ac:dyDescent="0.3">
      <c r="G462" s="4"/>
    </row>
    <row r="463" spans="7:7" x14ac:dyDescent="0.3">
      <c r="G463" s="4"/>
    </row>
    <row r="464" spans="7:7" x14ac:dyDescent="0.3">
      <c r="G464" s="4"/>
    </row>
    <row r="465" spans="7:7" x14ac:dyDescent="0.3">
      <c r="G465" s="4"/>
    </row>
    <row r="466" spans="7:7" x14ac:dyDescent="0.3">
      <c r="G466" s="4"/>
    </row>
    <row r="467" spans="7:7" x14ac:dyDescent="0.3">
      <c r="G467" s="4"/>
    </row>
    <row r="468" spans="7:7" x14ac:dyDescent="0.3">
      <c r="G468" s="4"/>
    </row>
    <row r="469" spans="7:7" x14ac:dyDescent="0.3">
      <c r="G469" s="4"/>
    </row>
    <row r="470" spans="7:7" x14ac:dyDescent="0.3">
      <c r="G470" s="4"/>
    </row>
    <row r="471" spans="7:7" x14ac:dyDescent="0.3">
      <c r="G471" s="4"/>
    </row>
    <row r="472" spans="7:7" x14ac:dyDescent="0.3">
      <c r="G472" s="4"/>
    </row>
    <row r="473" spans="7:7" x14ac:dyDescent="0.3">
      <c r="G473" s="4"/>
    </row>
    <row r="474" spans="7:7" x14ac:dyDescent="0.3">
      <c r="G474" s="4"/>
    </row>
    <row r="475" spans="7:7" x14ac:dyDescent="0.3">
      <c r="G475" s="4"/>
    </row>
    <row r="476" spans="7:7" x14ac:dyDescent="0.3">
      <c r="G476" s="4"/>
    </row>
    <row r="477" spans="7:7" x14ac:dyDescent="0.3">
      <c r="G477" s="4"/>
    </row>
    <row r="478" spans="7:7" x14ac:dyDescent="0.3">
      <c r="G478" s="4"/>
    </row>
    <row r="479" spans="7:7" x14ac:dyDescent="0.3">
      <c r="G479" s="4"/>
    </row>
    <row r="480" spans="7:7" x14ac:dyDescent="0.3">
      <c r="G480" s="4"/>
    </row>
    <row r="481" spans="7:7" x14ac:dyDescent="0.3">
      <c r="G481" s="4"/>
    </row>
    <row r="482" spans="7:7" x14ac:dyDescent="0.3">
      <c r="G482" s="4"/>
    </row>
    <row r="483" spans="7:7" x14ac:dyDescent="0.3">
      <c r="G483" s="4"/>
    </row>
    <row r="484" spans="7:7" x14ac:dyDescent="0.3">
      <c r="G484" s="4"/>
    </row>
    <row r="485" spans="7:7" x14ac:dyDescent="0.3">
      <c r="G485" s="4"/>
    </row>
    <row r="486" spans="7:7" x14ac:dyDescent="0.3">
      <c r="G486" s="4"/>
    </row>
    <row r="487" spans="7:7" x14ac:dyDescent="0.3">
      <c r="G487" s="4"/>
    </row>
    <row r="488" spans="7:7" x14ac:dyDescent="0.3">
      <c r="G488" s="4"/>
    </row>
    <row r="489" spans="7:7" x14ac:dyDescent="0.3">
      <c r="G489" s="4"/>
    </row>
    <row r="490" spans="7:7" x14ac:dyDescent="0.3">
      <c r="G490" s="4"/>
    </row>
    <row r="491" spans="7:7" x14ac:dyDescent="0.3">
      <c r="G491" s="4"/>
    </row>
    <row r="492" spans="7:7" x14ac:dyDescent="0.3">
      <c r="G492" s="4"/>
    </row>
    <row r="493" spans="7:7" x14ac:dyDescent="0.3">
      <c r="G493" s="4"/>
    </row>
    <row r="494" spans="7:7" x14ac:dyDescent="0.3">
      <c r="G494" s="4"/>
    </row>
    <row r="495" spans="7:7" x14ac:dyDescent="0.3">
      <c r="G495" s="4"/>
    </row>
    <row r="496" spans="7:7" x14ac:dyDescent="0.3">
      <c r="G496" s="4"/>
    </row>
    <row r="497" spans="7:7" x14ac:dyDescent="0.3">
      <c r="G497" s="4"/>
    </row>
    <row r="498" spans="7:7" x14ac:dyDescent="0.3">
      <c r="G498" s="4"/>
    </row>
    <row r="499" spans="7:7" x14ac:dyDescent="0.3">
      <c r="G499" s="4"/>
    </row>
    <row r="500" spans="7:7" x14ac:dyDescent="0.3">
      <c r="G500" s="4"/>
    </row>
    <row r="501" spans="7:7" x14ac:dyDescent="0.3">
      <c r="G501" s="4"/>
    </row>
    <row r="502" spans="7:7" x14ac:dyDescent="0.3">
      <c r="G502" s="4"/>
    </row>
    <row r="503" spans="7:7" x14ac:dyDescent="0.3">
      <c r="G503" s="4"/>
    </row>
    <row r="504" spans="7:7" x14ac:dyDescent="0.3">
      <c r="G504" s="4"/>
    </row>
    <row r="505" spans="7:7" x14ac:dyDescent="0.3">
      <c r="G505" s="4"/>
    </row>
    <row r="506" spans="7:7" x14ac:dyDescent="0.3">
      <c r="G506" s="4"/>
    </row>
    <row r="507" spans="7:7" x14ac:dyDescent="0.3">
      <c r="G507" s="4"/>
    </row>
    <row r="508" spans="7:7" x14ac:dyDescent="0.3">
      <c r="G508" s="4"/>
    </row>
    <row r="509" spans="7:7" x14ac:dyDescent="0.3">
      <c r="G509" s="4"/>
    </row>
    <row r="510" spans="7:7" x14ac:dyDescent="0.3">
      <c r="G510" s="4"/>
    </row>
    <row r="511" spans="7:7" x14ac:dyDescent="0.3">
      <c r="G511" s="4"/>
    </row>
    <row r="512" spans="7:7" x14ac:dyDescent="0.3">
      <c r="G512" s="4"/>
    </row>
    <row r="513" spans="7:7" x14ac:dyDescent="0.3">
      <c r="G513" s="4"/>
    </row>
    <row r="514" spans="7:7" x14ac:dyDescent="0.3">
      <c r="G514" s="4"/>
    </row>
    <row r="515" spans="7:7" x14ac:dyDescent="0.3">
      <c r="G515" s="4"/>
    </row>
    <row r="516" spans="7:7" x14ac:dyDescent="0.3">
      <c r="G516" s="4"/>
    </row>
    <row r="517" spans="7:7" x14ac:dyDescent="0.3">
      <c r="G517" s="4"/>
    </row>
    <row r="518" spans="7:7" x14ac:dyDescent="0.3">
      <c r="G518" s="4"/>
    </row>
    <row r="519" spans="7:7" x14ac:dyDescent="0.3">
      <c r="G519" s="4"/>
    </row>
    <row r="520" spans="7:7" x14ac:dyDescent="0.3">
      <c r="G520" s="4"/>
    </row>
    <row r="521" spans="7:7" x14ac:dyDescent="0.3">
      <c r="G521" s="4"/>
    </row>
    <row r="522" spans="7:7" x14ac:dyDescent="0.3">
      <c r="G522" s="4"/>
    </row>
    <row r="523" spans="7:7" x14ac:dyDescent="0.3">
      <c r="G523" s="4"/>
    </row>
    <row r="524" spans="7:7" x14ac:dyDescent="0.3">
      <c r="G524" s="4"/>
    </row>
    <row r="525" spans="7:7" x14ac:dyDescent="0.3">
      <c r="G525" s="4"/>
    </row>
    <row r="526" spans="7:7" x14ac:dyDescent="0.3">
      <c r="G526" s="4"/>
    </row>
    <row r="527" spans="7:7" x14ac:dyDescent="0.3">
      <c r="G527" s="4"/>
    </row>
    <row r="528" spans="7:7" x14ac:dyDescent="0.3">
      <c r="G528" s="4"/>
    </row>
    <row r="529" spans="7:7" x14ac:dyDescent="0.3">
      <c r="G529" s="4"/>
    </row>
    <row r="530" spans="7:7" x14ac:dyDescent="0.3">
      <c r="G530" s="4"/>
    </row>
    <row r="531" spans="7:7" x14ac:dyDescent="0.3">
      <c r="G531" s="4"/>
    </row>
    <row r="532" spans="7:7" x14ac:dyDescent="0.3">
      <c r="G532" s="4"/>
    </row>
    <row r="533" spans="7:7" x14ac:dyDescent="0.3">
      <c r="G533" s="4"/>
    </row>
    <row r="534" spans="7:7" x14ac:dyDescent="0.3">
      <c r="G534" s="4"/>
    </row>
    <row r="535" spans="7:7" x14ac:dyDescent="0.3">
      <c r="G535" s="4"/>
    </row>
    <row r="536" spans="7:7" x14ac:dyDescent="0.3">
      <c r="G536" s="4"/>
    </row>
    <row r="537" spans="7:7" x14ac:dyDescent="0.3">
      <c r="G537" s="4"/>
    </row>
    <row r="538" spans="7:7" x14ac:dyDescent="0.3">
      <c r="G538" s="4"/>
    </row>
    <row r="539" spans="7:7" x14ac:dyDescent="0.3">
      <c r="G539" s="4"/>
    </row>
    <row r="540" spans="7:7" x14ac:dyDescent="0.3">
      <c r="G540" s="4"/>
    </row>
    <row r="541" spans="7:7" x14ac:dyDescent="0.3">
      <c r="G541" s="4"/>
    </row>
    <row r="542" spans="7:7" x14ac:dyDescent="0.3">
      <c r="G542" s="4"/>
    </row>
    <row r="543" spans="7:7" x14ac:dyDescent="0.3">
      <c r="G543" s="4"/>
    </row>
    <row r="544" spans="7:7" x14ac:dyDescent="0.3">
      <c r="G544" s="4"/>
    </row>
    <row r="545" spans="7:7" x14ac:dyDescent="0.3">
      <c r="G545" s="4"/>
    </row>
    <row r="546" spans="7:7" x14ac:dyDescent="0.3">
      <c r="G546" s="4"/>
    </row>
    <row r="547" spans="7:7" x14ac:dyDescent="0.3">
      <c r="G547" s="4"/>
    </row>
    <row r="548" spans="7:7" x14ac:dyDescent="0.3">
      <c r="G548" s="4"/>
    </row>
    <row r="549" spans="7:7" x14ac:dyDescent="0.3">
      <c r="G549" s="4"/>
    </row>
    <row r="550" spans="7:7" x14ac:dyDescent="0.3">
      <c r="G550" s="4"/>
    </row>
    <row r="551" spans="7:7" x14ac:dyDescent="0.3">
      <c r="G551" s="4"/>
    </row>
    <row r="552" spans="7:7" x14ac:dyDescent="0.3">
      <c r="G552" s="4"/>
    </row>
    <row r="553" spans="7:7" x14ac:dyDescent="0.3">
      <c r="G553" s="4"/>
    </row>
    <row r="554" spans="7:7" x14ac:dyDescent="0.3">
      <c r="G554" s="4"/>
    </row>
    <row r="555" spans="7:7" x14ac:dyDescent="0.3">
      <c r="G555" s="4"/>
    </row>
    <row r="556" spans="7:7" x14ac:dyDescent="0.3">
      <c r="G556" s="4"/>
    </row>
    <row r="557" spans="7:7" x14ac:dyDescent="0.3">
      <c r="G557" s="4"/>
    </row>
    <row r="558" spans="7:7" x14ac:dyDescent="0.3">
      <c r="G558" s="4"/>
    </row>
    <row r="559" spans="7:7" x14ac:dyDescent="0.3">
      <c r="G559" s="4"/>
    </row>
    <row r="560" spans="7:7" x14ac:dyDescent="0.3">
      <c r="G560" s="4"/>
    </row>
    <row r="561" spans="7:7" x14ac:dyDescent="0.3">
      <c r="G561" s="4"/>
    </row>
    <row r="562" spans="7:7" x14ac:dyDescent="0.3">
      <c r="G562" s="4"/>
    </row>
    <row r="563" spans="7:7" x14ac:dyDescent="0.3">
      <c r="G563" s="4"/>
    </row>
    <row r="564" spans="7:7" x14ac:dyDescent="0.3">
      <c r="G564" s="4"/>
    </row>
    <row r="565" spans="7:7" x14ac:dyDescent="0.3">
      <c r="G565" s="4"/>
    </row>
    <row r="566" spans="7:7" x14ac:dyDescent="0.3">
      <c r="G566" s="4"/>
    </row>
    <row r="567" spans="7:7" x14ac:dyDescent="0.3">
      <c r="G567" s="4"/>
    </row>
    <row r="568" spans="7:7" x14ac:dyDescent="0.3">
      <c r="G568" s="4"/>
    </row>
    <row r="569" spans="7:7" x14ac:dyDescent="0.3">
      <c r="G569" s="4"/>
    </row>
    <row r="570" spans="7:7" x14ac:dyDescent="0.3">
      <c r="G570" s="4"/>
    </row>
    <row r="571" spans="7:7" x14ac:dyDescent="0.3">
      <c r="G571" s="4"/>
    </row>
    <row r="572" spans="7:7" x14ac:dyDescent="0.3">
      <c r="G572" s="4"/>
    </row>
    <row r="573" spans="7:7" x14ac:dyDescent="0.3">
      <c r="G573" s="4"/>
    </row>
    <row r="574" spans="7:7" x14ac:dyDescent="0.3">
      <c r="G574" s="4"/>
    </row>
    <row r="575" spans="7:7" x14ac:dyDescent="0.3">
      <c r="G575" s="4"/>
    </row>
    <row r="576" spans="7:7" x14ac:dyDescent="0.3">
      <c r="G576" s="4"/>
    </row>
    <row r="577" spans="7:7" x14ac:dyDescent="0.3">
      <c r="G577" s="4"/>
    </row>
    <row r="578" spans="7:7" x14ac:dyDescent="0.3">
      <c r="G578" s="4"/>
    </row>
    <row r="579" spans="7:7" x14ac:dyDescent="0.3">
      <c r="G579" s="4"/>
    </row>
    <row r="580" spans="7:7" x14ac:dyDescent="0.3">
      <c r="G580" s="4"/>
    </row>
    <row r="581" spans="7:7" x14ac:dyDescent="0.3">
      <c r="G581" s="4"/>
    </row>
    <row r="582" spans="7:7" x14ac:dyDescent="0.3">
      <c r="G582" s="4"/>
    </row>
    <row r="583" spans="7:7" x14ac:dyDescent="0.3">
      <c r="G583" s="4"/>
    </row>
    <row r="584" spans="7:7" x14ac:dyDescent="0.3">
      <c r="G584" s="4"/>
    </row>
    <row r="585" spans="7:7" x14ac:dyDescent="0.3">
      <c r="G585" s="4"/>
    </row>
    <row r="586" spans="7:7" x14ac:dyDescent="0.3">
      <c r="G586" s="4"/>
    </row>
    <row r="587" spans="7:7" x14ac:dyDescent="0.3">
      <c r="G587" s="4"/>
    </row>
    <row r="588" spans="7:7" x14ac:dyDescent="0.3">
      <c r="G588" s="4"/>
    </row>
    <row r="589" spans="7:7" x14ac:dyDescent="0.3">
      <c r="G589" s="4"/>
    </row>
    <row r="590" spans="7:7" x14ac:dyDescent="0.3">
      <c r="G590" s="4"/>
    </row>
    <row r="591" spans="7:7" x14ac:dyDescent="0.3">
      <c r="G591" s="4"/>
    </row>
    <row r="592" spans="7:7" x14ac:dyDescent="0.3">
      <c r="G592" s="4"/>
    </row>
    <row r="593" spans="7:7" x14ac:dyDescent="0.3">
      <c r="G593" s="4"/>
    </row>
    <row r="594" spans="7:7" x14ac:dyDescent="0.3">
      <c r="G594" s="4"/>
    </row>
    <row r="595" spans="7:7" x14ac:dyDescent="0.3">
      <c r="G595" s="4"/>
    </row>
    <row r="596" spans="7:7" x14ac:dyDescent="0.3">
      <c r="G596" s="4"/>
    </row>
    <row r="597" spans="7:7" x14ac:dyDescent="0.3">
      <c r="G597" s="4"/>
    </row>
    <row r="598" spans="7:7" x14ac:dyDescent="0.3">
      <c r="G598" s="4"/>
    </row>
    <row r="599" spans="7:7" x14ac:dyDescent="0.3">
      <c r="G599" s="4"/>
    </row>
    <row r="600" spans="7:7" x14ac:dyDescent="0.3">
      <c r="G600" s="4"/>
    </row>
    <row r="601" spans="7:7" x14ac:dyDescent="0.3">
      <c r="G601" s="4"/>
    </row>
    <row r="602" spans="7:7" x14ac:dyDescent="0.3">
      <c r="G602" s="4"/>
    </row>
    <row r="603" spans="7:7" x14ac:dyDescent="0.3">
      <c r="G603" s="4"/>
    </row>
    <row r="604" spans="7:7" x14ac:dyDescent="0.3">
      <c r="G604" s="4"/>
    </row>
    <row r="605" spans="7:7" x14ac:dyDescent="0.3">
      <c r="G605" s="4"/>
    </row>
    <row r="606" spans="7:7" x14ac:dyDescent="0.3">
      <c r="G606" s="4"/>
    </row>
    <row r="607" spans="7:7" x14ac:dyDescent="0.3">
      <c r="G607" s="4"/>
    </row>
    <row r="608" spans="7:7" x14ac:dyDescent="0.3">
      <c r="G608" s="4"/>
    </row>
    <row r="609" spans="7:7" x14ac:dyDescent="0.3">
      <c r="G609" s="4"/>
    </row>
    <row r="610" spans="7:7" x14ac:dyDescent="0.3">
      <c r="G610" s="4"/>
    </row>
    <row r="611" spans="7:7" x14ac:dyDescent="0.3">
      <c r="G611" s="4"/>
    </row>
    <row r="612" spans="7:7" x14ac:dyDescent="0.3">
      <c r="G612" s="4"/>
    </row>
    <row r="613" spans="7:7" x14ac:dyDescent="0.3">
      <c r="G613" s="4"/>
    </row>
    <row r="614" spans="7:7" x14ac:dyDescent="0.3">
      <c r="G614" s="4"/>
    </row>
    <row r="615" spans="7:7" x14ac:dyDescent="0.3">
      <c r="G615" s="4"/>
    </row>
    <row r="616" spans="7:7" x14ac:dyDescent="0.3">
      <c r="G616" s="4"/>
    </row>
    <row r="617" spans="7:7" x14ac:dyDescent="0.3">
      <c r="G617" s="4"/>
    </row>
    <row r="618" spans="7:7" x14ac:dyDescent="0.3">
      <c r="G618" s="4"/>
    </row>
    <row r="619" spans="7:7" x14ac:dyDescent="0.3">
      <c r="G619" s="4"/>
    </row>
    <row r="620" spans="7:7" x14ac:dyDescent="0.3">
      <c r="G620" s="4"/>
    </row>
    <row r="621" spans="7:7" x14ac:dyDescent="0.3">
      <c r="G621" s="4"/>
    </row>
    <row r="622" spans="7:7" x14ac:dyDescent="0.3">
      <c r="G622" s="4"/>
    </row>
    <row r="623" spans="7:7" x14ac:dyDescent="0.3">
      <c r="G623" s="4"/>
    </row>
    <row r="624" spans="7:7" x14ac:dyDescent="0.3">
      <c r="G624" s="4"/>
    </row>
    <row r="625" spans="7:7" x14ac:dyDescent="0.3">
      <c r="G625" s="4"/>
    </row>
    <row r="626" spans="7:7" x14ac:dyDescent="0.3">
      <c r="G626" s="4"/>
    </row>
    <row r="627" spans="7:7" x14ac:dyDescent="0.3">
      <c r="G627" s="4"/>
    </row>
    <row r="628" spans="7:7" x14ac:dyDescent="0.3">
      <c r="G628" s="4"/>
    </row>
    <row r="629" spans="7:7" x14ac:dyDescent="0.3">
      <c r="G629" s="4"/>
    </row>
    <row r="630" spans="7:7" x14ac:dyDescent="0.3">
      <c r="G630" s="4"/>
    </row>
    <row r="631" spans="7:7" x14ac:dyDescent="0.3">
      <c r="G631" s="4"/>
    </row>
    <row r="632" spans="7:7" x14ac:dyDescent="0.3">
      <c r="G632" s="4"/>
    </row>
    <row r="633" spans="7:7" x14ac:dyDescent="0.3">
      <c r="G633" s="4"/>
    </row>
    <row r="634" spans="7:7" x14ac:dyDescent="0.3">
      <c r="G634" s="4"/>
    </row>
    <row r="635" spans="7:7" x14ac:dyDescent="0.3">
      <c r="G635" s="4"/>
    </row>
    <row r="636" spans="7:7" x14ac:dyDescent="0.3">
      <c r="G636" s="4"/>
    </row>
    <row r="637" spans="7:7" x14ac:dyDescent="0.3">
      <c r="G637" s="4"/>
    </row>
    <row r="638" spans="7:7" x14ac:dyDescent="0.3">
      <c r="G638" s="4"/>
    </row>
    <row r="639" spans="7:7" x14ac:dyDescent="0.3">
      <c r="G639" s="4"/>
    </row>
    <row r="640" spans="7:7" x14ac:dyDescent="0.3">
      <c r="G640" s="4"/>
    </row>
    <row r="641" spans="7:7" x14ac:dyDescent="0.3">
      <c r="G641" s="4"/>
    </row>
    <row r="642" spans="7:7" x14ac:dyDescent="0.3">
      <c r="G642" s="4"/>
    </row>
    <row r="643" spans="7:7" x14ac:dyDescent="0.3">
      <c r="G643" s="4"/>
    </row>
    <row r="644" spans="7:7" x14ac:dyDescent="0.3">
      <c r="G644" s="4"/>
    </row>
    <row r="645" spans="7:7" x14ac:dyDescent="0.3">
      <c r="G645" s="4"/>
    </row>
    <row r="646" spans="7:7" x14ac:dyDescent="0.3">
      <c r="G646" s="4"/>
    </row>
    <row r="647" spans="7:7" x14ac:dyDescent="0.3">
      <c r="G647" s="4"/>
    </row>
    <row r="648" spans="7:7" x14ac:dyDescent="0.3">
      <c r="G648" s="4"/>
    </row>
    <row r="649" spans="7:7" x14ac:dyDescent="0.3">
      <c r="G649" s="4"/>
    </row>
    <row r="650" spans="7:7" x14ac:dyDescent="0.3">
      <c r="G650" s="4"/>
    </row>
    <row r="651" spans="7:7" x14ac:dyDescent="0.3">
      <c r="G651" s="4"/>
    </row>
    <row r="652" spans="7:7" x14ac:dyDescent="0.3">
      <c r="G652" s="4"/>
    </row>
    <row r="653" spans="7:7" x14ac:dyDescent="0.3">
      <c r="G653" s="4"/>
    </row>
    <row r="654" spans="7:7" x14ac:dyDescent="0.3">
      <c r="G654" s="4"/>
    </row>
    <row r="655" spans="7:7" x14ac:dyDescent="0.3">
      <c r="G655" s="4"/>
    </row>
    <row r="656" spans="7:7" x14ac:dyDescent="0.3">
      <c r="G656" s="4"/>
    </row>
    <row r="657" spans="7:7" x14ac:dyDescent="0.3">
      <c r="G657" s="4"/>
    </row>
    <row r="658" spans="7:7" x14ac:dyDescent="0.3">
      <c r="G658" s="4"/>
    </row>
    <row r="659" spans="7:7" x14ac:dyDescent="0.3">
      <c r="G659" s="4"/>
    </row>
    <row r="660" spans="7:7" x14ac:dyDescent="0.3">
      <c r="G660" s="4"/>
    </row>
    <row r="661" spans="7:7" x14ac:dyDescent="0.3">
      <c r="G661" s="4"/>
    </row>
    <row r="662" spans="7:7" x14ac:dyDescent="0.3">
      <c r="G662" s="4"/>
    </row>
    <row r="663" spans="7:7" x14ac:dyDescent="0.3">
      <c r="G663" s="4"/>
    </row>
    <row r="664" spans="7:7" x14ac:dyDescent="0.3">
      <c r="G664" s="4"/>
    </row>
    <row r="665" spans="7:7" x14ac:dyDescent="0.3">
      <c r="G665" s="4"/>
    </row>
    <row r="666" spans="7:7" x14ac:dyDescent="0.3">
      <c r="G666" s="4"/>
    </row>
    <row r="667" spans="7:7" x14ac:dyDescent="0.3">
      <c r="G667" s="4"/>
    </row>
    <row r="668" spans="7:7" x14ac:dyDescent="0.3">
      <c r="G668" s="4"/>
    </row>
    <row r="669" spans="7:7" x14ac:dyDescent="0.3">
      <c r="G669" s="4"/>
    </row>
    <row r="670" spans="7:7" x14ac:dyDescent="0.3">
      <c r="G670" s="4"/>
    </row>
    <row r="671" spans="7:7" x14ac:dyDescent="0.3">
      <c r="G671" s="4"/>
    </row>
    <row r="672" spans="7:7" x14ac:dyDescent="0.3">
      <c r="G672" s="4"/>
    </row>
    <row r="673" spans="7:7" x14ac:dyDescent="0.3">
      <c r="G673" s="4"/>
    </row>
    <row r="674" spans="7:7" x14ac:dyDescent="0.3">
      <c r="G674" s="4"/>
    </row>
    <row r="675" spans="7:7" x14ac:dyDescent="0.3">
      <c r="G675" s="4"/>
    </row>
    <row r="676" spans="7:7" x14ac:dyDescent="0.3">
      <c r="G676" s="4"/>
    </row>
    <row r="677" spans="7:7" x14ac:dyDescent="0.3">
      <c r="G677" s="4"/>
    </row>
    <row r="678" spans="7:7" x14ac:dyDescent="0.3">
      <c r="G678" s="4"/>
    </row>
    <row r="679" spans="7:7" x14ac:dyDescent="0.3">
      <c r="G679" s="4"/>
    </row>
    <row r="680" spans="7:7" x14ac:dyDescent="0.3">
      <c r="G680" s="4"/>
    </row>
    <row r="681" spans="7:7" x14ac:dyDescent="0.3">
      <c r="G681" s="4"/>
    </row>
    <row r="682" spans="7:7" x14ac:dyDescent="0.3">
      <c r="G682" s="4"/>
    </row>
    <row r="683" spans="7:7" x14ac:dyDescent="0.3">
      <c r="G683" s="4"/>
    </row>
    <row r="684" spans="7:7" x14ac:dyDescent="0.3">
      <c r="G684" s="4"/>
    </row>
    <row r="685" spans="7:7" x14ac:dyDescent="0.3">
      <c r="G685" s="4"/>
    </row>
    <row r="686" spans="7:7" x14ac:dyDescent="0.3">
      <c r="G686" s="4"/>
    </row>
    <row r="687" spans="7:7" x14ac:dyDescent="0.3">
      <c r="G687" s="4"/>
    </row>
    <row r="688" spans="7:7" x14ac:dyDescent="0.3">
      <c r="G688" s="4"/>
    </row>
    <row r="689" spans="7:7" x14ac:dyDescent="0.3">
      <c r="G689" s="4"/>
    </row>
    <row r="690" spans="7:7" x14ac:dyDescent="0.3">
      <c r="G690" s="4"/>
    </row>
    <row r="691" spans="7:7" x14ac:dyDescent="0.3">
      <c r="G691" s="4"/>
    </row>
    <row r="692" spans="7:7" x14ac:dyDescent="0.3">
      <c r="G692" s="4"/>
    </row>
    <row r="693" spans="7:7" x14ac:dyDescent="0.3">
      <c r="G693" s="4"/>
    </row>
    <row r="694" spans="7:7" x14ac:dyDescent="0.3">
      <c r="G694" s="4"/>
    </row>
    <row r="695" spans="7:7" x14ac:dyDescent="0.3">
      <c r="G695" s="4"/>
    </row>
    <row r="696" spans="7:7" x14ac:dyDescent="0.3">
      <c r="G696" s="4"/>
    </row>
    <row r="697" spans="7:7" x14ac:dyDescent="0.3">
      <c r="G697" s="4"/>
    </row>
    <row r="698" spans="7:7" x14ac:dyDescent="0.3">
      <c r="G698" s="4"/>
    </row>
    <row r="699" spans="7:7" x14ac:dyDescent="0.3">
      <c r="G699" s="4"/>
    </row>
    <row r="700" spans="7:7" x14ac:dyDescent="0.3">
      <c r="G700" s="4"/>
    </row>
    <row r="701" spans="7:7" x14ac:dyDescent="0.3">
      <c r="G701" s="4"/>
    </row>
    <row r="702" spans="7:7" x14ac:dyDescent="0.3">
      <c r="G702" s="4"/>
    </row>
    <row r="703" spans="7:7" x14ac:dyDescent="0.3">
      <c r="G703" s="4"/>
    </row>
    <row r="704" spans="7:7" x14ac:dyDescent="0.3">
      <c r="G704" s="4"/>
    </row>
    <row r="705" spans="7:7" x14ac:dyDescent="0.3">
      <c r="G705" s="4"/>
    </row>
    <row r="706" spans="7:7" x14ac:dyDescent="0.3">
      <c r="G706" s="4"/>
    </row>
    <row r="707" spans="7:7" x14ac:dyDescent="0.3">
      <c r="G707" s="4"/>
    </row>
    <row r="708" spans="7:7" x14ac:dyDescent="0.3">
      <c r="G708" s="4"/>
    </row>
    <row r="709" spans="7:7" x14ac:dyDescent="0.3">
      <c r="G709" s="4"/>
    </row>
    <row r="710" spans="7:7" x14ac:dyDescent="0.3">
      <c r="G710" s="4"/>
    </row>
    <row r="711" spans="7:7" x14ac:dyDescent="0.3">
      <c r="G711" s="4"/>
    </row>
    <row r="712" spans="7:7" x14ac:dyDescent="0.3">
      <c r="G712" s="4"/>
    </row>
    <row r="713" spans="7:7" x14ac:dyDescent="0.3">
      <c r="G713" s="4"/>
    </row>
    <row r="714" spans="7:7" x14ac:dyDescent="0.3">
      <c r="G714" s="4"/>
    </row>
    <row r="715" spans="7:7" x14ac:dyDescent="0.3">
      <c r="G715" s="4"/>
    </row>
    <row r="716" spans="7:7" x14ac:dyDescent="0.3">
      <c r="G716" s="4"/>
    </row>
    <row r="717" spans="7:7" x14ac:dyDescent="0.3">
      <c r="G717" s="4"/>
    </row>
    <row r="718" spans="7:7" x14ac:dyDescent="0.3">
      <c r="G718" s="4"/>
    </row>
    <row r="719" spans="7:7" x14ac:dyDescent="0.3">
      <c r="G719" s="4"/>
    </row>
    <row r="720" spans="7:7" x14ac:dyDescent="0.3">
      <c r="G720" s="4"/>
    </row>
    <row r="721" spans="7:7" x14ac:dyDescent="0.3">
      <c r="G721" s="4"/>
    </row>
    <row r="722" spans="7:7" x14ac:dyDescent="0.3">
      <c r="G722" s="4"/>
    </row>
    <row r="723" spans="7:7" x14ac:dyDescent="0.3">
      <c r="G723" s="4"/>
    </row>
    <row r="724" spans="7:7" x14ac:dyDescent="0.3">
      <c r="G724" s="4"/>
    </row>
    <row r="725" spans="7:7" x14ac:dyDescent="0.3">
      <c r="G725" s="4"/>
    </row>
    <row r="726" spans="7:7" x14ac:dyDescent="0.3">
      <c r="G726" s="4"/>
    </row>
    <row r="727" spans="7:7" x14ac:dyDescent="0.3">
      <c r="G727" s="4"/>
    </row>
    <row r="728" spans="7:7" x14ac:dyDescent="0.3">
      <c r="G728" s="4"/>
    </row>
    <row r="729" spans="7:7" x14ac:dyDescent="0.3">
      <c r="G729" s="4"/>
    </row>
    <row r="730" spans="7:7" x14ac:dyDescent="0.3">
      <c r="G730" s="4"/>
    </row>
    <row r="731" spans="7:7" x14ac:dyDescent="0.3">
      <c r="G731" s="4"/>
    </row>
    <row r="732" spans="7:7" x14ac:dyDescent="0.3">
      <c r="G732" s="4"/>
    </row>
    <row r="733" spans="7:7" x14ac:dyDescent="0.3">
      <c r="G733" s="4"/>
    </row>
    <row r="734" spans="7:7" x14ac:dyDescent="0.3">
      <c r="G734" s="4"/>
    </row>
    <row r="735" spans="7:7" x14ac:dyDescent="0.3">
      <c r="G735" s="4"/>
    </row>
    <row r="736" spans="7:7" x14ac:dyDescent="0.3">
      <c r="G736" s="4"/>
    </row>
    <row r="737" spans="7:7" x14ac:dyDescent="0.3">
      <c r="G737" s="4"/>
    </row>
    <row r="738" spans="7:7" x14ac:dyDescent="0.3">
      <c r="G738" s="4"/>
    </row>
    <row r="739" spans="7:7" x14ac:dyDescent="0.3">
      <c r="G739" s="4"/>
    </row>
    <row r="740" spans="7:7" x14ac:dyDescent="0.3">
      <c r="G740" s="4"/>
    </row>
    <row r="741" spans="7:7" x14ac:dyDescent="0.3">
      <c r="G741" s="4"/>
    </row>
    <row r="742" spans="7:7" x14ac:dyDescent="0.3">
      <c r="G742" s="4"/>
    </row>
    <row r="743" spans="7:7" x14ac:dyDescent="0.3">
      <c r="G743" s="4"/>
    </row>
    <row r="744" spans="7:7" x14ac:dyDescent="0.3">
      <c r="G744" s="4"/>
    </row>
    <row r="745" spans="7:7" x14ac:dyDescent="0.3">
      <c r="G745" s="4"/>
    </row>
    <row r="746" spans="7:7" x14ac:dyDescent="0.3">
      <c r="G746" s="4"/>
    </row>
    <row r="747" spans="7:7" x14ac:dyDescent="0.3">
      <c r="G747" s="4"/>
    </row>
    <row r="748" spans="7:7" x14ac:dyDescent="0.3">
      <c r="G748" s="4"/>
    </row>
    <row r="749" spans="7:7" x14ac:dyDescent="0.3">
      <c r="G749" s="4"/>
    </row>
    <row r="750" spans="7:7" x14ac:dyDescent="0.3">
      <c r="G750" s="4"/>
    </row>
    <row r="751" spans="7:7" x14ac:dyDescent="0.3">
      <c r="G751" s="4"/>
    </row>
    <row r="752" spans="7:7" x14ac:dyDescent="0.3">
      <c r="G752" s="4"/>
    </row>
    <row r="753" spans="7:7" x14ac:dyDescent="0.3">
      <c r="G753" s="4"/>
    </row>
    <row r="754" spans="7:7" x14ac:dyDescent="0.3">
      <c r="G754" s="4"/>
    </row>
    <row r="755" spans="7:7" x14ac:dyDescent="0.3">
      <c r="G755" s="4"/>
    </row>
    <row r="756" spans="7:7" x14ac:dyDescent="0.3">
      <c r="G756" s="4"/>
    </row>
    <row r="757" spans="7:7" x14ac:dyDescent="0.3">
      <c r="G757" s="4"/>
    </row>
    <row r="758" spans="7:7" x14ac:dyDescent="0.3">
      <c r="G758" s="4"/>
    </row>
    <row r="759" spans="7:7" x14ac:dyDescent="0.3">
      <c r="G759" s="4"/>
    </row>
    <row r="760" spans="7:7" x14ac:dyDescent="0.3">
      <c r="G760" s="4"/>
    </row>
    <row r="761" spans="7:7" x14ac:dyDescent="0.3">
      <c r="G761" s="4"/>
    </row>
    <row r="762" spans="7:7" x14ac:dyDescent="0.3">
      <c r="G762" s="4"/>
    </row>
    <row r="763" spans="7:7" x14ac:dyDescent="0.3">
      <c r="G763" s="4"/>
    </row>
    <row r="764" spans="7:7" x14ac:dyDescent="0.3">
      <c r="G764" s="4"/>
    </row>
    <row r="765" spans="7:7" x14ac:dyDescent="0.3">
      <c r="G765" s="4"/>
    </row>
    <row r="766" spans="7:7" x14ac:dyDescent="0.3">
      <c r="G766" s="4"/>
    </row>
    <row r="767" spans="7:7" x14ac:dyDescent="0.3">
      <c r="G767" s="4"/>
    </row>
    <row r="768" spans="7:7" x14ac:dyDescent="0.3">
      <c r="G768" s="4"/>
    </row>
    <row r="769" spans="7:7" x14ac:dyDescent="0.3">
      <c r="G769" s="4"/>
    </row>
    <row r="770" spans="7:7" x14ac:dyDescent="0.3">
      <c r="G770" s="4"/>
    </row>
    <row r="771" spans="7:7" x14ac:dyDescent="0.3">
      <c r="G771" s="4"/>
    </row>
    <row r="772" spans="7:7" x14ac:dyDescent="0.3">
      <c r="G772" s="4"/>
    </row>
    <row r="773" spans="7:7" x14ac:dyDescent="0.3">
      <c r="G773" s="4"/>
    </row>
    <row r="774" spans="7:7" x14ac:dyDescent="0.3">
      <c r="G774" s="4"/>
    </row>
    <row r="775" spans="7:7" x14ac:dyDescent="0.3">
      <c r="G775" s="4"/>
    </row>
    <row r="776" spans="7:7" x14ac:dyDescent="0.3">
      <c r="G776" s="4"/>
    </row>
    <row r="777" spans="7:7" x14ac:dyDescent="0.3">
      <c r="G777" s="4"/>
    </row>
    <row r="778" spans="7:7" x14ac:dyDescent="0.3">
      <c r="G778" s="4"/>
    </row>
    <row r="779" spans="7:7" x14ac:dyDescent="0.3">
      <c r="G779" s="4"/>
    </row>
    <row r="780" spans="7:7" x14ac:dyDescent="0.3">
      <c r="G780" s="4"/>
    </row>
    <row r="781" spans="7:7" x14ac:dyDescent="0.3">
      <c r="G781" s="4"/>
    </row>
    <row r="782" spans="7:7" x14ac:dyDescent="0.3">
      <c r="G782" s="4"/>
    </row>
    <row r="783" spans="7:7" x14ac:dyDescent="0.3">
      <c r="G783" s="4"/>
    </row>
    <row r="784" spans="7:7" x14ac:dyDescent="0.3">
      <c r="G784" s="4"/>
    </row>
    <row r="785" spans="7:7" x14ac:dyDescent="0.3">
      <c r="G785" s="4"/>
    </row>
    <row r="786" spans="7:7" x14ac:dyDescent="0.3">
      <c r="G786" s="4"/>
    </row>
    <row r="787" spans="7:7" x14ac:dyDescent="0.3">
      <c r="G787" s="4"/>
    </row>
    <row r="788" spans="7:7" x14ac:dyDescent="0.3">
      <c r="G788" s="4"/>
    </row>
    <row r="789" spans="7:7" x14ac:dyDescent="0.3">
      <c r="G789" s="4"/>
    </row>
    <row r="790" spans="7:7" x14ac:dyDescent="0.3">
      <c r="G790" s="4"/>
    </row>
    <row r="791" spans="7:7" x14ac:dyDescent="0.3">
      <c r="G791" s="4"/>
    </row>
    <row r="792" spans="7:7" x14ac:dyDescent="0.3">
      <c r="G792" s="4"/>
    </row>
    <row r="793" spans="7:7" x14ac:dyDescent="0.3">
      <c r="G793" s="4"/>
    </row>
    <row r="794" spans="7:7" x14ac:dyDescent="0.3">
      <c r="G794" s="4"/>
    </row>
    <row r="795" spans="7:7" x14ac:dyDescent="0.3">
      <c r="G795" s="4"/>
    </row>
    <row r="796" spans="7:7" x14ac:dyDescent="0.3">
      <c r="G796" s="4"/>
    </row>
    <row r="797" spans="7:7" x14ac:dyDescent="0.3">
      <c r="G797" s="4"/>
    </row>
    <row r="798" spans="7:7" x14ac:dyDescent="0.3">
      <c r="G798" s="4"/>
    </row>
    <row r="799" spans="7:7" x14ac:dyDescent="0.3">
      <c r="G799" s="4"/>
    </row>
    <row r="800" spans="7:7" x14ac:dyDescent="0.3">
      <c r="G800" s="4"/>
    </row>
    <row r="801" spans="7:7" x14ac:dyDescent="0.3">
      <c r="G801" s="4"/>
    </row>
    <row r="802" spans="7:7" x14ac:dyDescent="0.3">
      <c r="G802" s="4"/>
    </row>
    <row r="803" spans="7:7" x14ac:dyDescent="0.3">
      <c r="G803" s="4"/>
    </row>
    <row r="804" spans="7:7" x14ac:dyDescent="0.3">
      <c r="G804" s="4"/>
    </row>
    <row r="805" spans="7:7" x14ac:dyDescent="0.3">
      <c r="G805" s="4"/>
    </row>
    <row r="806" spans="7:7" x14ac:dyDescent="0.3">
      <c r="G806" s="4"/>
    </row>
    <row r="807" spans="7:7" x14ac:dyDescent="0.3">
      <c r="G807" s="4"/>
    </row>
    <row r="808" spans="7:7" x14ac:dyDescent="0.3">
      <c r="G808" s="4"/>
    </row>
    <row r="809" spans="7:7" x14ac:dyDescent="0.3">
      <c r="G809" s="4"/>
    </row>
    <row r="810" spans="7:7" x14ac:dyDescent="0.3">
      <c r="G810" s="4"/>
    </row>
    <row r="811" spans="7:7" x14ac:dyDescent="0.3">
      <c r="G811" s="4"/>
    </row>
    <row r="812" spans="7:7" x14ac:dyDescent="0.3">
      <c r="G812" s="4"/>
    </row>
    <row r="813" spans="7:7" x14ac:dyDescent="0.3">
      <c r="G813" s="4"/>
    </row>
    <row r="814" spans="7:7" x14ac:dyDescent="0.3">
      <c r="G814" s="4"/>
    </row>
    <row r="815" spans="7:7" x14ac:dyDescent="0.3">
      <c r="G815" s="4"/>
    </row>
    <row r="816" spans="7:7" x14ac:dyDescent="0.3">
      <c r="G816" s="4"/>
    </row>
    <row r="817" spans="7:7" x14ac:dyDescent="0.3">
      <c r="G817" s="4"/>
    </row>
    <row r="818" spans="7:7" x14ac:dyDescent="0.3">
      <c r="G818" s="4"/>
    </row>
    <row r="819" spans="7:7" x14ac:dyDescent="0.3">
      <c r="G819" s="4"/>
    </row>
    <row r="820" spans="7:7" x14ac:dyDescent="0.3">
      <c r="G820" s="4"/>
    </row>
    <row r="821" spans="7:7" x14ac:dyDescent="0.3">
      <c r="G821" s="4"/>
    </row>
    <row r="822" spans="7:7" x14ac:dyDescent="0.3">
      <c r="G822" s="4"/>
    </row>
    <row r="823" spans="7:7" x14ac:dyDescent="0.3">
      <c r="G823" s="4"/>
    </row>
    <row r="824" spans="7:7" x14ac:dyDescent="0.3">
      <c r="G824" s="4"/>
    </row>
    <row r="825" spans="7:7" x14ac:dyDescent="0.3">
      <c r="G825" s="4"/>
    </row>
    <row r="826" spans="7:7" x14ac:dyDescent="0.3">
      <c r="G826" s="4"/>
    </row>
    <row r="827" spans="7:7" x14ac:dyDescent="0.3">
      <c r="G827" s="4"/>
    </row>
    <row r="828" spans="7:7" x14ac:dyDescent="0.3">
      <c r="G828" s="4"/>
    </row>
    <row r="829" spans="7:7" x14ac:dyDescent="0.3">
      <c r="G829" s="4"/>
    </row>
    <row r="830" spans="7:7" x14ac:dyDescent="0.3">
      <c r="G830" s="4"/>
    </row>
    <row r="831" spans="7:7" x14ac:dyDescent="0.3">
      <c r="G831" s="4"/>
    </row>
    <row r="832" spans="7:7" x14ac:dyDescent="0.3">
      <c r="G832" s="4"/>
    </row>
    <row r="833" spans="7:7" x14ac:dyDescent="0.3">
      <c r="G833" s="4"/>
    </row>
    <row r="834" spans="7:7" x14ac:dyDescent="0.3">
      <c r="G834" s="4"/>
    </row>
    <row r="835" spans="7:7" x14ac:dyDescent="0.3">
      <c r="G835" s="4"/>
    </row>
    <row r="836" spans="7:7" x14ac:dyDescent="0.3">
      <c r="G836" s="4"/>
    </row>
    <row r="837" spans="7:7" x14ac:dyDescent="0.3">
      <c r="G837" s="4"/>
    </row>
    <row r="838" spans="7:7" x14ac:dyDescent="0.3">
      <c r="G838" s="4"/>
    </row>
    <row r="839" spans="7:7" x14ac:dyDescent="0.3">
      <c r="G839" s="4"/>
    </row>
    <row r="840" spans="7:7" x14ac:dyDescent="0.3">
      <c r="G840" s="4"/>
    </row>
    <row r="841" spans="7:7" x14ac:dyDescent="0.3">
      <c r="G841" s="4"/>
    </row>
    <row r="842" spans="7:7" x14ac:dyDescent="0.3">
      <c r="G842" s="4"/>
    </row>
    <row r="843" spans="7:7" x14ac:dyDescent="0.3">
      <c r="G843" s="4"/>
    </row>
    <row r="844" spans="7:7" x14ac:dyDescent="0.3">
      <c r="G844" s="4"/>
    </row>
    <row r="845" spans="7:7" x14ac:dyDescent="0.3">
      <c r="G845" s="4"/>
    </row>
    <row r="846" spans="7:7" x14ac:dyDescent="0.3">
      <c r="G846" s="4"/>
    </row>
    <row r="847" spans="7:7" x14ac:dyDescent="0.3">
      <c r="G847" s="4"/>
    </row>
    <row r="848" spans="7:7" x14ac:dyDescent="0.3">
      <c r="G848" s="4"/>
    </row>
    <row r="849" spans="7:7" x14ac:dyDescent="0.3">
      <c r="G849" s="4"/>
    </row>
    <row r="850" spans="7:7" x14ac:dyDescent="0.3">
      <c r="G850" s="4"/>
    </row>
    <row r="851" spans="7:7" x14ac:dyDescent="0.3">
      <c r="G851" s="4"/>
    </row>
    <row r="852" spans="7:7" x14ac:dyDescent="0.3">
      <c r="G852" s="4"/>
    </row>
    <row r="853" spans="7:7" x14ac:dyDescent="0.3">
      <c r="G853" s="4"/>
    </row>
    <row r="854" spans="7:7" x14ac:dyDescent="0.3">
      <c r="G854" s="4"/>
    </row>
    <row r="855" spans="7:7" x14ac:dyDescent="0.3">
      <c r="G855" s="4"/>
    </row>
    <row r="856" spans="7:7" x14ac:dyDescent="0.3">
      <c r="G856" s="4"/>
    </row>
    <row r="857" spans="7:7" x14ac:dyDescent="0.3">
      <c r="G857" s="4"/>
    </row>
    <row r="858" spans="7:7" x14ac:dyDescent="0.3">
      <c r="G858" s="4"/>
    </row>
    <row r="859" spans="7:7" x14ac:dyDescent="0.3">
      <c r="G859" s="4"/>
    </row>
    <row r="860" spans="7:7" x14ac:dyDescent="0.3">
      <c r="G860" s="4"/>
    </row>
    <row r="861" spans="7:7" x14ac:dyDescent="0.3">
      <c r="G861" s="4"/>
    </row>
    <row r="862" spans="7:7" x14ac:dyDescent="0.3">
      <c r="G862" s="4"/>
    </row>
    <row r="863" spans="7:7" x14ac:dyDescent="0.3">
      <c r="G863" s="4"/>
    </row>
    <row r="864" spans="7:7" x14ac:dyDescent="0.3">
      <c r="G864" s="4"/>
    </row>
    <row r="865" spans="7:7" x14ac:dyDescent="0.3">
      <c r="G865" s="4"/>
    </row>
    <row r="866" spans="7:7" x14ac:dyDescent="0.3">
      <c r="G866" s="4"/>
    </row>
    <row r="867" spans="7:7" x14ac:dyDescent="0.3">
      <c r="G867" s="4"/>
    </row>
    <row r="868" spans="7:7" x14ac:dyDescent="0.3">
      <c r="G868" s="4"/>
    </row>
    <row r="869" spans="7:7" x14ac:dyDescent="0.3">
      <c r="G869" s="4"/>
    </row>
    <row r="870" spans="7:7" x14ac:dyDescent="0.3">
      <c r="G870" s="4"/>
    </row>
    <row r="871" spans="7:7" x14ac:dyDescent="0.3">
      <c r="G871" s="4"/>
    </row>
    <row r="872" spans="7:7" x14ac:dyDescent="0.3">
      <c r="G872" s="4"/>
    </row>
    <row r="873" spans="7:7" x14ac:dyDescent="0.3">
      <c r="G873" s="4"/>
    </row>
    <row r="874" spans="7:7" x14ac:dyDescent="0.3">
      <c r="G874" s="4"/>
    </row>
    <row r="875" spans="7:7" x14ac:dyDescent="0.3">
      <c r="G875" s="4"/>
    </row>
    <row r="876" spans="7:7" x14ac:dyDescent="0.3">
      <c r="G876" s="4"/>
    </row>
    <row r="877" spans="7:7" x14ac:dyDescent="0.3">
      <c r="G877" s="4"/>
    </row>
    <row r="878" spans="7:7" x14ac:dyDescent="0.3">
      <c r="G878" s="4"/>
    </row>
    <row r="879" spans="7:7" x14ac:dyDescent="0.3">
      <c r="G879" s="4"/>
    </row>
    <row r="880" spans="7:7" x14ac:dyDescent="0.3">
      <c r="G880" s="4"/>
    </row>
    <row r="881" spans="7:7" x14ac:dyDescent="0.3">
      <c r="G881" s="4"/>
    </row>
    <row r="882" spans="7:7" x14ac:dyDescent="0.3">
      <c r="G882" s="4"/>
    </row>
    <row r="883" spans="7:7" x14ac:dyDescent="0.3">
      <c r="G883" s="4"/>
    </row>
    <row r="884" spans="7:7" x14ac:dyDescent="0.3">
      <c r="G884" s="4"/>
    </row>
    <row r="885" spans="7:7" x14ac:dyDescent="0.3">
      <c r="G885" s="4"/>
    </row>
    <row r="886" spans="7:7" x14ac:dyDescent="0.3">
      <c r="G886" s="4"/>
    </row>
    <row r="887" spans="7:7" x14ac:dyDescent="0.3">
      <c r="G887" s="4"/>
    </row>
    <row r="888" spans="7:7" x14ac:dyDescent="0.3">
      <c r="G888" s="4"/>
    </row>
    <row r="889" spans="7:7" x14ac:dyDescent="0.3">
      <c r="G889" s="4"/>
    </row>
    <row r="890" spans="7:7" x14ac:dyDescent="0.3">
      <c r="G890" s="4"/>
    </row>
    <row r="891" spans="7:7" x14ac:dyDescent="0.3">
      <c r="G891" s="4"/>
    </row>
    <row r="892" spans="7:7" x14ac:dyDescent="0.3">
      <c r="G892" s="4"/>
    </row>
    <row r="893" spans="7:7" x14ac:dyDescent="0.3">
      <c r="G893" s="4"/>
    </row>
    <row r="894" spans="7:7" x14ac:dyDescent="0.3">
      <c r="G894" s="4"/>
    </row>
    <row r="895" spans="7:7" x14ac:dyDescent="0.3">
      <c r="G895" s="4"/>
    </row>
    <row r="896" spans="7:7" x14ac:dyDescent="0.3">
      <c r="G896" s="4"/>
    </row>
    <row r="897" spans="7:7" x14ac:dyDescent="0.3">
      <c r="G897" s="4"/>
    </row>
    <row r="898" spans="7:7" x14ac:dyDescent="0.3">
      <c r="G898" s="4"/>
    </row>
    <row r="899" spans="7:7" x14ac:dyDescent="0.3">
      <c r="G899" s="4"/>
    </row>
    <row r="900" spans="7:7" x14ac:dyDescent="0.3">
      <c r="G900" s="4"/>
    </row>
    <row r="901" spans="7:7" x14ac:dyDescent="0.3">
      <c r="G901" s="4"/>
    </row>
    <row r="902" spans="7:7" x14ac:dyDescent="0.3">
      <c r="G902" s="4"/>
    </row>
    <row r="903" spans="7:7" x14ac:dyDescent="0.3">
      <c r="G903" s="4"/>
    </row>
    <row r="904" spans="7:7" x14ac:dyDescent="0.3">
      <c r="G904" s="4"/>
    </row>
    <row r="905" spans="7:7" x14ac:dyDescent="0.3">
      <c r="G905" s="4"/>
    </row>
    <row r="906" spans="7:7" x14ac:dyDescent="0.3">
      <c r="G906" s="4"/>
    </row>
    <row r="907" spans="7:7" x14ac:dyDescent="0.3">
      <c r="G907" s="4"/>
    </row>
    <row r="908" spans="7:7" x14ac:dyDescent="0.3">
      <c r="G908" s="4"/>
    </row>
    <row r="909" spans="7:7" x14ac:dyDescent="0.3">
      <c r="G909" s="4"/>
    </row>
    <row r="910" spans="7:7" x14ac:dyDescent="0.3">
      <c r="G910" s="4"/>
    </row>
    <row r="911" spans="7:7" x14ac:dyDescent="0.3">
      <c r="G911" s="4"/>
    </row>
    <row r="912" spans="7:7" x14ac:dyDescent="0.3">
      <c r="G912" s="4"/>
    </row>
    <row r="913" spans="7:7" x14ac:dyDescent="0.3">
      <c r="G913" s="4"/>
    </row>
    <row r="914" spans="7:7" x14ac:dyDescent="0.3">
      <c r="G914" s="4"/>
    </row>
    <row r="915" spans="7:7" x14ac:dyDescent="0.3">
      <c r="G915" s="4"/>
    </row>
    <row r="916" spans="7:7" x14ac:dyDescent="0.3">
      <c r="G916" s="4"/>
    </row>
    <row r="917" spans="7:7" x14ac:dyDescent="0.3">
      <c r="G917" s="4"/>
    </row>
    <row r="918" spans="7:7" x14ac:dyDescent="0.3">
      <c r="G918" s="4"/>
    </row>
    <row r="919" spans="7:7" x14ac:dyDescent="0.3">
      <c r="G919" s="4"/>
    </row>
    <row r="920" spans="7:7" x14ac:dyDescent="0.3">
      <c r="G920" s="4"/>
    </row>
    <row r="921" spans="7:7" x14ac:dyDescent="0.3">
      <c r="G921" s="4"/>
    </row>
    <row r="922" spans="7:7" x14ac:dyDescent="0.3">
      <c r="G922" s="4"/>
    </row>
    <row r="923" spans="7:7" x14ac:dyDescent="0.3">
      <c r="G923" s="4"/>
    </row>
    <row r="924" spans="7:7" x14ac:dyDescent="0.3">
      <c r="G924" s="4"/>
    </row>
    <row r="925" spans="7:7" x14ac:dyDescent="0.3">
      <c r="G925" s="4"/>
    </row>
    <row r="926" spans="7:7" x14ac:dyDescent="0.3">
      <c r="G926" s="4"/>
    </row>
    <row r="927" spans="7:7" x14ac:dyDescent="0.3">
      <c r="G927" s="4"/>
    </row>
    <row r="928" spans="7:7" x14ac:dyDescent="0.3">
      <c r="G928" s="4"/>
    </row>
    <row r="929" spans="7:7" x14ac:dyDescent="0.3">
      <c r="G929" s="4"/>
    </row>
    <row r="930" spans="7:7" x14ac:dyDescent="0.3">
      <c r="G930" s="4"/>
    </row>
    <row r="931" spans="7:7" x14ac:dyDescent="0.3">
      <c r="G931" s="4"/>
    </row>
    <row r="932" spans="7:7" x14ac:dyDescent="0.3">
      <c r="G932" s="4"/>
    </row>
    <row r="933" spans="7:7" x14ac:dyDescent="0.3">
      <c r="G933" s="4"/>
    </row>
    <row r="934" spans="7:7" x14ac:dyDescent="0.3">
      <c r="G934" s="4"/>
    </row>
    <row r="935" spans="7:7" x14ac:dyDescent="0.3">
      <c r="G935" s="4"/>
    </row>
    <row r="936" spans="7:7" x14ac:dyDescent="0.3">
      <c r="G936" s="4"/>
    </row>
    <row r="937" spans="7:7" x14ac:dyDescent="0.3">
      <c r="G937" s="4"/>
    </row>
    <row r="938" spans="7:7" x14ac:dyDescent="0.3">
      <c r="G938" s="4"/>
    </row>
    <row r="939" spans="7:7" x14ac:dyDescent="0.3">
      <c r="G939" s="4"/>
    </row>
    <row r="940" spans="7:7" x14ac:dyDescent="0.3">
      <c r="G940" s="4"/>
    </row>
    <row r="941" spans="7:7" x14ac:dyDescent="0.3">
      <c r="G941" s="4"/>
    </row>
    <row r="942" spans="7:7" x14ac:dyDescent="0.3">
      <c r="G942" s="4"/>
    </row>
    <row r="943" spans="7:7" x14ac:dyDescent="0.3">
      <c r="G943" s="4"/>
    </row>
    <row r="944" spans="7:7" x14ac:dyDescent="0.3">
      <c r="G944" s="4"/>
    </row>
    <row r="945" spans="7:7" x14ac:dyDescent="0.3">
      <c r="G945" s="4"/>
    </row>
    <row r="946" spans="7:7" x14ac:dyDescent="0.3">
      <c r="G946" s="4"/>
    </row>
    <row r="947" spans="7:7" x14ac:dyDescent="0.3">
      <c r="G947" s="4"/>
    </row>
    <row r="948" spans="7:7" x14ac:dyDescent="0.3">
      <c r="G948" s="4"/>
    </row>
    <row r="949" spans="7:7" x14ac:dyDescent="0.3">
      <c r="G949" s="4"/>
    </row>
    <row r="950" spans="7:7" x14ac:dyDescent="0.3">
      <c r="G950" s="4"/>
    </row>
    <row r="951" spans="7:7" x14ac:dyDescent="0.3">
      <c r="G951" s="4"/>
    </row>
    <row r="952" spans="7:7" x14ac:dyDescent="0.3">
      <c r="G952" s="4"/>
    </row>
    <row r="953" spans="7:7" x14ac:dyDescent="0.3">
      <c r="G953" s="4"/>
    </row>
    <row r="954" spans="7:7" x14ac:dyDescent="0.3">
      <c r="G954" s="4"/>
    </row>
    <row r="955" spans="7:7" x14ac:dyDescent="0.3">
      <c r="G955" s="4"/>
    </row>
    <row r="956" spans="7:7" x14ac:dyDescent="0.3">
      <c r="G956" s="4"/>
    </row>
    <row r="957" spans="7:7" x14ac:dyDescent="0.3">
      <c r="G957" s="4"/>
    </row>
    <row r="958" spans="7:7" x14ac:dyDescent="0.3">
      <c r="G958" s="4"/>
    </row>
    <row r="959" spans="7:7" x14ac:dyDescent="0.3">
      <c r="G959" s="4"/>
    </row>
    <row r="960" spans="7:7" x14ac:dyDescent="0.3">
      <c r="G960" s="4"/>
    </row>
    <row r="961" spans="7:7" x14ac:dyDescent="0.3">
      <c r="G961" s="4"/>
    </row>
    <row r="962" spans="7:7" x14ac:dyDescent="0.3">
      <c r="G962" s="4"/>
    </row>
    <row r="963" spans="7:7" x14ac:dyDescent="0.3">
      <c r="G963" s="4"/>
    </row>
    <row r="964" spans="7:7" x14ac:dyDescent="0.3">
      <c r="G964" s="4"/>
    </row>
    <row r="965" spans="7:7" x14ac:dyDescent="0.3">
      <c r="G965" s="4"/>
    </row>
    <row r="966" spans="7:7" x14ac:dyDescent="0.3">
      <c r="G966" s="4"/>
    </row>
    <row r="967" spans="7:7" x14ac:dyDescent="0.3">
      <c r="G967" s="4"/>
    </row>
    <row r="968" spans="7:7" x14ac:dyDescent="0.3">
      <c r="G968" s="4"/>
    </row>
    <row r="969" spans="7:7" x14ac:dyDescent="0.3">
      <c r="G969" s="4"/>
    </row>
    <row r="970" spans="7:7" x14ac:dyDescent="0.3">
      <c r="G970" s="4"/>
    </row>
    <row r="971" spans="7:7" x14ac:dyDescent="0.3">
      <c r="G971" s="4"/>
    </row>
    <row r="972" spans="7:7" x14ac:dyDescent="0.3">
      <c r="G972" s="4"/>
    </row>
    <row r="973" spans="7:7" x14ac:dyDescent="0.3">
      <c r="G973" s="4"/>
    </row>
    <row r="974" spans="7:7" x14ac:dyDescent="0.3">
      <c r="G974" s="4"/>
    </row>
    <row r="975" spans="7:7" x14ac:dyDescent="0.3">
      <c r="G975" s="4"/>
    </row>
    <row r="976" spans="7:7" x14ac:dyDescent="0.3">
      <c r="G976" s="4"/>
    </row>
    <row r="977" spans="7:7" x14ac:dyDescent="0.3">
      <c r="G977" s="4"/>
    </row>
    <row r="978" spans="7:7" x14ac:dyDescent="0.3">
      <c r="G978" s="4"/>
    </row>
    <row r="979" spans="7:7" x14ac:dyDescent="0.3">
      <c r="G979" s="4"/>
    </row>
    <row r="980" spans="7:7" x14ac:dyDescent="0.3">
      <c r="G980" s="4"/>
    </row>
    <row r="981" spans="7:7" x14ac:dyDescent="0.3">
      <c r="G981" s="4"/>
    </row>
    <row r="982" spans="7:7" x14ac:dyDescent="0.3">
      <c r="G982" s="4"/>
    </row>
    <row r="983" spans="7:7" x14ac:dyDescent="0.3">
      <c r="G983" s="4"/>
    </row>
    <row r="984" spans="7:7" x14ac:dyDescent="0.3">
      <c r="G984" s="4"/>
    </row>
    <row r="985" spans="7:7" x14ac:dyDescent="0.3">
      <c r="G985" s="4"/>
    </row>
    <row r="986" spans="7:7" x14ac:dyDescent="0.3">
      <c r="G986" s="4"/>
    </row>
    <row r="987" spans="7:7" x14ac:dyDescent="0.3">
      <c r="G987" s="4"/>
    </row>
    <row r="988" spans="7:7" x14ac:dyDescent="0.3">
      <c r="G988" s="4"/>
    </row>
    <row r="989" spans="7:7" x14ac:dyDescent="0.3">
      <c r="G989" s="4"/>
    </row>
    <row r="990" spans="7:7" x14ac:dyDescent="0.3">
      <c r="G990" s="4"/>
    </row>
    <row r="991" spans="7:7" x14ac:dyDescent="0.3">
      <c r="G991" s="4"/>
    </row>
    <row r="992" spans="7:7" x14ac:dyDescent="0.3">
      <c r="G992" s="4"/>
    </row>
    <row r="993" spans="7:7" x14ac:dyDescent="0.3">
      <c r="G993" s="4"/>
    </row>
    <row r="994" spans="7:7" x14ac:dyDescent="0.3">
      <c r="G994" s="4"/>
    </row>
    <row r="995" spans="7:7" x14ac:dyDescent="0.3">
      <c r="G995" s="4"/>
    </row>
    <row r="996" spans="7:7" x14ac:dyDescent="0.3">
      <c r="G996" s="4"/>
    </row>
    <row r="997" spans="7:7" x14ac:dyDescent="0.3">
      <c r="G997" s="4"/>
    </row>
    <row r="998" spans="7:7" x14ac:dyDescent="0.3">
      <c r="G998" s="4"/>
    </row>
    <row r="999" spans="7:7" x14ac:dyDescent="0.3">
      <c r="G999" s="4"/>
    </row>
    <row r="1000" spans="7:7" x14ac:dyDescent="0.3">
      <c r="G1000" s="4"/>
    </row>
    <row r="1001" spans="7:7" x14ac:dyDescent="0.3">
      <c r="G1001" s="4"/>
    </row>
    <row r="1002" spans="7:7" x14ac:dyDescent="0.3">
      <c r="G1002" s="4"/>
    </row>
    <row r="1003" spans="7:7" x14ac:dyDescent="0.3">
      <c r="G1003" s="4"/>
    </row>
    <row r="1004" spans="7:7" x14ac:dyDescent="0.3">
      <c r="G1004" s="4"/>
    </row>
    <row r="1005" spans="7:7" x14ac:dyDescent="0.3">
      <c r="G1005" s="4"/>
    </row>
    <row r="1006" spans="7:7" x14ac:dyDescent="0.3">
      <c r="G1006" s="4"/>
    </row>
    <row r="1007" spans="7:7" x14ac:dyDescent="0.3">
      <c r="G1007" s="4"/>
    </row>
    <row r="1008" spans="7:7" x14ac:dyDescent="0.3">
      <c r="G1008" s="4"/>
    </row>
    <row r="1009" spans="7:7" x14ac:dyDescent="0.3">
      <c r="G1009" s="4"/>
    </row>
    <row r="1010" spans="7:7" x14ac:dyDescent="0.3">
      <c r="G1010" s="4"/>
    </row>
    <row r="1011" spans="7:7" x14ac:dyDescent="0.3">
      <c r="G1011" s="4"/>
    </row>
    <row r="1012" spans="7:7" x14ac:dyDescent="0.3">
      <c r="G1012" s="4"/>
    </row>
    <row r="1013" spans="7:7" x14ac:dyDescent="0.3">
      <c r="G1013" s="4"/>
    </row>
    <row r="1014" spans="7:7" x14ac:dyDescent="0.3">
      <c r="G1014" s="4"/>
    </row>
    <row r="1015" spans="7:7" x14ac:dyDescent="0.3">
      <c r="G1015" s="4"/>
    </row>
    <row r="1016" spans="7:7" x14ac:dyDescent="0.3">
      <c r="G1016" s="4"/>
    </row>
    <row r="1017" spans="7:7" x14ac:dyDescent="0.3">
      <c r="G1017" s="4"/>
    </row>
    <row r="1018" spans="7:7" x14ac:dyDescent="0.3">
      <c r="G1018" s="4"/>
    </row>
    <row r="1019" spans="7:7" x14ac:dyDescent="0.3">
      <c r="G1019" s="4"/>
    </row>
    <row r="1020" spans="7:7" x14ac:dyDescent="0.3">
      <c r="G1020" s="4"/>
    </row>
    <row r="1021" spans="7:7" x14ac:dyDescent="0.3">
      <c r="G1021" s="4"/>
    </row>
    <row r="1022" spans="7:7" x14ac:dyDescent="0.3">
      <c r="G1022" s="4"/>
    </row>
    <row r="1023" spans="7:7" x14ac:dyDescent="0.3">
      <c r="G1023" s="4"/>
    </row>
    <row r="1024" spans="7:7" x14ac:dyDescent="0.3">
      <c r="G1024" s="4"/>
    </row>
    <row r="1025" spans="7:7" x14ac:dyDescent="0.3">
      <c r="G1025" s="4"/>
    </row>
    <row r="1026" spans="7:7" x14ac:dyDescent="0.3">
      <c r="G1026" s="4"/>
    </row>
    <row r="1027" spans="7:7" x14ac:dyDescent="0.3">
      <c r="G1027" s="4"/>
    </row>
    <row r="1028" spans="7:7" x14ac:dyDescent="0.3">
      <c r="G1028" s="4"/>
    </row>
    <row r="1029" spans="7:7" x14ac:dyDescent="0.3">
      <c r="G1029" s="4"/>
    </row>
    <row r="1030" spans="7:7" x14ac:dyDescent="0.3">
      <c r="G1030" s="4"/>
    </row>
    <row r="1031" spans="7:7" x14ac:dyDescent="0.3">
      <c r="G1031" s="4"/>
    </row>
    <row r="1032" spans="7:7" x14ac:dyDescent="0.3">
      <c r="G1032" s="4"/>
    </row>
    <row r="1033" spans="7:7" x14ac:dyDescent="0.3">
      <c r="G1033" s="4"/>
    </row>
    <row r="1034" spans="7:7" x14ac:dyDescent="0.3">
      <c r="G1034" s="4"/>
    </row>
    <row r="1035" spans="7:7" x14ac:dyDescent="0.3">
      <c r="G1035" s="4"/>
    </row>
    <row r="1036" spans="7:7" x14ac:dyDescent="0.3">
      <c r="G1036" s="4"/>
    </row>
    <row r="1037" spans="7:7" x14ac:dyDescent="0.3">
      <c r="G1037" s="4"/>
    </row>
    <row r="1038" spans="7:7" x14ac:dyDescent="0.3">
      <c r="G1038" s="4"/>
    </row>
    <row r="1039" spans="7:7" x14ac:dyDescent="0.3">
      <c r="G1039" s="4"/>
    </row>
    <row r="1040" spans="7:7" x14ac:dyDescent="0.3">
      <c r="G1040" s="4"/>
    </row>
    <row r="1041" spans="7:7" x14ac:dyDescent="0.3">
      <c r="G1041" s="4"/>
    </row>
    <row r="1042" spans="7:7" x14ac:dyDescent="0.3">
      <c r="G1042" s="4"/>
    </row>
    <row r="1043" spans="7:7" x14ac:dyDescent="0.3">
      <c r="G1043" s="4"/>
    </row>
    <row r="1044" spans="7:7" x14ac:dyDescent="0.3">
      <c r="G1044" s="4"/>
    </row>
    <row r="1045" spans="7:7" x14ac:dyDescent="0.3">
      <c r="G1045" s="4"/>
    </row>
    <row r="1046" spans="7:7" x14ac:dyDescent="0.3">
      <c r="G1046" s="4"/>
    </row>
    <row r="1047" spans="7:7" x14ac:dyDescent="0.3">
      <c r="G1047" s="4"/>
    </row>
    <row r="1048" spans="7:7" x14ac:dyDescent="0.3">
      <c r="G1048" s="4"/>
    </row>
    <row r="1049" spans="7:7" x14ac:dyDescent="0.3">
      <c r="G1049" s="4"/>
    </row>
    <row r="1050" spans="7:7" x14ac:dyDescent="0.3">
      <c r="G1050" s="4"/>
    </row>
    <row r="1051" spans="7:7" x14ac:dyDescent="0.3">
      <c r="G1051" s="4"/>
    </row>
    <row r="1052" spans="7:7" x14ac:dyDescent="0.3">
      <c r="G1052" s="4"/>
    </row>
    <row r="1053" spans="7:7" x14ac:dyDescent="0.3">
      <c r="G1053" s="4"/>
    </row>
    <row r="1054" spans="7:7" x14ac:dyDescent="0.3">
      <c r="G1054" s="4"/>
    </row>
    <row r="1055" spans="7:7" x14ac:dyDescent="0.3">
      <c r="G1055" s="4"/>
    </row>
    <row r="1056" spans="7:7" x14ac:dyDescent="0.3">
      <c r="G1056" s="4"/>
    </row>
    <row r="1057" spans="7:7" x14ac:dyDescent="0.3">
      <c r="G1057" s="4"/>
    </row>
    <row r="1058" spans="7:7" x14ac:dyDescent="0.3">
      <c r="G1058" s="4"/>
    </row>
    <row r="1059" spans="7:7" x14ac:dyDescent="0.3">
      <c r="G1059" s="4"/>
    </row>
    <row r="1060" spans="7:7" x14ac:dyDescent="0.3">
      <c r="G1060" s="4"/>
    </row>
    <row r="1061" spans="7:7" x14ac:dyDescent="0.3">
      <c r="G1061" s="4"/>
    </row>
    <row r="1062" spans="7:7" x14ac:dyDescent="0.3">
      <c r="G1062" s="4"/>
    </row>
    <row r="1063" spans="7:7" x14ac:dyDescent="0.3">
      <c r="G1063" s="4"/>
    </row>
    <row r="1064" spans="7:7" x14ac:dyDescent="0.3">
      <c r="G1064" s="4"/>
    </row>
    <row r="1065" spans="7:7" x14ac:dyDescent="0.3">
      <c r="G1065" s="4"/>
    </row>
    <row r="1066" spans="7:7" x14ac:dyDescent="0.3">
      <c r="G1066" s="4"/>
    </row>
    <row r="1067" spans="7:7" x14ac:dyDescent="0.3">
      <c r="G1067" s="4"/>
    </row>
    <row r="1068" spans="7:7" x14ac:dyDescent="0.3">
      <c r="G1068" s="4"/>
    </row>
    <row r="1069" spans="7:7" x14ac:dyDescent="0.3">
      <c r="G1069" s="4"/>
    </row>
    <row r="1070" spans="7:7" x14ac:dyDescent="0.3">
      <c r="G1070" s="4"/>
    </row>
    <row r="1071" spans="7:7" x14ac:dyDescent="0.3">
      <c r="G1071" s="4"/>
    </row>
    <row r="1072" spans="7:7" x14ac:dyDescent="0.3">
      <c r="G1072" s="4"/>
    </row>
    <row r="1073" spans="7:7" x14ac:dyDescent="0.3">
      <c r="G1073" s="4"/>
    </row>
    <row r="1074" spans="7:7" x14ac:dyDescent="0.3">
      <c r="G1074" s="4"/>
    </row>
    <row r="1075" spans="7:7" x14ac:dyDescent="0.3">
      <c r="G1075" s="4"/>
    </row>
    <row r="1076" spans="7:7" x14ac:dyDescent="0.3">
      <c r="G1076" s="4"/>
    </row>
    <row r="1077" spans="7:7" x14ac:dyDescent="0.3">
      <c r="G1077" s="4"/>
    </row>
    <row r="1078" spans="7:7" x14ac:dyDescent="0.3">
      <c r="G1078" s="4"/>
    </row>
    <row r="1079" spans="7:7" x14ac:dyDescent="0.3">
      <c r="G1079" s="4"/>
    </row>
    <row r="1080" spans="7:7" x14ac:dyDescent="0.3">
      <c r="G1080" s="4"/>
    </row>
    <row r="1081" spans="7:7" x14ac:dyDescent="0.3">
      <c r="G1081" s="4"/>
    </row>
    <row r="1082" spans="7:7" x14ac:dyDescent="0.3">
      <c r="G1082" s="4"/>
    </row>
    <row r="1083" spans="7:7" x14ac:dyDescent="0.3">
      <c r="G1083" s="4"/>
    </row>
    <row r="1084" spans="7:7" x14ac:dyDescent="0.3">
      <c r="G1084" s="4"/>
    </row>
    <row r="1085" spans="7:7" x14ac:dyDescent="0.3">
      <c r="G1085" s="4"/>
    </row>
    <row r="1086" spans="7:7" x14ac:dyDescent="0.3">
      <c r="G1086" s="4"/>
    </row>
    <row r="1087" spans="7:7" x14ac:dyDescent="0.3">
      <c r="G1087" s="4"/>
    </row>
    <row r="1088" spans="7:7" x14ac:dyDescent="0.3">
      <c r="G1088" s="4"/>
    </row>
    <row r="1089" spans="7:7" x14ac:dyDescent="0.3">
      <c r="G1089" s="4"/>
    </row>
    <row r="1090" spans="7:7" x14ac:dyDescent="0.3">
      <c r="G1090" s="4"/>
    </row>
    <row r="1091" spans="7:7" x14ac:dyDescent="0.3">
      <c r="G1091" s="4"/>
    </row>
    <row r="1092" spans="7:7" x14ac:dyDescent="0.3">
      <c r="G1092" s="4"/>
    </row>
    <row r="1093" spans="7:7" x14ac:dyDescent="0.3">
      <c r="G1093" s="4"/>
    </row>
    <row r="1094" spans="7:7" x14ac:dyDescent="0.3">
      <c r="G1094" s="4"/>
    </row>
    <row r="1095" spans="7:7" x14ac:dyDescent="0.3">
      <c r="G1095" s="4"/>
    </row>
    <row r="1096" spans="7:7" x14ac:dyDescent="0.3">
      <c r="G1096" s="4"/>
    </row>
    <row r="1097" spans="7:7" x14ac:dyDescent="0.3">
      <c r="G1097" s="4"/>
    </row>
    <row r="1098" spans="7:7" x14ac:dyDescent="0.3">
      <c r="G1098" s="4"/>
    </row>
    <row r="1099" spans="7:7" x14ac:dyDescent="0.3">
      <c r="G1099" s="4"/>
    </row>
    <row r="1100" spans="7:7" x14ac:dyDescent="0.3">
      <c r="G1100" s="4"/>
    </row>
    <row r="1101" spans="7:7" x14ac:dyDescent="0.3">
      <c r="G1101" s="4"/>
    </row>
    <row r="1102" spans="7:7" x14ac:dyDescent="0.3">
      <c r="G1102" s="4"/>
    </row>
    <row r="1103" spans="7:7" x14ac:dyDescent="0.3">
      <c r="G1103" s="4"/>
    </row>
    <row r="1104" spans="7:7" x14ac:dyDescent="0.3">
      <c r="G1104" s="4"/>
    </row>
    <row r="1105" spans="7:7" x14ac:dyDescent="0.3">
      <c r="G1105" s="4"/>
    </row>
    <row r="1106" spans="7:7" x14ac:dyDescent="0.3">
      <c r="G1106" s="4"/>
    </row>
    <row r="1107" spans="7:7" x14ac:dyDescent="0.3">
      <c r="G1107" s="4"/>
    </row>
    <row r="1108" spans="7:7" x14ac:dyDescent="0.3">
      <c r="G1108" s="4"/>
    </row>
    <row r="1109" spans="7:7" x14ac:dyDescent="0.3">
      <c r="G1109" s="4"/>
    </row>
    <row r="1110" spans="7:7" x14ac:dyDescent="0.3">
      <c r="G1110" s="4"/>
    </row>
    <row r="1111" spans="7:7" x14ac:dyDescent="0.3">
      <c r="G1111" s="4"/>
    </row>
    <row r="1112" spans="7:7" x14ac:dyDescent="0.3">
      <c r="G1112" s="4"/>
    </row>
    <row r="1113" spans="7:7" x14ac:dyDescent="0.3">
      <c r="G1113" s="4"/>
    </row>
    <row r="1114" spans="7:7" x14ac:dyDescent="0.3">
      <c r="G1114" s="4"/>
    </row>
    <row r="1115" spans="7:7" x14ac:dyDescent="0.3">
      <c r="G1115" s="4"/>
    </row>
    <row r="1116" spans="7:7" x14ac:dyDescent="0.3">
      <c r="G1116" s="4"/>
    </row>
    <row r="1117" spans="7:7" x14ac:dyDescent="0.3">
      <c r="G1117" s="4"/>
    </row>
    <row r="1118" spans="7:7" x14ac:dyDescent="0.3">
      <c r="G1118" s="4"/>
    </row>
    <row r="1119" spans="7:7" x14ac:dyDescent="0.3">
      <c r="G1119" s="4"/>
    </row>
    <row r="1120" spans="7:7" x14ac:dyDescent="0.3">
      <c r="G1120" s="4"/>
    </row>
    <row r="1121" spans="7:7" x14ac:dyDescent="0.3">
      <c r="G1121" s="4"/>
    </row>
    <row r="1122" spans="7:7" x14ac:dyDescent="0.3">
      <c r="G1122" s="4"/>
    </row>
    <row r="1123" spans="7:7" x14ac:dyDescent="0.3">
      <c r="G1123" s="4"/>
    </row>
    <row r="1124" spans="7:7" x14ac:dyDescent="0.3">
      <c r="G1124" s="4"/>
    </row>
    <row r="1125" spans="7:7" x14ac:dyDescent="0.3">
      <c r="G1125" s="4"/>
    </row>
    <row r="1126" spans="7:7" x14ac:dyDescent="0.3">
      <c r="G1126" s="4"/>
    </row>
    <row r="1127" spans="7:7" x14ac:dyDescent="0.3">
      <c r="G1127" s="4"/>
    </row>
    <row r="1128" spans="7:7" x14ac:dyDescent="0.3">
      <c r="G1128" s="4"/>
    </row>
    <row r="1129" spans="7:7" x14ac:dyDescent="0.3">
      <c r="G1129" s="4"/>
    </row>
    <row r="1130" spans="7:7" x14ac:dyDescent="0.3">
      <c r="G1130" s="4"/>
    </row>
    <row r="1131" spans="7:7" x14ac:dyDescent="0.3">
      <c r="G1131" s="4"/>
    </row>
    <row r="1132" spans="7:7" x14ac:dyDescent="0.3">
      <c r="G1132" s="4"/>
    </row>
    <row r="1133" spans="7:7" x14ac:dyDescent="0.3">
      <c r="G1133" s="4"/>
    </row>
    <row r="1134" spans="7:7" x14ac:dyDescent="0.3">
      <c r="G1134" s="4"/>
    </row>
    <row r="1135" spans="7:7" x14ac:dyDescent="0.3">
      <c r="G1135" s="4"/>
    </row>
    <row r="1136" spans="7:7" x14ac:dyDescent="0.3">
      <c r="G1136" s="4"/>
    </row>
    <row r="1137" spans="7:7" x14ac:dyDescent="0.3">
      <c r="G1137" s="4"/>
    </row>
    <row r="1138" spans="7:7" x14ac:dyDescent="0.3">
      <c r="G1138" s="4"/>
    </row>
    <row r="1139" spans="7:7" x14ac:dyDescent="0.3">
      <c r="G1139" s="4"/>
    </row>
    <row r="1140" spans="7:7" x14ac:dyDescent="0.3">
      <c r="G1140" s="4"/>
    </row>
    <row r="1141" spans="7:7" x14ac:dyDescent="0.3">
      <c r="G1141" s="4"/>
    </row>
    <row r="1142" spans="7:7" x14ac:dyDescent="0.3">
      <c r="G1142" s="4"/>
    </row>
    <row r="1143" spans="7:7" x14ac:dyDescent="0.3">
      <c r="G1143" s="4"/>
    </row>
    <row r="1144" spans="7:7" x14ac:dyDescent="0.3">
      <c r="G1144" s="4"/>
    </row>
    <row r="1145" spans="7:7" x14ac:dyDescent="0.3">
      <c r="G1145" s="4"/>
    </row>
    <row r="1146" spans="7:7" x14ac:dyDescent="0.3">
      <c r="G1146" s="4"/>
    </row>
    <row r="1147" spans="7:7" x14ac:dyDescent="0.3">
      <c r="G1147" s="4"/>
    </row>
    <row r="1148" spans="7:7" x14ac:dyDescent="0.3">
      <c r="G1148" s="4"/>
    </row>
    <row r="1149" spans="7:7" x14ac:dyDescent="0.3">
      <c r="G1149" s="4"/>
    </row>
    <row r="1150" spans="7:7" x14ac:dyDescent="0.3">
      <c r="G1150" s="4"/>
    </row>
    <row r="1151" spans="7:7" x14ac:dyDescent="0.3">
      <c r="G1151" s="4"/>
    </row>
    <row r="1152" spans="7:7" x14ac:dyDescent="0.3">
      <c r="G1152" s="4"/>
    </row>
    <row r="1153" spans="7:7" x14ac:dyDescent="0.3">
      <c r="G1153" s="4"/>
    </row>
    <row r="1154" spans="7:7" x14ac:dyDescent="0.3">
      <c r="G1154" s="4"/>
    </row>
    <row r="1155" spans="7:7" x14ac:dyDescent="0.3">
      <c r="G1155" s="4"/>
    </row>
    <row r="1156" spans="7:7" x14ac:dyDescent="0.3">
      <c r="G1156" s="4"/>
    </row>
    <row r="1157" spans="7:7" x14ac:dyDescent="0.3">
      <c r="G1157" s="4"/>
    </row>
    <row r="1158" spans="7:7" x14ac:dyDescent="0.3">
      <c r="G1158" s="4"/>
    </row>
    <row r="1159" spans="7:7" x14ac:dyDescent="0.3">
      <c r="G1159" s="4"/>
    </row>
    <row r="1160" spans="7:7" x14ac:dyDescent="0.3">
      <c r="G1160" s="4"/>
    </row>
    <row r="1161" spans="7:7" x14ac:dyDescent="0.3">
      <c r="G1161" s="4"/>
    </row>
    <row r="1162" spans="7:7" x14ac:dyDescent="0.3">
      <c r="G1162" s="4"/>
    </row>
    <row r="1163" spans="7:7" x14ac:dyDescent="0.3">
      <c r="G1163" s="4"/>
    </row>
    <row r="1164" spans="7:7" x14ac:dyDescent="0.3">
      <c r="G1164" s="4"/>
    </row>
    <row r="1165" spans="7:7" x14ac:dyDescent="0.3">
      <c r="G1165" s="4"/>
    </row>
    <row r="1166" spans="7:7" x14ac:dyDescent="0.3">
      <c r="G1166" s="4"/>
    </row>
    <row r="1167" spans="7:7" x14ac:dyDescent="0.3">
      <c r="G1167" s="4"/>
    </row>
    <row r="1168" spans="7:7" x14ac:dyDescent="0.3">
      <c r="G1168" s="4"/>
    </row>
    <row r="1169" spans="7:7" x14ac:dyDescent="0.3">
      <c r="G1169" s="4"/>
    </row>
    <row r="1170" spans="7:7" x14ac:dyDescent="0.3">
      <c r="G1170" s="4"/>
    </row>
    <row r="1171" spans="7:7" x14ac:dyDescent="0.3">
      <c r="G1171" s="4"/>
    </row>
    <row r="1172" spans="7:7" x14ac:dyDescent="0.3">
      <c r="G1172" s="4"/>
    </row>
    <row r="1173" spans="7:7" x14ac:dyDescent="0.3">
      <c r="G1173" s="4"/>
    </row>
    <row r="1174" spans="7:7" x14ac:dyDescent="0.3">
      <c r="G1174" s="4"/>
    </row>
    <row r="1175" spans="7:7" x14ac:dyDescent="0.3">
      <c r="G1175" s="4"/>
    </row>
    <row r="1176" spans="7:7" x14ac:dyDescent="0.3">
      <c r="G1176" s="4"/>
    </row>
    <row r="1177" spans="7:7" x14ac:dyDescent="0.3">
      <c r="G1177" s="4"/>
    </row>
    <row r="1178" spans="7:7" x14ac:dyDescent="0.3">
      <c r="G1178" s="4"/>
    </row>
    <row r="1179" spans="7:7" x14ac:dyDescent="0.3">
      <c r="G1179" s="4"/>
    </row>
    <row r="1180" spans="7:7" x14ac:dyDescent="0.3">
      <c r="G1180" s="4"/>
    </row>
    <row r="1181" spans="7:7" x14ac:dyDescent="0.3">
      <c r="G1181" s="4"/>
    </row>
    <row r="1182" spans="7:7" x14ac:dyDescent="0.3">
      <c r="G1182" s="4"/>
    </row>
    <row r="1183" spans="7:7" x14ac:dyDescent="0.3">
      <c r="G1183" s="4"/>
    </row>
    <row r="1184" spans="7:7" x14ac:dyDescent="0.3">
      <c r="G1184" s="4"/>
    </row>
    <row r="1185" spans="7:7" x14ac:dyDescent="0.3">
      <c r="G1185" s="4"/>
    </row>
    <row r="1186" spans="7:7" x14ac:dyDescent="0.3">
      <c r="G1186" s="4"/>
    </row>
    <row r="1187" spans="7:7" x14ac:dyDescent="0.3">
      <c r="G1187" s="4"/>
    </row>
    <row r="1188" spans="7:7" x14ac:dyDescent="0.3">
      <c r="G1188" s="4"/>
    </row>
    <row r="1189" spans="7:7" x14ac:dyDescent="0.3">
      <c r="G1189" s="4"/>
    </row>
    <row r="1190" spans="7:7" x14ac:dyDescent="0.3">
      <c r="G1190" s="4"/>
    </row>
    <row r="1191" spans="7:7" x14ac:dyDescent="0.3">
      <c r="G1191" s="4"/>
    </row>
    <row r="1192" spans="7:7" x14ac:dyDescent="0.3">
      <c r="G1192" s="4"/>
    </row>
    <row r="1193" spans="7:7" x14ac:dyDescent="0.3">
      <c r="G1193" s="4"/>
    </row>
    <row r="1194" spans="7:7" x14ac:dyDescent="0.3">
      <c r="G1194" s="4"/>
    </row>
    <row r="1195" spans="7:7" x14ac:dyDescent="0.3">
      <c r="G1195" s="4"/>
    </row>
    <row r="1196" spans="7:7" x14ac:dyDescent="0.3">
      <c r="G1196" s="4"/>
    </row>
    <row r="1197" spans="7:7" x14ac:dyDescent="0.3">
      <c r="G1197" s="4"/>
    </row>
    <row r="1198" spans="7:7" x14ac:dyDescent="0.3">
      <c r="G1198" s="4"/>
    </row>
    <row r="1199" spans="7:7" x14ac:dyDescent="0.3">
      <c r="G1199" s="4"/>
    </row>
    <row r="1200" spans="7:7" x14ac:dyDescent="0.3">
      <c r="G1200" s="4"/>
    </row>
    <row r="1201" spans="7:7" x14ac:dyDescent="0.3">
      <c r="G1201" s="4"/>
    </row>
    <row r="1202" spans="7:7" x14ac:dyDescent="0.3">
      <c r="G1202" s="4"/>
    </row>
    <row r="1203" spans="7:7" x14ac:dyDescent="0.3">
      <c r="G1203" s="4"/>
    </row>
    <row r="1204" spans="7:7" x14ac:dyDescent="0.3">
      <c r="G1204" s="4"/>
    </row>
    <row r="1205" spans="7:7" x14ac:dyDescent="0.3">
      <c r="G1205" s="4"/>
    </row>
    <row r="1206" spans="7:7" x14ac:dyDescent="0.3">
      <c r="G1206" s="4"/>
    </row>
    <row r="1207" spans="7:7" x14ac:dyDescent="0.3">
      <c r="G1207" s="4"/>
    </row>
    <row r="1208" spans="7:7" x14ac:dyDescent="0.3">
      <c r="G1208" s="4"/>
    </row>
    <row r="1209" spans="7:7" x14ac:dyDescent="0.3">
      <c r="G1209" s="4"/>
    </row>
    <row r="1210" spans="7:7" x14ac:dyDescent="0.3">
      <c r="G1210" s="4"/>
    </row>
    <row r="1211" spans="7:7" x14ac:dyDescent="0.3">
      <c r="G1211" s="4"/>
    </row>
    <row r="1212" spans="7:7" x14ac:dyDescent="0.3">
      <c r="G1212" s="4"/>
    </row>
    <row r="1213" spans="7:7" x14ac:dyDescent="0.3">
      <c r="G1213" s="4"/>
    </row>
    <row r="1214" spans="7:7" x14ac:dyDescent="0.3">
      <c r="G1214" s="4"/>
    </row>
    <row r="1215" spans="7:7" x14ac:dyDescent="0.3">
      <c r="G1215" s="4"/>
    </row>
    <row r="1216" spans="7:7" x14ac:dyDescent="0.3">
      <c r="G1216" s="4"/>
    </row>
    <row r="1217" spans="7:7" x14ac:dyDescent="0.3">
      <c r="G1217" s="4"/>
    </row>
    <row r="1218" spans="7:7" x14ac:dyDescent="0.3">
      <c r="G1218" s="4"/>
    </row>
    <row r="1219" spans="7:7" x14ac:dyDescent="0.3">
      <c r="G1219" s="4"/>
    </row>
    <row r="1220" spans="7:7" x14ac:dyDescent="0.3">
      <c r="G1220" s="4"/>
    </row>
    <row r="1221" spans="7:7" x14ac:dyDescent="0.3">
      <c r="G1221" s="4"/>
    </row>
    <row r="1222" spans="7:7" x14ac:dyDescent="0.3">
      <c r="G1222" s="4"/>
    </row>
    <row r="1223" spans="7:7" x14ac:dyDescent="0.3">
      <c r="G1223" s="4"/>
    </row>
    <row r="1224" spans="7:7" x14ac:dyDescent="0.3">
      <c r="G1224" s="4"/>
    </row>
    <row r="1225" spans="7:7" x14ac:dyDescent="0.3">
      <c r="G1225" s="4"/>
    </row>
    <row r="1226" spans="7:7" x14ac:dyDescent="0.3">
      <c r="G1226" s="4"/>
    </row>
    <row r="1227" spans="7:7" x14ac:dyDescent="0.3">
      <c r="G1227" s="4"/>
    </row>
    <row r="1228" spans="7:7" x14ac:dyDescent="0.3">
      <c r="G1228" s="4"/>
    </row>
    <row r="1229" spans="7:7" x14ac:dyDescent="0.3">
      <c r="G1229" s="4"/>
    </row>
    <row r="1230" spans="7:7" x14ac:dyDescent="0.3">
      <c r="G1230" s="4"/>
    </row>
    <row r="1231" spans="7:7" x14ac:dyDescent="0.3">
      <c r="G1231" s="4"/>
    </row>
    <row r="1232" spans="7:7" x14ac:dyDescent="0.3">
      <c r="G1232" s="4"/>
    </row>
    <row r="1233" spans="7:7" x14ac:dyDescent="0.3">
      <c r="G1233" s="4"/>
    </row>
    <row r="1234" spans="7:7" x14ac:dyDescent="0.3">
      <c r="G1234" s="4"/>
    </row>
    <row r="1235" spans="7:7" x14ac:dyDescent="0.3">
      <c r="G1235" s="4"/>
    </row>
    <row r="1236" spans="7:7" x14ac:dyDescent="0.3">
      <c r="G1236" s="4"/>
    </row>
    <row r="1237" spans="7:7" x14ac:dyDescent="0.3">
      <c r="G1237" s="4"/>
    </row>
    <row r="1238" spans="7:7" x14ac:dyDescent="0.3">
      <c r="G1238" s="4"/>
    </row>
    <row r="1239" spans="7:7" x14ac:dyDescent="0.3">
      <c r="G1239" s="4"/>
    </row>
    <row r="1240" spans="7:7" x14ac:dyDescent="0.3">
      <c r="G1240" s="4"/>
    </row>
    <row r="1241" spans="7:7" x14ac:dyDescent="0.3">
      <c r="G1241" s="4"/>
    </row>
    <row r="1242" spans="7:7" x14ac:dyDescent="0.3">
      <c r="G1242" s="4"/>
    </row>
    <row r="1243" spans="7:7" x14ac:dyDescent="0.3">
      <c r="G1243" s="4"/>
    </row>
    <row r="1244" spans="7:7" x14ac:dyDescent="0.3">
      <c r="G1244" s="4"/>
    </row>
    <row r="1245" spans="7:7" x14ac:dyDescent="0.3">
      <c r="G1245" s="4"/>
    </row>
    <row r="1246" spans="7:7" x14ac:dyDescent="0.3">
      <c r="G1246" s="4"/>
    </row>
    <row r="1247" spans="7:7" x14ac:dyDescent="0.3">
      <c r="G1247" s="4"/>
    </row>
    <row r="1248" spans="7:7" x14ac:dyDescent="0.3">
      <c r="G1248" s="4"/>
    </row>
    <row r="1249" spans="7:7" x14ac:dyDescent="0.3">
      <c r="G1249" s="4"/>
    </row>
    <row r="1250" spans="7:7" x14ac:dyDescent="0.3">
      <c r="G1250" s="4"/>
    </row>
    <row r="1251" spans="7:7" x14ac:dyDescent="0.3">
      <c r="G1251" s="4"/>
    </row>
    <row r="1252" spans="7:7" x14ac:dyDescent="0.3">
      <c r="G1252" s="4"/>
    </row>
    <row r="1253" spans="7:7" x14ac:dyDescent="0.3">
      <c r="G1253" s="4"/>
    </row>
    <row r="1254" spans="7:7" x14ac:dyDescent="0.3">
      <c r="G1254" s="4"/>
    </row>
    <row r="1255" spans="7:7" x14ac:dyDescent="0.3">
      <c r="G1255" s="4"/>
    </row>
    <row r="1256" spans="7:7" x14ac:dyDescent="0.3">
      <c r="G1256" s="4"/>
    </row>
    <row r="1257" spans="7:7" x14ac:dyDescent="0.3">
      <c r="G1257" s="4"/>
    </row>
    <row r="1258" spans="7:7" x14ac:dyDescent="0.3">
      <c r="G1258" s="4"/>
    </row>
    <row r="1259" spans="7:7" x14ac:dyDescent="0.3">
      <c r="G1259" s="4"/>
    </row>
    <row r="1260" spans="7:7" x14ac:dyDescent="0.3">
      <c r="G1260" s="4"/>
    </row>
    <row r="1261" spans="7:7" x14ac:dyDescent="0.3">
      <c r="G1261" s="4"/>
    </row>
    <row r="1262" spans="7:7" x14ac:dyDescent="0.3">
      <c r="G1262" s="4"/>
    </row>
    <row r="1263" spans="7:7" x14ac:dyDescent="0.3">
      <c r="G1263" s="4"/>
    </row>
    <row r="1264" spans="7:7" x14ac:dyDescent="0.3">
      <c r="G1264" s="4"/>
    </row>
    <row r="1265" spans="7:7" x14ac:dyDescent="0.3">
      <c r="G1265" s="4"/>
    </row>
    <row r="1266" spans="7:7" x14ac:dyDescent="0.3">
      <c r="G1266" s="4"/>
    </row>
    <row r="1267" spans="7:7" x14ac:dyDescent="0.3">
      <c r="G1267" s="4"/>
    </row>
    <row r="1268" spans="7:7" x14ac:dyDescent="0.3">
      <c r="G1268" s="4"/>
    </row>
    <row r="1269" spans="7:7" x14ac:dyDescent="0.3">
      <c r="G1269" s="4"/>
    </row>
    <row r="1270" spans="7:7" x14ac:dyDescent="0.3">
      <c r="G1270" s="4"/>
    </row>
    <row r="1271" spans="7:7" x14ac:dyDescent="0.3">
      <c r="G1271" s="4"/>
    </row>
    <row r="1272" spans="7:7" x14ac:dyDescent="0.3">
      <c r="G1272" s="4"/>
    </row>
    <row r="1273" spans="7:7" x14ac:dyDescent="0.3">
      <c r="G1273" s="4"/>
    </row>
    <row r="1274" spans="7:7" x14ac:dyDescent="0.3">
      <c r="G1274" s="4"/>
    </row>
    <row r="1275" spans="7:7" x14ac:dyDescent="0.3">
      <c r="G1275" s="4"/>
    </row>
    <row r="1276" spans="7:7" x14ac:dyDescent="0.3">
      <c r="G1276" s="4"/>
    </row>
    <row r="1277" spans="7:7" x14ac:dyDescent="0.3">
      <c r="G1277" s="4"/>
    </row>
    <row r="1278" spans="7:7" x14ac:dyDescent="0.3">
      <c r="G1278" s="4"/>
    </row>
    <row r="1279" spans="7:7" x14ac:dyDescent="0.3">
      <c r="G1279" s="4"/>
    </row>
    <row r="1280" spans="7:7" x14ac:dyDescent="0.3">
      <c r="G1280" s="4"/>
    </row>
    <row r="1281" spans="7:7" x14ac:dyDescent="0.3">
      <c r="G1281" s="4"/>
    </row>
    <row r="1282" spans="7:7" x14ac:dyDescent="0.3">
      <c r="G1282" s="4"/>
    </row>
    <row r="1283" spans="7:7" x14ac:dyDescent="0.3">
      <c r="G1283" s="4"/>
    </row>
    <row r="1284" spans="7:7" x14ac:dyDescent="0.3">
      <c r="G1284" s="4"/>
    </row>
    <row r="1285" spans="7:7" x14ac:dyDescent="0.3">
      <c r="G1285" s="4"/>
    </row>
    <row r="1286" spans="7:7" x14ac:dyDescent="0.3">
      <c r="G1286" s="4"/>
    </row>
    <row r="1287" spans="7:7" x14ac:dyDescent="0.3">
      <c r="G1287" s="4"/>
    </row>
    <row r="1288" spans="7:7" x14ac:dyDescent="0.3">
      <c r="G1288" s="4"/>
    </row>
    <row r="1289" spans="7:7" x14ac:dyDescent="0.3">
      <c r="G1289" s="4"/>
    </row>
    <row r="1290" spans="7:7" x14ac:dyDescent="0.3">
      <c r="G1290" s="4"/>
    </row>
    <row r="1291" spans="7:7" x14ac:dyDescent="0.3">
      <c r="G1291" s="4"/>
    </row>
    <row r="1292" spans="7:7" x14ac:dyDescent="0.3">
      <c r="G1292" s="4"/>
    </row>
    <row r="1293" spans="7:7" x14ac:dyDescent="0.3">
      <c r="G1293" s="4"/>
    </row>
    <row r="1294" spans="7:7" x14ac:dyDescent="0.3">
      <c r="G1294" s="4"/>
    </row>
    <row r="1295" spans="7:7" x14ac:dyDescent="0.3">
      <c r="G1295" s="4"/>
    </row>
    <row r="1296" spans="7:7" x14ac:dyDescent="0.3">
      <c r="G1296" s="4"/>
    </row>
    <row r="1297" spans="7:7" x14ac:dyDescent="0.3">
      <c r="G1297" s="4"/>
    </row>
    <row r="1298" spans="7:7" x14ac:dyDescent="0.3">
      <c r="G1298" s="4"/>
    </row>
    <row r="1299" spans="7:7" x14ac:dyDescent="0.3">
      <c r="G1299" s="4"/>
    </row>
    <row r="1300" spans="7:7" x14ac:dyDescent="0.3">
      <c r="G1300" s="4"/>
    </row>
    <row r="1301" spans="7:7" x14ac:dyDescent="0.3">
      <c r="G1301" s="4"/>
    </row>
    <row r="1302" spans="7:7" x14ac:dyDescent="0.3">
      <c r="G1302" s="4"/>
    </row>
    <row r="1303" spans="7:7" x14ac:dyDescent="0.3">
      <c r="G1303" s="4"/>
    </row>
    <row r="1304" spans="7:7" x14ac:dyDescent="0.3">
      <c r="G1304" s="4"/>
    </row>
    <row r="1305" spans="7:7" x14ac:dyDescent="0.3">
      <c r="G1305" s="4"/>
    </row>
    <row r="1306" spans="7:7" x14ac:dyDescent="0.3">
      <c r="G1306" s="4"/>
    </row>
    <row r="1307" spans="7:7" x14ac:dyDescent="0.3">
      <c r="G1307" s="4"/>
    </row>
    <row r="1308" spans="7:7" x14ac:dyDescent="0.3">
      <c r="G1308" s="4"/>
    </row>
    <row r="1309" spans="7:7" x14ac:dyDescent="0.3">
      <c r="G1309" s="4"/>
    </row>
    <row r="1310" spans="7:7" x14ac:dyDescent="0.3">
      <c r="G1310" s="4"/>
    </row>
    <row r="1311" spans="7:7" x14ac:dyDescent="0.3">
      <c r="G1311" s="4"/>
    </row>
    <row r="1312" spans="7:7" x14ac:dyDescent="0.3">
      <c r="G1312" s="4"/>
    </row>
    <row r="1313" spans="7:7" x14ac:dyDescent="0.3">
      <c r="G1313" s="4"/>
    </row>
    <row r="1314" spans="7:7" x14ac:dyDescent="0.3">
      <c r="G1314" s="4"/>
    </row>
    <row r="1315" spans="7:7" x14ac:dyDescent="0.3">
      <c r="G1315" s="4"/>
    </row>
    <row r="1316" spans="7:7" x14ac:dyDescent="0.3">
      <c r="G1316" s="4"/>
    </row>
    <row r="1317" spans="7:7" x14ac:dyDescent="0.3">
      <c r="G1317" s="4"/>
    </row>
    <row r="1318" spans="7:7" x14ac:dyDescent="0.3">
      <c r="G1318" s="4"/>
    </row>
    <row r="1319" spans="7:7" x14ac:dyDescent="0.3">
      <c r="G1319" s="4"/>
    </row>
    <row r="1320" spans="7:7" x14ac:dyDescent="0.3">
      <c r="G1320" s="4"/>
    </row>
    <row r="1321" spans="7:7" x14ac:dyDescent="0.3">
      <c r="G1321" s="4"/>
    </row>
    <row r="1322" spans="7:7" x14ac:dyDescent="0.3">
      <c r="G1322" s="4"/>
    </row>
    <row r="1323" spans="7:7" x14ac:dyDescent="0.3">
      <c r="G1323" s="4"/>
    </row>
    <row r="1324" spans="7:7" x14ac:dyDescent="0.3">
      <c r="G1324" s="4"/>
    </row>
    <row r="1325" spans="7:7" x14ac:dyDescent="0.3">
      <c r="G1325" s="4"/>
    </row>
    <row r="1326" spans="7:7" x14ac:dyDescent="0.3">
      <c r="G1326" s="4"/>
    </row>
    <row r="1327" spans="7:7" x14ac:dyDescent="0.3">
      <c r="G1327" s="4"/>
    </row>
    <row r="1328" spans="7:7" x14ac:dyDescent="0.3">
      <c r="G1328" s="4"/>
    </row>
    <row r="1329" spans="7:7" x14ac:dyDescent="0.3">
      <c r="G1329" s="4"/>
    </row>
    <row r="1330" spans="7:7" x14ac:dyDescent="0.3">
      <c r="G1330" s="4"/>
    </row>
    <row r="1331" spans="7:7" x14ac:dyDescent="0.3">
      <c r="G1331" s="4"/>
    </row>
    <row r="1332" spans="7:7" x14ac:dyDescent="0.3">
      <c r="G1332" s="4"/>
    </row>
    <row r="1333" spans="7:7" x14ac:dyDescent="0.3">
      <c r="G1333" s="4"/>
    </row>
    <row r="1334" spans="7:7" x14ac:dyDescent="0.3">
      <c r="G1334" s="4"/>
    </row>
    <row r="1335" spans="7:7" x14ac:dyDescent="0.3">
      <c r="G1335" s="4"/>
    </row>
    <row r="1336" spans="7:7" x14ac:dyDescent="0.3">
      <c r="G1336" s="4"/>
    </row>
    <row r="1337" spans="7:7" x14ac:dyDescent="0.3">
      <c r="G1337" s="4"/>
    </row>
    <row r="1338" spans="7:7" x14ac:dyDescent="0.3">
      <c r="G1338" s="4"/>
    </row>
    <row r="1339" spans="7:7" x14ac:dyDescent="0.3">
      <c r="G1339" s="4"/>
    </row>
    <row r="1340" spans="7:7" x14ac:dyDescent="0.3">
      <c r="G1340" s="4"/>
    </row>
    <row r="1341" spans="7:7" x14ac:dyDescent="0.3">
      <c r="G1341" s="4"/>
    </row>
    <row r="1342" spans="7:7" x14ac:dyDescent="0.3">
      <c r="G1342" s="4"/>
    </row>
    <row r="1343" spans="7:7" x14ac:dyDescent="0.3">
      <c r="G1343" s="4"/>
    </row>
    <row r="1344" spans="7:7" x14ac:dyDescent="0.3">
      <c r="G1344" s="4"/>
    </row>
    <row r="1345" spans="7:7" x14ac:dyDescent="0.3">
      <c r="G1345" s="4"/>
    </row>
    <row r="1346" spans="7:7" x14ac:dyDescent="0.3">
      <c r="G1346" s="4"/>
    </row>
    <row r="1347" spans="7:7" x14ac:dyDescent="0.3">
      <c r="G1347" s="4"/>
    </row>
    <row r="1348" spans="7:7" x14ac:dyDescent="0.3">
      <c r="G1348" s="4"/>
    </row>
    <row r="1349" spans="7:7" x14ac:dyDescent="0.3">
      <c r="G1349" s="4"/>
    </row>
    <row r="1350" spans="7:7" x14ac:dyDescent="0.3">
      <c r="G1350" s="4"/>
    </row>
    <row r="1351" spans="7:7" x14ac:dyDescent="0.3">
      <c r="G1351" s="4"/>
    </row>
    <row r="1352" spans="7:7" x14ac:dyDescent="0.3">
      <c r="G1352" s="4"/>
    </row>
    <row r="1353" spans="7:7" x14ac:dyDescent="0.3">
      <c r="G1353" s="4"/>
    </row>
    <row r="1354" spans="7:7" x14ac:dyDescent="0.3">
      <c r="G1354" s="4"/>
    </row>
    <row r="1355" spans="7:7" x14ac:dyDescent="0.3">
      <c r="G1355" s="4"/>
    </row>
    <row r="1356" spans="7:7" x14ac:dyDescent="0.3">
      <c r="G1356" s="4"/>
    </row>
    <row r="1357" spans="7:7" x14ac:dyDescent="0.3">
      <c r="G1357" s="4"/>
    </row>
    <row r="1358" spans="7:7" x14ac:dyDescent="0.3">
      <c r="G1358" s="4"/>
    </row>
    <row r="1359" spans="7:7" x14ac:dyDescent="0.3">
      <c r="G1359" s="4"/>
    </row>
    <row r="1360" spans="7:7" x14ac:dyDescent="0.3">
      <c r="G1360" s="4"/>
    </row>
    <row r="1361" spans="7:7" x14ac:dyDescent="0.3">
      <c r="G1361" s="4"/>
    </row>
    <row r="1362" spans="7:7" x14ac:dyDescent="0.3">
      <c r="G1362" s="4"/>
    </row>
    <row r="1363" spans="7:7" x14ac:dyDescent="0.3">
      <c r="G1363" s="4"/>
    </row>
    <row r="1364" spans="7:7" x14ac:dyDescent="0.3">
      <c r="G1364" s="4"/>
    </row>
    <row r="1365" spans="7:7" x14ac:dyDescent="0.3">
      <c r="G1365" s="4"/>
    </row>
    <row r="1366" spans="7:7" x14ac:dyDescent="0.3">
      <c r="G1366" s="4"/>
    </row>
    <row r="1367" spans="7:7" x14ac:dyDescent="0.3">
      <c r="G1367" s="4"/>
    </row>
    <row r="1368" spans="7:7" x14ac:dyDescent="0.3">
      <c r="G1368" s="4"/>
    </row>
    <row r="1369" spans="7:7" x14ac:dyDescent="0.3">
      <c r="G1369" s="4"/>
    </row>
    <row r="1370" spans="7:7" x14ac:dyDescent="0.3">
      <c r="G1370" s="4"/>
    </row>
    <row r="1371" spans="7:7" x14ac:dyDescent="0.3">
      <c r="G1371" s="4"/>
    </row>
    <row r="1372" spans="7:7" x14ac:dyDescent="0.3">
      <c r="G1372" s="4"/>
    </row>
    <row r="1373" spans="7:7" x14ac:dyDescent="0.3">
      <c r="G1373" s="4"/>
    </row>
    <row r="1374" spans="7:7" x14ac:dyDescent="0.3">
      <c r="G1374" s="4"/>
    </row>
    <row r="1375" spans="7:7" x14ac:dyDescent="0.3">
      <c r="G1375" s="4"/>
    </row>
    <row r="1376" spans="7:7" x14ac:dyDescent="0.3">
      <c r="G1376" s="4"/>
    </row>
    <row r="1377" spans="7:7" x14ac:dyDescent="0.3">
      <c r="G1377" s="4"/>
    </row>
    <row r="1378" spans="7:7" x14ac:dyDescent="0.3">
      <c r="G1378" s="4"/>
    </row>
    <row r="1379" spans="7:7" x14ac:dyDescent="0.3">
      <c r="G1379" s="4"/>
    </row>
    <row r="1380" spans="7:7" x14ac:dyDescent="0.3">
      <c r="G1380" s="4"/>
    </row>
    <row r="1381" spans="7:7" x14ac:dyDescent="0.3">
      <c r="G1381" s="4"/>
    </row>
    <row r="1382" spans="7:7" x14ac:dyDescent="0.3">
      <c r="G1382" s="4"/>
    </row>
    <row r="1383" spans="7:7" x14ac:dyDescent="0.3">
      <c r="G1383" s="4"/>
    </row>
    <row r="1384" spans="7:7" x14ac:dyDescent="0.3">
      <c r="G1384" s="4"/>
    </row>
    <row r="1385" spans="7:7" x14ac:dyDescent="0.3">
      <c r="G1385" s="4"/>
    </row>
    <row r="1386" spans="7:7" x14ac:dyDescent="0.3">
      <c r="G1386" s="4"/>
    </row>
    <row r="1387" spans="7:7" x14ac:dyDescent="0.3">
      <c r="G1387" s="4"/>
    </row>
    <row r="1388" spans="7:7" x14ac:dyDescent="0.3">
      <c r="G1388" s="4"/>
    </row>
    <row r="1389" spans="7:7" x14ac:dyDescent="0.3">
      <c r="G1389" s="4"/>
    </row>
    <row r="1390" spans="7:7" x14ac:dyDescent="0.3">
      <c r="G1390" s="4"/>
    </row>
    <row r="1391" spans="7:7" x14ac:dyDescent="0.3">
      <c r="G1391" s="4"/>
    </row>
    <row r="1392" spans="7:7" x14ac:dyDescent="0.3">
      <c r="G1392" s="4"/>
    </row>
    <row r="1393" spans="7:7" x14ac:dyDescent="0.3">
      <c r="G1393" s="4"/>
    </row>
    <row r="1394" spans="7:7" x14ac:dyDescent="0.3">
      <c r="G1394" s="4"/>
    </row>
    <row r="1395" spans="7:7" x14ac:dyDescent="0.3">
      <c r="G1395" s="4"/>
    </row>
    <row r="1396" spans="7:7" x14ac:dyDescent="0.3">
      <c r="G1396" s="4"/>
    </row>
    <row r="1397" spans="7:7" x14ac:dyDescent="0.3">
      <c r="G1397" s="4"/>
    </row>
    <row r="1398" spans="7:7" x14ac:dyDescent="0.3">
      <c r="G1398" s="4"/>
    </row>
    <row r="1399" spans="7:7" x14ac:dyDescent="0.3">
      <c r="G1399" s="4"/>
    </row>
    <row r="1400" spans="7:7" x14ac:dyDescent="0.3">
      <c r="G1400" s="4"/>
    </row>
    <row r="1401" spans="7:7" x14ac:dyDescent="0.3">
      <c r="G1401" s="4"/>
    </row>
    <row r="1402" spans="7:7" x14ac:dyDescent="0.3">
      <c r="G1402" s="4"/>
    </row>
    <row r="1403" spans="7:7" x14ac:dyDescent="0.3">
      <c r="G1403" s="4"/>
    </row>
    <row r="1404" spans="7:7" x14ac:dyDescent="0.3">
      <c r="G1404" s="4"/>
    </row>
    <row r="1405" spans="7:7" x14ac:dyDescent="0.3">
      <c r="G1405" s="4"/>
    </row>
    <row r="1406" spans="7:7" x14ac:dyDescent="0.3">
      <c r="G1406" s="4"/>
    </row>
    <row r="1407" spans="7:7" x14ac:dyDescent="0.3">
      <c r="G1407" s="4"/>
    </row>
    <row r="1408" spans="7:7" x14ac:dyDescent="0.3">
      <c r="G1408" s="4"/>
    </row>
    <row r="1409" spans="7:7" x14ac:dyDescent="0.3">
      <c r="G1409" s="4"/>
    </row>
    <row r="1410" spans="7:7" x14ac:dyDescent="0.3">
      <c r="G1410" s="4"/>
    </row>
    <row r="1411" spans="7:7" x14ac:dyDescent="0.3">
      <c r="G1411" s="4"/>
    </row>
    <row r="1412" spans="7:7" x14ac:dyDescent="0.3">
      <c r="G1412" s="4"/>
    </row>
    <row r="1413" spans="7:7" x14ac:dyDescent="0.3">
      <c r="G1413" s="4"/>
    </row>
    <row r="1414" spans="7:7" x14ac:dyDescent="0.3">
      <c r="G1414" s="4"/>
    </row>
    <row r="1415" spans="7:7" x14ac:dyDescent="0.3">
      <c r="G1415" s="4"/>
    </row>
    <row r="1416" spans="7:7" x14ac:dyDescent="0.3">
      <c r="G1416" s="4"/>
    </row>
    <row r="1417" spans="7:7" x14ac:dyDescent="0.3">
      <c r="G1417" s="4"/>
    </row>
    <row r="1418" spans="7:7" x14ac:dyDescent="0.3">
      <c r="G1418" s="4"/>
    </row>
    <row r="1419" spans="7:7" x14ac:dyDescent="0.3">
      <c r="G1419" s="4"/>
    </row>
    <row r="1420" spans="7:7" x14ac:dyDescent="0.3">
      <c r="G1420" s="4"/>
    </row>
    <row r="1421" spans="7:7" x14ac:dyDescent="0.3">
      <c r="G1421" s="4"/>
    </row>
    <row r="1422" spans="7:7" x14ac:dyDescent="0.3">
      <c r="G1422" s="4"/>
    </row>
    <row r="1423" spans="7:7" x14ac:dyDescent="0.3">
      <c r="G1423" s="4"/>
    </row>
    <row r="1424" spans="7:7" x14ac:dyDescent="0.3">
      <c r="G1424" s="4"/>
    </row>
    <row r="1425" spans="7:7" x14ac:dyDescent="0.3">
      <c r="G1425" s="4"/>
    </row>
    <row r="1426" spans="7:7" x14ac:dyDescent="0.3">
      <c r="G1426" s="4"/>
    </row>
    <row r="1427" spans="7:7" x14ac:dyDescent="0.3">
      <c r="G1427" s="4"/>
    </row>
    <row r="1428" spans="7:7" x14ac:dyDescent="0.3">
      <c r="G1428" s="4"/>
    </row>
    <row r="1429" spans="7:7" x14ac:dyDescent="0.3">
      <c r="G1429" s="4"/>
    </row>
    <row r="1430" spans="7:7" x14ac:dyDescent="0.3">
      <c r="G1430" s="4"/>
    </row>
    <row r="1431" spans="7:7" x14ac:dyDescent="0.3">
      <c r="G1431" s="4"/>
    </row>
    <row r="1432" spans="7:7" x14ac:dyDescent="0.3">
      <c r="G1432" s="4"/>
    </row>
    <row r="1433" spans="7:7" x14ac:dyDescent="0.3">
      <c r="G1433" s="4"/>
    </row>
    <row r="1434" spans="7:7" x14ac:dyDescent="0.3">
      <c r="G1434" s="4"/>
    </row>
    <row r="1435" spans="7:7" x14ac:dyDescent="0.3">
      <c r="G1435" s="4"/>
    </row>
    <row r="1436" spans="7:7" x14ac:dyDescent="0.3">
      <c r="G1436" s="4"/>
    </row>
    <row r="1437" spans="7:7" x14ac:dyDescent="0.3">
      <c r="G1437" s="4"/>
    </row>
    <row r="1438" spans="7:7" x14ac:dyDescent="0.3">
      <c r="G1438" s="4"/>
    </row>
    <row r="1439" spans="7:7" x14ac:dyDescent="0.3">
      <c r="G1439" s="4"/>
    </row>
    <row r="1440" spans="7:7" x14ac:dyDescent="0.3">
      <c r="G1440" s="4"/>
    </row>
    <row r="1441" spans="7:7" x14ac:dyDescent="0.3">
      <c r="G1441" s="4"/>
    </row>
    <row r="1442" spans="7:7" x14ac:dyDescent="0.3">
      <c r="G1442" s="4"/>
    </row>
    <row r="1443" spans="7:7" x14ac:dyDescent="0.3">
      <c r="G1443" s="4"/>
    </row>
    <row r="1444" spans="7:7" x14ac:dyDescent="0.3">
      <c r="G1444" s="4"/>
    </row>
    <row r="1445" spans="7:7" x14ac:dyDescent="0.3">
      <c r="G1445" s="4"/>
    </row>
    <row r="1446" spans="7:7" x14ac:dyDescent="0.3">
      <c r="G1446" s="4"/>
    </row>
    <row r="1447" spans="7:7" x14ac:dyDescent="0.3">
      <c r="G1447" s="4"/>
    </row>
    <row r="1448" spans="7:7" x14ac:dyDescent="0.3">
      <c r="G1448" s="4"/>
    </row>
    <row r="1449" spans="7:7" x14ac:dyDescent="0.3">
      <c r="G1449" s="4"/>
    </row>
    <row r="1450" spans="7:7" x14ac:dyDescent="0.3">
      <c r="G1450" s="4"/>
    </row>
    <row r="1451" spans="7:7" x14ac:dyDescent="0.3">
      <c r="G1451" s="4"/>
    </row>
    <row r="1452" spans="7:7" x14ac:dyDescent="0.3">
      <c r="G1452" s="4"/>
    </row>
    <row r="1453" spans="7:7" x14ac:dyDescent="0.3">
      <c r="G1453" s="4"/>
    </row>
    <row r="1454" spans="7:7" x14ac:dyDescent="0.3">
      <c r="G1454" s="4"/>
    </row>
    <row r="1455" spans="7:7" x14ac:dyDescent="0.3">
      <c r="G1455" s="4"/>
    </row>
    <row r="1456" spans="7:7" x14ac:dyDescent="0.3">
      <c r="G1456" s="4"/>
    </row>
    <row r="1457" spans="7:7" x14ac:dyDescent="0.3">
      <c r="G1457" s="4"/>
    </row>
    <row r="1458" spans="7:7" x14ac:dyDescent="0.3">
      <c r="G1458" s="4"/>
    </row>
    <row r="1459" spans="7:7" x14ac:dyDescent="0.3">
      <c r="G1459" s="4"/>
    </row>
    <row r="1460" spans="7:7" x14ac:dyDescent="0.3">
      <c r="G1460" s="4"/>
    </row>
    <row r="1461" spans="7:7" x14ac:dyDescent="0.3">
      <c r="G1461" s="4"/>
    </row>
    <row r="1462" spans="7:7" x14ac:dyDescent="0.3">
      <c r="G1462" s="4"/>
    </row>
    <row r="1463" spans="7:7" x14ac:dyDescent="0.3">
      <c r="G1463" s="4"/>
    </row>
    <row r="1464" spans="7:7" x14ac:dyDescent="0.3">
      <c r="G1464" s="4"/>
    </row>
    <row r="1465" spans="7:7" x14ac:dyDescent="0.3">
      <c r="G1465" s="4"/>
    </row>
    <row r="1466" spans="7:7" x14ac:dyDescent="0.3">
      <c r="G1466" s="4"/>
    </row>
    <row r="1467" spans="7:7" x14ac:dyDescent="0.3">
      <c r="G1467" s="4"/>
    </row>
    <row r="1468" spans="7:7" x14ac:dyDescent="0.3">
      <c r="G1468" s="4"/>
    </row>
  </sheetData>
  <autoFilter ref="A1:R21" xr:uid="{529EB5A7-C12C-4CB6-8305-2AC4971A9756}"/>
  <phoneticPr fontId="1" type="noConversion"/>
  <dataValidations count="1">
    <dataValidation type="list" allowBlank="1" showInputMessage="1" showErrorMessage="1" sqref="C1:C1048576" xr:uid="{26B794BA-5ACC-4CF7-A9C7-B4418B70B5B3}">
      <formula1>"公立,私立"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TIPS</vt:lpstr>
      <vt:lpstr>可视化动态图形合集</vt:lpstr>
      <vt:lpstr>省市</vt:lpstr>
      <vt:lpstr>ALL总表-各代理商总达成</vt:lpstr>
      <vt:lpstr>代理商-产品进销存</vt:lpstr>
      <vt:lpstr>代理商-进货明细表</vt:lpstr>
      <vt:lpstr>代理商-授权医院清单</vt:lpstr>
      <vt:lpstr>终端客户销售统计表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wangc</dc:creator>
  <cp:lastModifiedBy>史 敏</cp:lastModifiedBy>
  <dcterms:created xsi:type="dcterms:W3CDTF">2025-12-11T05:39:13Z</dcterms:created>
  <dcterms:modified xsi:type="dcterms:W3CDTF">2025-12-15T09:54:51Z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FBF896A939344FEA9C530A976844C119_13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