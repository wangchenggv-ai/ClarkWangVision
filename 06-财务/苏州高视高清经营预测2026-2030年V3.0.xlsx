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我的文档\3、苏州高视高清\"/>
    </mc:Choice>
  </mc:AlternateContent>
  <xr:revisionPtr revIDLastSave="0" documentId="13_ncr:1_{13A30004-ACDB-401B-A087-FC65A02BCF88}" xr6:coauthVersionLast="47" xr6:coauthVersionMax="47" xr10:uidLastSave="{00000000-0000-0000-0000-000000000000}"/>
  <bookViews>
    <workbookView xWindow="-3435" yWindow="-21720" windowWidth="38640" windowHeight="21120" xr2:uid="{00000000-000D-0000-FFFF-FFFF00000000}"/>
  </bookViews>
  <sheets>
    <sheet name="经营预测" sheetId="1" r:id="rId1"/>
    <sheet name="收入预测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E37" i="1"/>
  <c r="E36" i="1"/>
  <c r="E35" i="1"/>
  <c r="D8" i="1"/>
  <c r="F8" i="1"/>
  <c r="O7" i="1" s="1"/>
  <c r="G7" i="1"/>
  <c r="H7" i="1"/>
  <c r="I7" i="1"/>
  <c r="F7" i="1"/>
  <c r="F5" i="1"/>
  <c r="E4" i="1"/>
  <c r="E13" i="1"/>
  <c r="E11" i="1"/>
  <c r="E25" i="1"/>
  <c r="E20" i="1"/>
  <c r="M21" i="1" l="1"/>
  <c r="M22" i="1"/>
  <c r="D25" i="1" l="1"/>
  <c r="D23" i="1"/>
  <c r="D20" i="1"/>
  <c r="D13" i="1"/>
  <c r="D6" i="1"/>
  <c r="K40" i="3"/>
  <c r="L15" i="3"/>
  <c r="L7" i="3"/>
  <c r="F27" i="1" l="1"/>
  <c r="G27" i="1"/>
  <c r="H27" i="1"/>
  <c r="I27" i="1"/>
  <c r="F12" i="1"/>
  <c r="S5" i="1"/>
  <c r="S16" i="1"/>
  <c r="S19" i="1"/>
  <c r="C5" i="1"/>
  <c r="C6" i="1"/>
  <c r="C14" i="1"/>
  <c r="J29" i="1"/>
  <c r="F19" i="1"/>
  <c r="G19" i="1" s="1"/>
  <c r="H19" i="1" s="1"/>
  <c r="I19" i="1" s="1"/>
  <c r="F14" i="1"/>
  <c r="G14" i="1" s="1"/>
  <c r="H14" i="1" s="1"/>
  <c r="I14" i="1" s="1"/>
  <c r="C25" i="1"/>
  <c r="F20" i="1"/>
  <c r="G20" i="1" s="1"/>
  <c r="H20" i="1" s="1"/>
  <c r="I20" i="1" s="1"/>
  <c r="C20" i="1"/>
  <c r="G26" i="1"/>
  <c r="H26" i="1"/>
  <c r="F26" i="1"/>
  <c r="L23" i="3"/>
  <c r="L21" i="3"/>
  <c r="X15" i="3"/>
  <c r="X7" i="3"/>
  <c r="S15" i="3"/>
  <c r="S7" i="3"/>
  <c r="Q14" i="3"/>
  <c r="R14" i="3"/>
  <c r="R13" i="3"/>
  <c r="R12" i="3"/>
  <c r="S12" i="3" s="1"/>
  <c r="R11" i="3"/>
  <c r="T11" i="3" s="1"/>
  <c r="X11" i="3" s="1"/>
  <c r="R6" i="3"/>
  <c r="T6" i="3" s="1"/>
  <c r="X6" i="3" s="1"/>
  <c r="R5" i="3"/>
  <c r="T5" i="3" s="1"/>
  <c r="X5" i="3" s="1"/>
  <c r="R4" i="3"/>
  <c r="S4" i="3" s="1"/>
  <c r="R3" i="3"/>
  <c r="T3" i="3" s="1"/>
  <c r="X3" i="3" s="1"/>
  <c r="F22" i="3"/>
  <c r="G22" i="3" s="1"/>
  <c r="F21" i="3"/>
  <c r="H21" i="3" s="1"/>
  <c r="F20" i="3"/>
  <c r="H20" i="3" s="1"/>
  <c r="L20" i="3" s="1"/>
  <c r="F19" i="3"/>
  <c r="H19" i="3" s="1"/>
  <c r="L19" i="3" s="1"/>
  <c r="F14" i="3"/>
  <c r="H14" i="3" s="1"/>
  <c r="L14" i="3" s="1"/>
  <c r="F13" i="3"/>
  <c r="G13" i="3" s="1"/>
  <c r="F12" i="3"/>
  <c r="G12" i="3" s="1"/>
  <c r="F11" i="3"/>
  <c r="G11" i="3" s="1"/>
  <c r="F6" i="3"/>
  <c r="G6" i="3" s="1"/>
  <c r="F5" i="3"/>
  <c r="H5" i="3" s="1"/>
  <c r="L5" i="3" s="1"/>
  <c r="F4" i="3"/>
  <c r="G4" i="3" s="1"/>
  <c r="B32" i="3"/>
  <c r="C35" i="3" s="1"/>
  <c r="B41" i="3"/>
  <c r="B43" i="3" s="1"/>
  <c r="B33" i="3"/>
  <c r="B37" i="3" s="1"/>
  <c r="F54" i="3"/>
  <c r="F55" i="3" s="1"/>
  <c r="F57" i="3" s="1"/>
  <c r="G50" i="3"/>
  <c r="G49" i="3"/>
  <c r="G48" i="3"/>
  <c r="F51" i="3"/>
  <c r="J57" i="3"/>
  <c r="J59" i="3" s="1"/>
  <c r="J52" i="3"/>
  <c r="J42" i="3"/>
  <c r="J44" i="3" s="1"/>
  <c r="F41" i="3"/>
  <c r="F43" i="3" s="1"/>
  <c r="J37" i="3"/>
  <c r="F36" i="3"/>
  <c r="K36" i="3"/>
  <c r="K35" i="3"/>
  <c r="K34" i="3"/>
  <c r="G35" i="3"/>
  <c r="G34" i="3"/>
  <c r="G33" i="3"/>
  <c r="G36" i="3" s="1"/>
  <c r="E28" i="3"/>
  <c r="U14" i="3"/>
  <c r="V14" i="3" s="1"/>
  <c r="T14" i="3"/>
  <c r="X14" i="3" s="1"/>
  <c r="U13" i="3"/>
  <c r="U12" i="3"/>
  <c r="U11" i="3"/>
  <c r="U6" i="3"/>
  <c r="V6" i="3" s="1"/>
  <c r="U5" i="3"/>
  <c r="V5" i="3" s="1"/>
  <c r="U4" i="3"/>
  <c r="V4" i="3" s="1"/>
  <c r="U3" i="3"/>
  <c r="V3" i="3" s="1"/>
  <c r="S13" i="1"/>
  <c r="I22" i="3"/>
  <c r="J22" i="3" s="1"/>
  <c r="I21" i="3"/>
  <c r="J21" i="3" s="1"/>
  <c r="I20" i="3"/>
  <c r="J20" i="3" s="1"/>
  <c r="I19" i="3"/>
  <c r="J19" i="3" s="1"/>
  <c r="I14" i="3"/>
  <c r="J14" i="3" s="1"/>
  <c r="I13" i="3"/>
  <c r="J13" i="3" s="1"/>
  <c r="I12" i="3"/>
  <c r="J12" i="3" s="1"/>
  <c r="I11" i="3"/>
  <c r="J11" i="3" s="1"/>
  <c r="J6" i="3"/>
  <c r="I5" i="3"/>
  <c r="J5" i="3" s="1"/>
  <c r="I4" i="3"/>
  <c r="J4" i="3" s="1"/>
  <c r="I3" i="3"/>
  <c r="J3" i="3" s="1"/>
  <c r="F3" i="3"/>
  <c r="H3" i="3" s="1"/>
  <c r="L3" i="3" s="1"/>
  <c r="G6" i="1" l="1"/>
  <c r="G5" i="1"/>
  <c r="F24" i="1"/>
  <c r="C36" i="3"/>
  <c r="V11" i="3"/>
  <c r="V12" i="3"/>
  <c r="T13" i="3"/>
  <c r="X13" i="3" s="1"/>
  <c r="V13" i="3"/>
  <c r="C34" i="3"/>
  <c r="C33" i="3"/>
  <c r="K37" i="3"/>
  <c r="G51" i="3"/>
  <c r="T4" i="3"/>
  <c r="T12" i="3"/>
  <c r="X12" i="3" s="1"/>
  <c r="V8" i="3"/>
  <c r="S13" i="3"/>
  <c r="S14" i="3"/>
  <c r="S11" i="3"/>
  <c r="S5" i="3"/>
  <c r="S6" i="3"/>
  <c r="S3" i="3"/>
  <c r="G5" i="3"/>
  <c r="H13" i="3"/>
  <c r="L13" i="3" s="1"/>
  <c r="H11" i="3"/>
  <c r="L11" i="3" s="1"/>
  <c r="H6" i="3"/>
  <c r="L6" i="3" s="1"/>
  <c r="J16" i="3"/>
  <c r="J8" i="3"/>
  <c r="H12" i="3"/>
  <c r="L12" i="3" s="1"/>
  <c r="H4" i="3"/>
  <c r="L4" i="3" s="1"/>
  <c r="L8" i="3" s="1"/>
  <c r="G3" i="3"/>
  <c r="G19" i="3"/>
  <c r="G21" i="3"/>
  <c r="H22" i="3"/>
  <c r="L22" i="3" s="1"/>
  <c r="L24" i="3" s="1"/>
  <c r="G14" i="3"/>
  <c r="G20" i="3"/>
  <c r="H6" i="1" l="1"/>
  <c r="H8" i="1" s="1"/>
  <c r="Q7" i="1" s="1"/>
  <c r="G8" i="1"/>
  <c r="P7" i="1" s="1"/>
  <c r="P9" i="1" s="1"/>
  <c r="L16" i="3"/>
  <c r="X16" i="3"/>
  <c r="H5" i="1"/>
  <c r="I6" i="1"/>
  <c r="I8" i="1" s="1"/>
  <c r="R7" i="1" s="1"/>
  <c r="G24" i="1"/>
  <c r="C37" i="3"/>
  <c r="T8" i="3"/>
  <c r="X4" i="3"/>
  <c r="X8" i="3" s="1"/>
  <c r="Y8" i="3" s="1"/>
  <c r="H33" i="1" s="1"/>
  <c r="V16" i="3"/>
  <c r="W16" i="3" s="1"/>
  <c r="T16" i="3"/>
  <c r="I3" i="1" s="1"/>
  <c r="S8" i="3"/>
  <c r="W8" i="3"/>
  <c r="H3" i="1"/>
  <c r="H4" i="1" s="1"/>
  <c r="K16" i="3"/>
  <c r="K8" i="3"/>
  <c r="S16" i="3"/>
  <c r="J24" i="3"/>
  <c r="G16" i="3"/>
  <c r="H24" i="3"/>
  <c r="M24" i="3" s="1"/>
  <c r="G33" i="1" s="1"/>
  <c r="G24" i="3"/>
  <c r="H8" i="3"/>
  <c r="E3" i="1" s="1"/>
  <c r="G8" i="3"/>
  <c r="H16" i="3"/>
  <c r="M16" i="3" l="1"/>
  <c r="F33" i="1" s="1"/>
  <c r="M8" i="3"/>
  <c r="I5" i="1"/>
  <c r="H24" i="1"/>
  <c r="Y16" i="3"/>
  <c r="I33" i="1" s="1"/>
  <c r="I4" i="1" s="1"/>
  <c r="G3" i="1"/>
  <c r="H34" i="1" s="1"/>
  <c r="K24" i="3"/>
  <c r="F3" i="1"/>
  <c r="F34" i="1" s="1"/>
  <c r="L21" i="1"/>
  <c r="L22" i="1" s="1"/>
  <c r="L18" i="1"/>
  <c r="L14" i="1"/>
  <c r="L15" i="1" s="1"/>
  <c r="L11" i="1"/>
  <c r="L6" i="1"/>
  <c r="S20" i="1"/>
  <c r="S4" i="1"/>
  <c r="N18" i="1"/>
  <c r="O18" i="1"/>
  <c r="P18" i="1"/>
  <c r="Q18" i="1"/>
  <c r="R18" i="1"/>
  <c r="M14" i="1"/>
  <c r="M15" i="1" s="1"/>
  <c r="N14" i="1"/>
  <c r="N15" i="1" s="1"/>
  <c r="O14" i="1"/>
  <c r="P14" i="1"/>
  <c r="P15" i="1" s="1"/>
  <c r="Q14" i="1"/>
  <c r="Q15" i="1" s="1"/>
  <c r="R14" i="1"/>
  <c r="R15" i="1" s="1"/>
  <c r="N3" i="1"/>
  <c r="Q3" i="1"/>
  <c r="R3" i="1"/>
  <c r="F28" i="1"/>
  <c r="F18" i="1"/>
  <c r="G18" i="1" s="1"/>
  <c r="H18" i="1" s="1"/>
  <c r="I18" i="1" s="1"/>
  <c r="F25" i="1"/>
  <c r="G25" i="1" s="1"/>
  <c r="H25" i="1" s="1"/>
  <c r="I25" i="1" s="1"/>
  <c r="I34" i="1"/>
  <c r="C15" i="1"/>
  <c r="F15" i="1"/>
  <c r="G15" i="1" s="1"/>
  <c r="H15" i="1" s="1"/>
  <c r="I15" i="1" s="1"/>
  <c r="H9" i="1"/>
  <c r="D9" i="1"/>
  <c r="D33" i="1" s="1"/>
  <c r="C9" i="1"/>
  <c r="O21" i="1" l="1"/>
  <c r="N22" i="1"/>
  <c r="M18" i="1"/>
  <c r="S18" i="1" s="1"/>
  <c r="S17" i="1"/>
  <c r="L23" i="1"/>
  <c r="C33" i="1"/>
  <c r="O15" i="1"/>
  <c r="S15" i="1" s="1"/>
  <c r="S14" i="1"/>
  <c r="E9" i="1"/>
  <c r="E33" i="1" s="1"/>
  <c r="I9" i="1"/>
  <c r="R9" i="1"/>
  <c r="F13" i="1"/>
  <c r="F23" i="1"/>
  <c r="I24" i="1"/>
  <c r="R6" i="1"/>
  <c r="N6" i="1"/>
  <c r="Q6" i="1"/>
  <c r="H10" i="1"/>
  <c r="F4" i="1"/>
  <c r="G4" i="1"/>
  <c r="P3" i="1"/>
  <c r="O3" i="1"/>
  <c r="S3" i="1" s="1"/>
  <c r="G34" i="1"/>
  <c r="Q9" i="1"/>
  <c r="L12" i="1"/>
  <c r="M23" i="1"/>
  <c r="M6" i="1"/>
  <c r="C31" i="1"/>
  <c r="C32" i="1" s="1"/>
  <c r="P21" i="1" l="1"/>
  <c r="O22" i="1"/>
  <c r="I10" i="1"/>
  <c r="N23" i="1"/>
  <c r="G9" i="1"/>
  <c r="F9" i="1"/>
  <c r="G13" i="1"/>
  <c r="F17" i="1"/>
  <c r="F16" i="1" s="1"/>
  <c r="E16" i="1"/>
  <c r="D21" i="1"/>
  <c r="G23" i="1"/>
  <c r="P6" i="1"/>
  <c r="G10" i="1"/>
  <c r="O6" i="1"/>
  <c r="S6" i="1" s="1"/>
  <c r="L24" i="1"/>
  <c r="L28" i="1" s="1"/>
  <c r="O23" i="1"/>
  <c r="D11" i="1"/>
  <c r="Q21" i="1" l="1"/>
  <c r="P22" i="1"/>
  <c r="O9" i="1"/>
  <c r="S9" i="1" s="1"/>
  <c r="S7" i="1"/>
  <c r="H13" i="1"/>
  <c r="F10" i="1"/>
  <c r="G12" i="1"/>
  <c r="H23" i="1"/>
  <c r="E21" i="1"/>
  <c r="G17" i="1"/>
  <c r="G16" i="1" s="1"/>
  <c r="L26" i="1"/>
  <c r="M25" i="1" s="1"/>
  <c r="P23" i="1"/>
  <c r="M11" i="1"/>
  <c r="M12" i="1" s="1"/>
  <c r="M24" i="1" s="1"/>
  <c r="M28" i="1" s="1"/>
  <c r="R21" i="1" l="1"/>
  <c r="S21" i="1" s="1"/>
  <c r="Q22" i="1"/>
  <c r="Q23" i="1" s="1"/>
  <c r="F22" i="1"/>
  <c r="F21" i="1" s="1"/>
  <c r="O10" i="1" s="1"/>
  <c r="N11" i="1"/>
  <c r="N12" i="1" s="1"/>
  <c r="N24" i="1" s="1"/>
  <c r="N28" i="1" s="1"/>
  <c r="H12" i="1"/>
  <c r="I13" i="1"/>
  <c r="H17" i="1"/>
  <c r="H16" i="1" s="1"/>
  <c r="I23" i="1"/>
  <c r="M26" i="1"/>
  <c r="N25" i="1" s="1"/>
  <c r="R22" i="1" l="1"/>
  <c r="R23" i="1" s="1"/>
  <c r="S23" i="1"/>
  <c r="S22" i="1"/>
  <c r="I12" i="1"/>
  <c r="G22" i="1"/>
  <c r="G21" i="1" s="1"/>
  <c r="P10" i="1" s="1"/>
  <c r="O8" i="1"/>
  <c r="O11" i="1" s="1"/>
  <c r="I17" i="1"/>
  <c r="I16" i="1" s="1"/>
  <c r="N26" i="1"/>
  <c r="O12" i="1" l="1"/>
  <c r="H22" i="1"/>
  <c r="H21" i="1" s="1"/>
  <c r="Q10" i="1" s="1"/>
  <c r="P8" i="1"/>
  <c r="P11" i="1" s="1"/>
  <c r="P12" i="1" s="1"/>
  <c r="P24" i="1" s="1"/>
  <c r="P28" i="1" l="1"/>
  <c r="O24" i="1"/>
  <c r="I22" i="1"/>
  <c r="I21" i="1" s="1"/>
  <c r="R10" i="1" s="1"/>
  <c r="S10" i="1" s="1"/>
  <c r="Q8" i="1"/>
  <c r="Q11" i="1" s="1"/>
  <c r="Q12" i="1" s="1"/>
  <c r="Q24" i="1" s="1"/>
  <c r="P26" i="1"/>
  <c r="Q28" i="1" l="1"/>
  <c r="O28" i="1"/>
  <c r="O26" i="1"/>
  <c r="Q26" i="1"/>
  <c r="F11" i="1"/>
  <c r="O27" i="1" l="1"/>
  <c r="G11" i="1"/>
  <c r="H11" i="1" l="1"/>
  <c r="I11" i="1" l="1"/>
  <c r="D16" i="1"/>
  <c r="D31" i="1" l="1"/>
  <c r="D32" i="1" s="1"/>
  <c r="E31" i="1"/>
  <c r="E32" i="1" s="1"/>
  <c r="F31" i="1" l="1"/>
  <c r="F32" i="1" s="1"/>
  <c r="G31" i="1" l="1"/>
  <c r="G32" i="1" s="1"/>
  <c r="H31" i="1" l="1"/>
  <c r="H32" i="1" s="1"/>
  <c r="I31" i="1"/>
  <c r="I32" i="1" s="1"/>
  <c r="R8" i="1" l="1"/>
  <c r="R11" i="1" l="1"/>
  <c r="S8" i="1"/>
  <c r="R12" i="1" l="1"/>
  <c r="S11" i="1"/>
  <c r="R24" i="1" l="1"/>
  <c r="S12" i="1"/>
  <c r="T11" i="1" s="1"/>
  <c r="S24" i="1" l="1"/>
  <c r="T24" i="1" s="1"/>
  <c r="R28" i="1"/>
  <c r="R26" i="1"/>
</calcChain>
</file>

<file path=xl/sharedStrings.xml><?xml version="1.0" encoding="utf-8"?>
<sst xmlns="http://schemas.openxmlformats.org/spreadsheetml/2006/main" count="252" uniqueCount="108">
  <si>
    <t>项目</t>
    <phoneticPr fontId="4" type="noConversion"/>
  </si>
  <si>
    <t>2024年</t>
  </si>
  <si>
    <t xml:space="preserve"> 加 : 其他收益</t>
  </si>
  <si>
    <t>2026年</t>
    <phoneticPr fontId="4" type="noConversion"/>
  </si>
  <si>
    <t>2027年</t>
  </si>
  <si>
    <t>2028年</t>
  </si>
  <si>
    <t>2029年</t>
  </si>
  <si>
    <t>2030年</t>
  </si>
  <si>
    <t>单位：万元</t>
    <phoneticPr fontId="4" type="noConversion"/>
  </si>
  <si>
    <t>2025年</t>
    <phoneticPr fontId="4" type="noConversion"/>
  </si>
  <si>
    <t>毛利率</t>
  </si>
  <si>
    <t xml:space="preserve">         公共费用</t>
    <phoneticPr fontId="4" type="noConversion"/>
  </si>
  <si>
    <t xml:space="preserve">          市场费用</t>
    <phoneticPr fontId="4" type="noConversion"/>
  </si>
  <si>
    <t xml:space="preserve">         其他费用</t>
    <phoneticPr fontId="4" type="noConversion"/>
  </si>
  <si>
    <t>税金及附加</t>
    <phoneticPr fontId="4" type="noConversion"/>
  </si>
  <si>
    <t>毛利润</t>
    <phoneticPr fontId="4" type="noConversion"/>
  </si>
  <si>
    <t>营业成本</t>
    <phoneticPr fontId="4" type="noConversion"/>
  </si>
  <si>
    <t>营业收入</t>
    <phoneticPr fontId="4" type="noConversion"/>
  </si>
  <si>
    <t>管理费用</t>
    <phoneticPr fontId="4" type="noConversion"/>
  </si>
  <si>
    <t>销售费用</t>
    <phoneticPr fontId="4" type="noConversion"/>
  </si>
  <si>
    <t>研发费用</t>
    <phoneticPr fontId="4" type="noConversion"/>
  </si>
  <si>
    <t>财务费用</t>
    <phoneticPr fontId="4" type="noConversion"/>
  </si>
  <si>
    <t>信用减值损失</t>
    <phoneticPr fontId="4" type="noConversion"/>
  </si>
  <si>
    <t>资产减值损失</t>
    <phoneticPr fontId="4" type="noConversion"/>
  </si>
  <si>
    <t>资产处置收益</t>
    <phoneticPr fontId="4" type="noConversion"/>
  </si>
  <si>
    <t>营业收入增长率</t>
    <phoneticPr fontId="4" type="noConversion"/>
  </si>
  <si>
    <t>销售费用增长率</t>
    <phoneticPr fontId="4" type="noConversion"/>
  </si>
  <si>
    <t>管理费用增长率</t>
    <phoneticPr fontId="4" type="noConversion"/>
  </si>
  <si>
    <t>研发费用增长率</t>
    <phoneticPr fontId="4" type="noConversion"/>
  </si>
  <si>
    <t xml:space="preserve">          人员费用</t>
    <phoneticPr fontId="4" type="noConversion"/>
  </si>
  <si>
    <t xml:space="preserve">          日常费用</t>
    <phoneticPr fontId="4" type="noConversion"/>
  </si>
  <si>
    <t xml:space="preserve">         人员费用</t>
    <phoneticPr fontId="4" type="noConversion"/>
  </si>
  <si>
    <t>项     目</t>
  </si>
  <si>
    <t xml:space="preserve">    销售商品、提供劳务收到的现金 </t>
  </si>
  <si>
    <t xml:space="preserve">    收到的税费返还 </t>
  </si>
  <si>
    <t xml:space="preserve">    收到其他与经营活动有关的现金 </t>
  </si>
  <si>
    <t xml:space="preserve">      经营活动现金流入小计 </t>
  </si>
  <si>
    <t xml:space="preserve">    购买商品、接受劳务支付的现金 </t>
  </si>
  <si>
    <t xml:space="preserve">    支付给职工以及为职工支付的现金 </t>
  </si>
  <si>
    <t xml:space="preserve">    支付的各项税费 </t>
  </si>
  <si>
    <t xml:space="preserve">    支付其他与经营活动有关的现金 </t>
  </si>
  <si>
    <t xml:space="preserve">      经营活动现金流出小计 </t>
  </si>
  <si>
    <t xml:space="preserve">        经营活动产生的现金流量净额  </t>
  </si>
  <si>
    <t xml:space="preserve">    购建固定资产、无形资产和其他长期资产支付的现金 </t>
  </si>
  <si>
    <t xml:space="preserve">      投资活动现金流出小计 </t>
  </si>
  <si>
    <t xml:space="preserve">        投资活动产生的现金流量净额 </t>
  </si>
  <si>
    <t xml:space="preserve">    取得借款收到的现金 </t>
  </si>
  <si>
    <t xml:space="preserve">    收到其他与筹资活动有关的现金 </t>
  </si>
  <si>
    <t xml:space="preserve">      筹资活动现金流入小计 </t>
  </si>
  <si>
    <t xml:space="preserve">    偿还债务支付的现金 </t>
  </si>
  <si>
    <t xml:space="preserve">    分配股利、利润或偿付利息支付的现金 </t>
  </si>
  <si>
    <t xml:space="preserve">    支付其他与筹资活动有关的现金 </t>
  </si>
  <si>
    <t xml:space="preserve">      筹资活动现金流出小计 </t>
  </si>
  <si>
    <t xml:space="preserve">        筹资活动产生的现金流量净额 </t>
  </si>
  <si>
    <t xml:space="preserve">    加：期初现金及现金等价物余额 </t>
  </si>
  <si>
    <t xml:space="preserve">现金及现金等价物净增加额 </t>
    <phoneticPr fontId="4" type="noConversion"/>
  </si>
  <si>
    <t xml:space="preserve">期末现金及现金等价物余额 </t>
    <phoneticPr fontId="4" type="noConversion"/>
  </si>
  <si>
    <t>营业利润</t>
    <phoneticPr fontId="4" type="noConversion"/>
  </si>
  <si>
    <t>借款额度</t>
    <phoneticPr fontId="4" type="noConversion"/>
  </si>
  <si>
    <t>产品名称</t>
  </si>
  <si>
    <t>产品类型</t>
    <phoneticPr fontId="4" type="noConversion"/>
  </si>
  <si>
    <t>销售数量</t>
  </si>
  <si>
    <t>销售单价（含税）</t>
  </si>
  <si>
    <t>含税销售</t>
  </si>
  <si>
    <t>销售收入（不含税）</t>
  </si>
  <si>
    <t>单位BOM材料费</t>
    <phoneticPr fontId="4" type="noConversion"/>
  </si>
  <si>
    <t>BOM材料成本</t>
    <phoneticPr fontId="4" type="noConversion"/>
  </si>
  <si>
    <t>高视高清</t>
    <phoneticPr fontId="4" type="noConversion"/>
  </si>
  <si>
    <t xml:space="preserve">RGP   </t>
    <phoneticPr fontId="4" type="noConversion"/>
  </si>
  <si>
    <t>离焦镜片（副）</t>
    <phoneticPr fontId="4" type="noConversion"/>
  </si>
  <si>
    <t>OK镜（国内）</t>
    <phoneticPr fontId="4" type="noConversion"/>
  </si>
  <si>
    <t>OK镜（国际）</t>
    <phoneticPr fontId="4" type="noConversion"/>
  </si>
  <si>
    <t>总计</t>
  </si>
  <si>
    <t xml:space="preserve"> </t>
  </si>
  <si>
    <t>2027年</t>
    <phoneticPr fontId="4" type="noConversion"/>
  </si>
  <si>
    <t xml:space="preserve">RGP  </t>
    <phoneticPr fontId="4" type="noConversion"/>
  </si>
  <si>
    <t>2028年</t>
    <phoneticPr fontId="4" type="noConversion"/>
  </si>
  <si>
    <t>2029年</t>
    <phoneticPr fontId="4" type="noConversion"/>
  </si>
  <si>
    <t>2030年</t>
    <phoneticPr fontId="4" type="noConversion"/>
  </si>
  <si>
    <t>一台机床24小时3班倒年可生产OK镜5W</t>
    <phoneticPr fontId="4" type="noConversion"/>
  </si>
  <si>
    <t>直接材料</t>
    <phoneticPr fontId="4" type="noConversion"/>
  </si>
  <si>
    <t>直接人工</t>
    <phoneticPr fontId="4" type="noConversion"/>
  </si>
  <si>
    <t>制造费用</t>
    <phoneticPr fontId="4" type="noConversion"/>
  </si>
  <si>
    <t>无形资产摊销</t>
    <phoneticPr fontId="4" type="noConversion"/>
  </si>
  <si>
    <t>单位成本</t>
    <phoneticPr fontId="4" type="noConversion"/>
  </si>
  <si>
    <t>总金额</t>
    <phoneticPr fontId="4" type="noConversion"/>
  </si>
  <si>
    <t>年摊销金额</t>
    <phoneticPr fontId="4" type="noConversion"/>
  </si>
  <si>
    <t>成本合计</t>
    <phoneticPr fontId="4" type="noConversion"/>
  </si>
  <si>
    <t>收入金额</t>
    <phoneticPr fontId="4" type="noConversion"/>
  </si>
  <si>
    <t>销售量</t>
    <phoneticPr fontId="4" type="noConversion"/>
  </si>
  <si>
    <t>年销量</t>
    <phoneticPr fontId="4" type="noConversion"/>
  </si>
  <si>
    <t>毛利率</t>
    <phoneticPr fontId="4" type="noConversion"/>
  </si>
  <si>
    <t>其他手术产品</t>
    <phoneticPr fontId="4" type="noConversion"/>
  </si>
  <si>
    <t>隐形眼镜</t>
    <phoneticPr fontId="4" type="noConversion"/>
  </si>
  <si>
    <t>工时</t>
    <phoneticPr fontId="4" type="noConversion"/>
  </si>
  <si>
    <t>6分钟</t>
    <phoneticPr fontId="4" type="noConversion"/>
  </si>
  <si>
    <t>硬性接触镜（欧普）</t>
    <phoneticPr fontId="4" type="noConversion"/>
  </si>
  <si>
    <t>运费</t>
    <phoneticPr fontId="4" type="noConversion"/>
  </si>
  <si>
    <t>角膜塑形镜（爱博）</t>
    <phoneticPr fontId="4" type="noConversion"/>
  </si>
  <si>
    <t>平均毛利率</t>
    <phoneticPr fontId="4" type="noConversion"/>
  </si>
  <si>
    <t>一台机床工作8小时可生产OK镜2W</t>
    <phoneticPr fontId="4" type="noConversion"/>
  </si>
  <si>
    <t xml:space="preserve">         折旧摊销</t>
    <phoneticPr fontId="4" type="noConversion"/>
  </si>
  <si>
    <t xml:space="preserve">          折旧摊销</t>
    <phoneticPr fontId="4" type="noConversion"/>
  </si>
  <si>
    <t>人工晶状体（爱博）</t>
    <phoneticPr fontId="4" type="noConversion"/>
  </si>
  <si>
    <t>年生产量</t>
    <phoneticPr fontId="4" type="noConversion"/>
  </si>
  <si>
    <t>收入单价</t>
    <phoneticPr fontId="4" type="noConversion"/>
  </si>
  <si>
    <t xml:space="preserve">         材料</t>
    <phoneticPr fontId="4" type="noConversion"/>
  </si>
  <si>
    <t>目标是 2027 现金流转正，2028 开始盈利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</si>
</sst>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0_);[Red]\(0\)"/>
    <numFmt numFmtId="177" formatCode="_ * #,##0_ ;_ * \-#,##0_ ;_ * &quot;-&quot;??_ ;_ @_ "/>
    <numFmt numFmtId="178" formatCode="_(* #,##0_);_(* \(#,##0\);_(* &quot;-&quot;_);_(@_)"/>
    <numFmt numFmtId="179" formatCode="#,##0.0000_ "/>
    <numFmt numFmtId="180" formatCode="_ * #,##0.00_ ;_ * \-#,##0.00_ ;_ * &quot;-&quot;_ ;_ @_ "/>
    <numFmt numFmtId="181" formatCode="_ * #,##0.0000_ ;_ * \-#,##0.0000_ ;_ * &quot;-&quot;????_ ;_ @_ "/>
  </numFmts>
  <fonts count="17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0"/>
      <color rgb="FF000000"/>
      <name val="微软雅黑"/>
      <family val="2"/>
      <charset val="134"/>
    </font>
    <font>
      <sz val="9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sz val="9"/>
      <color rgb="FF000000"/>
      <name val="微软雅黑"/>
      <family val="2"/>
      <charset val="134"/>
    </font>
    <font>
      <b/>
      <sz val="9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000099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75432599871821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0" tint="-0.14984588152714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8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57" fontId="5" fillId="2" borderId="1" xfId="1" applyNumberFormat="1" applyFont="1" applyFill="1" applyBorder="1" applyAlignment="1" applyProtection="1">
      <alignment horizontal="center" vertical="center" wrapText="1"/>
      <protection locked="0"/>
    </xf>
    <xf numFmtId="31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/>
    <xf numFmtId="43" fontId="3" fillId="0" borderId="1" xfId="1" applyFont="1" applyBorder="1" applyAlignment="1">
      <alignment horizontal="center"/>
    </xf>
    <xf numFmtId="0" fontId="3" fillId="0" borderId="0" xfId="0" applyFont="1" applyAlignment="1">
      <alignment horizontal="right"/>
    </xf>
    <xf numFmtId="49" fontId="6" fillId="0" borderId="0" xfId="0" applyNumberFormat="1" applyFont="1" applyAlignment="1">
      <alignment horizontal="left" vertical="center"/>
    </xf>
    <xf numFmtId="9" fontId="3" fillId="0" borderId="0" xfId="2" applyFont="1" applyAlignment="1">
      <alignment horizontal="center"/>
    </xf>
    <xf numFmtId="0" fontId="3" fillId="2" borderId="1" xfId="0" applyFont="1" applyFill="1" applyBorder="1"/>
    <xf numFmtId="43" fontId="3" fillId="2" borderId="1" xfId="1" applyFont="1" applyFill="1" applyBorder="1" applyAlignment="1">
      <alignment horizontal="center"/>
    </xf>
    <xf numFmtId="0" fontId="3" fillId="0" borderId="0" xfId="0" applyFont="1"/>
    <xf numFmtId="43" fontId="0" fillId="0" borderId="0" xfId="0" applyNumberFormat="1"/>
    <xf numFmtId="9" fontId="3" fillId="3" borderId="0" xfId="2" applyFont="1" applyFill="1" applyAlignment="1">
      <alignment horizontal="center"/>
    </xf>
    <xf numFmtId="4" fontId="0" fillId="0" borderId="0" xfId="0" applyNumberFormat="1"/>
    <xf numFmtId="4" fontId="3" fillId="0" borderId="0" xfId="0" applyNumberFormat="1" applyFont="1"/>
    <xf numFmtId="43" fontId="3" fillId="0" borderId="0" xfId="1" applyFont="1" applyAlignment="1"/>
    <xf numFmtId="43" fontId="3" fillId="0" borderId="0" xfId="0" applyNumberFormat="1" applyFont="1"/>
    <xf numFmtId="0" fontId="3" fillId="4" borderId="2" xfId="0" applyFont="1" applyFill="1" applyBorder="1" applyAlignment="1">
      <alignment horizontal="center" vertical="center" wrapText="1"/>
    </xf>
    <xf numFmtId="43" fontId="3" fillId="0" borderId="1" xfId="1" applyFont="1" applyBorder="1" applyAlignment="1"/>
    <xf numFmtId="49" fontId="3" fillId="0" borderId="2" xfId="0" applyNumberFormat="1" applyFont="1" applyBorder="1" applyAlignment="1">
      <alignment horizontal="left" vertical="center" wrapText="1"/>
    </xf>
    <xf numFmtId="43" fontId="7" fillId="0" borderId="1" xfId="0" applyNumberFormat="1" applyFont="1" applyBorder="1" applyAlignment="1">
      <alignment horizontal="right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43" fontId="3" fillId="5" borderId="1" xfId="1" applyFont="1" applyFill="1" applyBorder="1" applyAlignment="1"/>
    <xf numFmtId="43" fontId="3" fillId="0" borderId="1" xfId="1" applyFont="1" applyBorder="1" applyAlignment="1">
      <alignment vertical="top"/>
    </xf>
    <xf numFmtId="0" fontId="9" fillId="0" borderId="0" xfId="0" applyFont="1"/>
    <xf numFmtId="0" fontId="9" fillId="0" borderId="0" xfId="0" applyFont="1" applyAlignment="1">
      <alignment horizontal="center"/>
    </xf>
    <xf numFmtId="178" fontId="12" fillId="0" borderId="1" xfId="4" applyNumberFormat="1" applyFont="1" applyBorder="1" applyAlignment="1">
      <alignment vertical="center" wrapText="1"/>
    </xf>
    <xf numFmtId="179" fontId="12" fillId="0" borderId="1" xfId="1" applyNumberFormat="1" applyFont="1" applyBorder="1" applyAlignment="1">
      <alignment vertical="center" wrapText="1"/>
    </xf>
    <xf numFmtId="180" fontId="12" fillId="0" borderId="1" xfId="4" applyNumberFormat="1" applyFont="1" applyBorder="1" applyAlignment="1">
      <alignment vertical="center" wrapText="1"/>
    </xf>
    <xf numFmtId="43" fontId="12" fillId="0" borderId="1" xfId="1" applyFont="1" applyFill="1" applyBorder="1" applyAlignment="1">
      <alignment vertical="center" wrapText="1"/>
    </xf>
    <xf numFmtId="181" fontId="13" fillId="0" borderId="1" xfId="0" applyNumberFormat="1" applyFont="1" applyBorder="1" applyAlignment="1">
      <alignment vertical="center" wrapText="1"/>
    </xf>
    <xf numFmtId="179" fontId="12" fillId="7" borderId="1" xfId="1" applyNumberFormat="1" applyFont="1" applyFill="1" applyBorder="1" applyAlignment="1">
      <alignment vertical="center" wrapText="1"/>
    </xf>
    <xf numFmtId="43" fontId="12" fillId="0" borderId="1" xfId="1" applyFont="1" applyBorder="1" applyAlignment="1">
      <alignment vertical="center" wrapText="1"/>
    </xf>
    <xf numFmtId="177" fontId="11" fillId="6" borderId="8" xfId="1" applyNumberFormat="1" applyFont="1" applyFill="1" applyBorder="1">
      <alignment vertical="center"/>
    </xf>
    <xf numFmtId="0" fontId="8" fillId="6" borderId="8" xfId="3" applyFont="1" applyFill="1" applyBorder="1">
      <alignment vertical="center"/>
    </xf>
    <xf numFmtId="176" fontId="11" fillId="6" borderId="8" xfId="3" applyNumberFormat="1" applyFont="1" applyFill="1" applyBorder="1">
      <alignment vertical="center"/>
    </xf>
    <xf numFmtId="43" fontId="14" fillId="6" borderId="8" xfId="1" applyFont="1" applyFill="1" applyBorder="1" applyAlignment="1">
      <alignment vertical="center" wrapText="1"/>
    </xf>
    <xf numFmtId="43" fontId="0" fillId="0" borderId="0" xfId="1" applyFont="1" applyAlignment="1"/>
    <xf numFmtId="181" fontId="13" fillId="0" borderId="10" xfId="0" applyNumberFormat="1" applyFont="1" applyBorder="1" applyAlignment="1">
      <alignment vertical="center" wrapText="1"/>
    </xf>
    <xf numFmtId="178" fontId="12" fillId="0" borderId="3" xfId="4" applyNumberFormat="1" applyFont="1" applyBorder="1" applyAlignment="1">
      <alignment vertical="center" wrapText="1"/>
    </xf>
    <xf numFmtId="179" fontId="12" fillId="7" borderId="3" xfId="1" applyNumberFormat="1" applyFont="1" applyFill="1" applyBorder="1" applyAlignment="1">
      <alignment vertical="center" wrapText="1"/>
    </xf>
    <xf numFmtId="43" fontId="12" fillId="0" borderId="3" xfId="1" applyFont="1" applyBorder="1" applyAlignment="1">
      <alignment vertical="center" wrapText="1"/>
    </xf>
    <xf numFmtId="180" fontId="12" fillId="0" borderId="3" xfId="4" applyNumberFormat="1" applyFont="1" applyBorder="1" applyAlignment="1">
      <alignment vertical="center" wrapText="1"/>
    </xf>
    <xf numFmtId="177" fontId="11" fillId="8" borderId="8" xfId="1" applyNumberFormat="1" applyFont="1" applyFill="1" applyBorder="1">
      <alignment vertical="center"/>
    </xf>
    <xf numFmtId="43" fontId="15" fillId="8" borderId="8" xfId="1" applyFont="1" applyFill="1" applyBorder="1">
      <alignment vertical="center"/>
    </xf>
    <xf numFmtId="176" fontId="11" fillId="8" borderId="8" xfId="3" applyNumberFormat="1" applyFont="1" applyFill="1" applyBorder="1">
      <alignment vertical="center"/>
    </xf>
    <xf numFmtId="43" fontId="9" fillId="0" borderId="0" xfId="1" applyFont="1" applyAlignment="1"/>
    <xf numFmtId="43" fontId="11" fillId="6" borderId="5" xfId="1" applyFont="1" applyFill="1" applyBorder="1" applyAlignment="1">
      <alignment horizontal="center" vertical="center" wrapText="1"/>
    </xf>
    <xf numFmtId="177" fontId="11" fillId="6" borderId="5" xfId="1" applyNumberFormat="1" applyFont="1" applyFill="1" applyBorder="1" applyAlignment="1">
      <alignment horizontal="center" vertical="center" wrapText="1"/>
    </xf>
    <xf numFmtId="49" fontId="11" fillId="6" borderId="5" xfId="1" applyNumberFormat="1" applyFont="1" applyFill="1" applyBorder="1" applyAlignment="1">
      <alignment horizontal="center" vertical="center" wrapText="1"/>
    </xf>
    <xf numFmtId="0" fontId="11" fillId="6" borderId="5" xfId="3" applyFont="1" applyFill="1" applyBorder="1" applyAlignment="1">
      <alignment horizontal="center" vertical="center" wrapText="1"/>
    </xf>
    <xf numFmtId="176" fontId="11" fillId="6" borderId="5" xfId="3" applyNumberFormat="1" applyFont="1" applyFill="1" applyBorder="1" applyAlignment="1">
      <alignment horizontal="center" vertical="center" wrapText="1"/>
    </xf>
    <xf numFmtId="49" fontId="11" fillId="6" borderId="9" xfId="1" applyNumberFormat="1" applyFont="1" applyFill="1" applyBorder="1" applyAlignment="1">
      <alignment horizontal="center" vertical="center" wrapText="1"/>
    </xf>
    <xf numFmtId="43" fontId="8" fillId="0" borderId="11" xfId="1" applyFont="1" applyBorder="1" applyAlignment="1"/>
    <xf numFmtId="43" fontId="14" fillId="6" borderId="14" xfId="1" applyFont="1" applyFill="1" applyBorder="1" applyAlignment="1">
      <alignment vertical="center" wrapText="1"/>
    </xf>
    <xf numFmtId="43" fontId="12" fillId="0" borderId="11" xfId="1" applyFont="1" applyFill="1" applyBorder="1" applyAlignment="1">
      <alignment vertical="center" wrapText="1"/>
    </xf>
    <xf numFmtId="181" fontId="13" fillId="0" borderId="0" xfId="0" applyNumberFormat="1" applyFont="1" applyAlignment="1">
      <alignment vertical="center" wrapText="1"/>
    </xf>
    <xf numFmtId="43" fontId="12" fillId="0" borderId="13" xfId="1" applyFont="1" applyFill="1" applyBorder="1" applyAlignment="1">
      <alignment vertical="center" wrapText="1"/>
    </xf>
    <xf numFmtId="9" fontId="8" fillId="0" borderId="0" xfId="2" applyFont="1" applyAlignment="1">
      <alignment horizontal="center"/>
    </xf>
    <xf numFmtId="43" fontId="8" fillId="0" borderId="0" xfId="1" applyFont="1" applyAlignment="1">
      <alignment horizontal="center"/>
    </xf>
    <xf numFmtId="0" fontId="0" fillId="0" borderId="1" xfId="0" applyBorder="1"/>
    <xf numFmtId="43" fontId="8" fillId="0" borderId="1" xfId="1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10" fontId="8" fillId="0" borderId="0" xfId="2" applyNumberFormat="1" applyFont="1" applyAlignment="1">
      <alignment horizontal="center"/>
    </xf>
    <xf numFmtId="43" fontId="8" fillId="3" borderId="0" xfId="1" applyFont="1" applyFill="1" applyAlignment="1">
      <alignment horizontal="center"/>
    </xf>
    <xf numFmtId="0" fontId="16" fillId="0" borderId="0" xfId="0" applyFont="1"/>
    <xf numFmtId="43" fontId="12" fillId="0" borderId="15" xfId="1" applyFont="1" applyFill="1" applyBorder="1" applyAlignment="1">
      <alignment vertical="center" wrapText="1"/>
    </xf>
    <xf numFmtId="43" fontId="12" fillId="0" borderId="16" xfId="1" applyFont="1" applyFill="1" applyBorder="1" applyAlignment="1">
      <alignment vertical="center" wrapText="1"/>
    </xf>
    <xf numFmtId="9" fontId="8" fillId="3" borderId="1" xfId="2" applyFont="1" applyFill="1" applyBorder="1" applyAlignment="1">
      <alignment horizontal="center"/>
    </xf>
    <xf numFmtId="43" fontId="8" fillId="0" borderId="0" xfId="1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/>
    </xf>
    <xf numFmtId="9" fontId="0" fillId="0" borderId="0" xfId="2" applyFont="1" applyAlignment="1"/>
    <xf numFmtId="43" fontId="8" fillId="0" borderId="0" xfId="1" applyFont="1" applyAlignment="1"/>
    <xf numFmtId="43" fontId="3" fillId="7" borderId="1" xfId="1" applyFont="1" applyFill="1" applyBorder="1" applyAlignment="1">
      <alignment horizontal="center"/>
    </xf>
    <xf numFmtId="44" fontId="9" fillId="0" borderId="0" xfId="0" applyNumberFormat="1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right"/>
    </xf>
    <xf numFmtId="0" fontId="10" fillId="0" borderId="4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9" fontId="0" fillId="0" borderId="0" xfId="2" applyFont="1" applyAlignment="1">
      <alignment horizontal="center"/>
    </xf>
  </cellXfs>
  <cellStyles count="5">
    <cellStyle name="百分比" xfId="2" builtinId="5"/>
    <cellStyle name="常规" xfId="0" builtinId="0"/>
    <cellStyle name="常规 5 7" xfId="4" xr:uid="{69BA746C-E0DB-4E14-905F-CF634D8E5D98}"/>
    <cellStyle name="常规 8 7" xfId="3" xr:uid="{0C514797-CB72-4196-9B1D-DE9846E3E3B0}"/>
    <cellStyle name="千位分隔" xfId="1" builtinId="3"/>
  </cellStyles>
  <dxfs count="0"/>
  <tableStyles count="0" defaultTableStyle="TableStyleMedium2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187325</xdr:colOff>
      <xdr:row>25</xdr:row>
      <xdr:rowOff>0</xdr:rowOff>
    </xdr:from>
    <xdr:to>
      <xdr:col>22</xdr:col>
      <xdr:colOff>36281</xdr:colOff>
      <xdr:row>35</xdr:row>
      <xdr:rowOff>133101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E355D0D-BC11-E877-F58F-D7AB9607D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6425" y="6588125"/>
          <a:ext cx="6082540" cy="1996826"/>
        </a:xfrm>
        <a:prstGeom prst="rect">
          <a:avLst/>
        </a:prstGeom>
      </xdr:spPr>
    </xdr:pic>
    <xdr:clientData/>
  </xdr:twoCellAnchor>
  <xdr:twoCellAnchor editAs="oneCell">
    <xdr:from>
      <xdr:col>14</xdr:col>
      <xdr:colOff>295275</xdr:colOff>
      <xdr:row>34</xdr:row>
      <xdr:rowOff>114300</xdr:rowOff>
    </xdr:from>
    <xdr:to>
      <xdr:col>22</xdr:col>
      <xdr:colOff>29946</xdr:colOff>
      <xdr:row>58</xdr:row>
      <xdr:rowOff>17434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253B971-FEEA-CA18-7FB0-88665E5C0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01525" y="8115300"/>
          <a:ext cx="5965080" cy="4466667"/>
        </a:xfrm>
        <a:prstGeom prst="rect">
          <a:avLst/>
        </a:prstGeom>
      </xdr:spPr>
    </xdr:pic>
    <xdr:clientData/>
  </xdr:twoCellAnchor>
  <xdr:twoCellAnchor editAs="oneCell">
    <xdr:from>
      <xdr:col>14</xdr:col>
      <xdr:colOff>390525</xdr:colOff>
      <xdr:row>58</xdr:row>
      <xdr:rowOff>9525</xdr:rowOff>
    </xdr:from>
    <xdr:to>
      <xdr:col>21</xdr:col>
      <xdr:colOff>503055</xdr:colOff>
      <xdr:row>76</xdr:row>
      <xdr:rowOff>135043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3031AAE7-A6A2-8D84-306A-A72AF1A46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96775" y="12563475"/>
          <a:ext cx="5695238" cy="3393651"/>
        </a:xfrm>
        <a:prstGeom prst="rect">
          <a:avLst/>
        </a:prstGeom>
      </xdr:spPr>
    </xdr:pic>
    <xdr:clientData/>
  </xdr:twoCellAnchor>
  <xdr:twoCellAnchor editAs="oneCell">
    <xdr:from>
      <xdr:col>14</xdr:col>
      <xdr:colOff>390525</xdr:colOff>
      <xdr:row>47</xdr:row>
      <xdr:rowOff>19050</xdr:rowOff>
    </xdr:from>
    <xdr:to>
      <xdr:col>21</xdr:col>
      <xdr:colOff>493532</xdr:colOff>
      <xdr:row>53</xdr:row>
      <xdr:rowOff>17849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8F4378D6-D17F-2C9D-7155-FF829834E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096750" y="12849225"/>
          <a:ext cx="5679365" cy="11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40"/>
  <sheetViews>
    <sheetView showGridLines="0" tabSelected="1" zoomScale="90" zoomScaleNormal="90" workbookViewId="0">
      <selection activeCell="F7" sqref="F7"/>
    </sheetView>
  </sheetViews>
  <sheetFormatPr defaultRowHeight="15" x14ac:dyDescent="0.4"/>
  <cols>
    <col min="1" max="1" width="2" customWidth="1"/>
    <col min="2" max="2" width="15.9140625" customWidth="1"/>
    <col min="3" max="9" width="10.58203125" customWidth="1"/>
    <col min="10" max="10" width="1.9140625" customWidth="1"/>
    <col min="11" max="11" width="43.75" customWidth="1"/>
    <col min="12" max="12" width="10.1640625" customWidth="1"/>
    <col min="13" max="17" width="9.58203125" style="11" customWidth="1"/>
    <col min="18" max="18" width="9.58203125" customWidth="1"/>
    <col min="19" max="19" width="9.25" style="75" hidden="1" customWidth="1"/>
    <col min="20" max="20" width="6.33203125" hidden="1" customWidth="1"/>
    <col min="21" max="21" width="9.33203125" bestFit="1" customWidth="1"/>
  </cols>
  <sheetData>
    <row r="1" spans="2:21" ht="24.5" customHeight="1" x14ac:dyDescent="0.4">
      <c r="I1" s="6" t="s">
        <v>8</v>
      </c>
      <c r="R1" s="6" t="s">
        <v>8</v>
      </c>
    </row>
    <row r="2" spans="2:21" ht="14.5" x14ac:dyDescent="0.35">
      <c r="B2" s="1" t="s">
        <v>0</v>
      </c>
      <c r="C2" s="1" t="s">
        <v>1</v>
      </c>
      <c r="D2" s="2" t="s">
        <v>9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K2" s="18" t="s">
        <v>32</v>
      </c>
      <c r="L2" s="1" t="s">
        <v>1</v>
      </c>
      <c r="M2" s="2" t="s">
        <v>9</v>
      </c>
      <c r="N2" s="3" t="s">
        <v>3</v>
      </c>
      <c r="O2" s="3" t="s">
        <v>4</v>
      </c>
      <c r="P2" s="3" t="s">
        <v>5</v>
      </c>
      <c r="Q2" s="3" t="s">
        <v>6</v>
      </c>
      <c r="R2" s="3" t="s">
        <v>7</v>
      </c>
    </row>
    <row r="3" spans="2:21" ht="16" customHeight="1" x14ac:dyDescent="0.4">
      <c r="B3" s="4" t="s">
        <v>17</v>
      </c>
      <c r="C3" s="5">
        <v>77.08</v>
      </c>
      <c r="D3" s="5">
        <v>241.77</v>
      </c>
      <c r="E3" s="5">
        <f>收入预测!H8</f>
        <v>1061.9469026548675</v>
      </c>
      <c r="F3" s="5">
        <f>收入预测!H16</f>
        <v>1951.3274336283189</v>
      </c>
      <c r="G3" s="5">
        <f>收入预测!H24</f>
        <v>5066.3716814159297</v>
      </c>
      <c r="H3" s="5">
        <f>收入预测!T8</f>
        <v>10049.557522123894</v>
      </c>
      <c r="I3" s="5">
        <f>收入预测!T16</f>
        <v>20046.017699115047</v>
      </c>
      <c r="K3" s="20" t="s">
        <v>33</v>
      </c>
      <c r="L3" s="21">
        <v>180.41</v>
      </c>
      <c r="M3" s="21">
        <v>277.04342000000003</v>
      </c>
      <c r="N3" s="21">
        <f>E3*1.13</f>
        <v>1200.0000000000002</v>
      </c>
      <c r="O3" s="21">
        <f>F3*1.13</f>
        <v>2205</v>
      </c>
      <c r="P3" s="21">
        <f>G3*1.13</f>
        <v>5725</v>
      </c>
      <c r="Q3" s="21">
        <f>H3*1.13</f>
        <v>11356</v>
      </c>
      <c r="R3" s="21">
        <f>I3*1.13</f>
        <v>22652</v>
      </c>
      <c r="S3" s="75" t="e">
        <f>SUM(L3:R3)-#REF!</f>
        <v>#REF!</v>
      </c>
    </row>
    <row r="4" spans="2:21" ht="16" customHeight="1" x14ac:dyDescent="0.4">
      <c r="B4" s="4" t="s">
        <v>16</v>
      </c>
      <c r="C4" s="5">
        <v>39.35</v>
      </c>
      <c r="D4" s="5">
        <v>99.91</v>
      </c>
      <c r="E4" s="5">
        <f>SUM(E5:E8)</f>
        <v>476.90999999999997</v>
      </c>
      <c r="F4" s="5">
        <f>F3*(1-F33)</f>
        <v>921.46017699115055</v>
      </c>
      <c r="G4" s="5">
        <f>G3*(1-G33)</f>
        <v>1853.9823008849555</v>
      </c>
      <c r="H4" s="5">
        <f>H3*(1-H33)</f>
        <v>3166.9026548672573</v>
      </c>
      <c r="I4" s="5">
        <f>I3*(1-I33)</f>
        <v>7297.5221238938066</v>
      </c>
      <c r="K4" s="20" t="s">
        <v>34</v>
      </c>
      <c r="L4" s="21"/>
      <c r="M4" s="21">
        <v>222.40476699999999</v>
      </c>
      <c r="N4" s="21"/>
      <c r="O4" s="21"/>
      <c r="P4" s="21"/>
      <c r="Q4" s="21"/>
      <c r="R4" s="21"/>
      <c r="S4" s="75" t="e">
        <f>SUM(L4:R4)-#REF!</f>
        <v>#REF!</v>
      </c>
    </row>
    <row r="5" spans="2:21" ht="16" customHeight="1" x14ac:dyDescent="0.4">
      <c r="B5" s="4" t="s">
        <v>101</v>
      </c>
      <c r="C5" s="5">
        <f>3.25+19.89</f>
        <v>23.14</v>
      </c>
      <c r="D5" s="5">
        <v>28.36</v>
      </c>
      <c r="E5" s="5">
        <v>52.93</v>
      </c>
      <c r="F5" s="5">
        <f>E5+O13*95%/10*60%</f>
        <v>52.93</v>
      </c>
      <c r="G5" s="5">
        <f>F5+P13*95%/10*2</f>
        <v>138.43</v>
      </c>
      <c r="H5" s="5">
        <f>G5*1.2</f>
        <v>166.11600000000001</v>
      </c>
      <c r="I5" s="5">
        <f>H5*1.2</f>
        <v>199.33920000000001</v>
      </c>
      <c r="K5" s="20" t="s">
        <v>35</v>
      </c>
      <c r="L5" s="21">
        <v>28.15</v>
      </c>
      <c r="M5" s="21">
        <v>7.3634209999999998</v>
      </c>
      <c r="N5" s="21">
        <v>0.5</v>
      </c>
      <c r="O5" s="21">
        <v>10</v>
      </c>
      <c r="P5" s="21">
        <v>10</v>
      </c>
      <c r="Q5" s="21">
        <v>10</v>
      </c>
      <c r="R5" s="21">
        <v>10</v>
      </c>
      <c r="S5" s="75" t="e">
        <f>SUM(L5:R5)-#REF!</f>
        <v>#REF!</v>
      </c>
    </row>
    <row r="6" spans="2:21" ht="16" customHeight="1" x14ac:dyDescent="0.4">
      <c r="B6" s="4" t="s">
        <v>31</v>
      </c>
      <c r="C6" s="5">
        <f>4.3+19.46</f>
        <v>23.76</v>
      </c>
      <c r="D6" s="5">
        <f>5.22+13.3</f>
        <v>18.52</v>
      </c>
      <c r="E6" s="5">
        <v>103.94</v>
      </c>
      <c r="F6" s="5">
        <f>E6*(1+20%)</f>
        <v>124.72799999999999</v>
      </c>
      <c r="G6" s="5">
        <f>F6*2</f>
        <v>249.45599999999999</v>
      </c>
      <c r="H6" s="5">
        <f>G6*2</f>
        <v>498.91199999999998</v>
      </c>
      <c r="I6" s="5">
        <f>H6*2</f>
        <v>997.82399999999996</v>
      </c>
      <c r="K6" s="22" t="s">
        <v>36</v>
      </c>
      <c r="L6" s="23">
        <f>SUM(L3:L5)</f>
        <v>208.56</v>
      </c>
      <c r="M6" s="23">
        <f t="shared" ref="M6:R6" si="0">SUM(M3:M5)</f>
        <v>506.81160800000004</v>
      </c>
      <c r="N6" s="23">
        <f t="shared" si="0"/>
        <v>1200.5000000000002</v>
      </c>
      <c r="O6" s="23">
        <f t="shared" si="0"/>
        <v>2215</v>
      </c>
      <c r="P6" s="23">
        <f t="shared" si="0"/>
        <v>5735</v>
      </c>
      <c r="Q6" s="23">
        <f t="shared" si="0"/>
        <v>11366</v>
      </c>
      <c r="R6" s="23">
        <f t="shared" si="0"/>
        <v>22662</v>
      </c>
      <c r="S6" s="75" t="e">
        <f>SUM(L6:R6)-#REF!</f>
        <v>#REF!</v>
      </c>
    </row>
    <row r="7" spans="2:21" ht="16" customHeight="1" x14ac:dyDescent="0.4">
      <c r="B7" s="4" t="s">
        <v>11</v>
      </c>
      <c r="C7" s="5"/>
      <c r="D7" s="5">
        <v>16.28</v>
      </c>
      <c r="E7" s="5">
        <v>12.16</v>
      </c>
      <c r="F7" s="5">
        <f>E7*(1+10%)</f>
        <v>13.376000000000001</v>
      </c>
      <c r="G7" s="5">
        <f t="shared" ref="G7:I7" si="1">F7*(1+10%)</f>
        <v>14.713600000000003</v>
      </c>
      <c r="H7" s="5">
        <f t="shared" si="1"/>
        <v>16.184960000000004</v>
      </c>
      <c r="I7" s="5">
        <f t="shared" si="1"/>
        <v>17.803456000000004</v>
      </c>
      <c r="J7" s="12"/>
      <c r="K7" s="20" t="s">
        <v>37</v>
      </c>
      <c r="L7" s="21">
        <v>49.82</v>
      </c>
      <c r="M7" s="21">
        <v>92.968107000000003</v>
      </c>
      <c r="N7" s="21">
        <v>351.06274999999999</v>
      </c>
      <c r="O7" s="21">
        <f>F8+F25</f>
        <v>784.45817699115071</v>
      </c>
      <c r="P7" s="21">
        <f t="shared" ref="P7:R7" si="2">G8+G25</f>
        <v>1510.8179008849556</v>
      </c>
      <c r="Q7" s="21">
        <f t="shared" si="2"/>
        <v>2551.0684148672576</v>
      </c>
      <c r="R7" s="21">
        <f t="shared" si="2"/>
        <v>6154.4720598938075</v>
      </c>
      <c r="S7" s="75" t="e">
        <f>SUM(L7:R7)-#REF!</f>
        <v>#REF!</v>
      </c>
    </row>
    <row r="8" spans="2:21" ht="16" customHeight="1" x14ac:dyDescent="0.4">
      <c r="B8" s="4" t="s">
        <v>106</v>
      </c>
      <c r="C8" s="5"/>
      <c r="D8" s="5">
        <f>27.45+9.31</f>
        <v>36.76</v>
      </c>
      <c r="E8" s="5">
        <v>307.88</v>
      </c>
      <c r="F8" s="5">
        <f>F4-F5-F6-F7</f>
        <v>730.42617699115067</v>
      </c>
      <c r="G8" s="5">
        <f t="shared" ref="G8:I8" si="3">G4-G5-G6-G7</f>
        <v>1451.3827008849555</v>
      </c>
      <c r="H8" s="5">
        <f t="shared" si="3"/>
        <v>2485.6896948672575</v>
      </c>
      <c r="I8" s="5">
        <f t="shared" si="3"/>
        <v>6082.555467893807</v>
      </c>
      <c r="K8" s="20" t="s">
        <v>38</v>
      </c>
      <c r="L8" s="21">
        <v>639.63</v>
      </c>
      <c r="M8" s="21">
        <v>881.04214899999999</v>
      </c>
      <c r="N8" s="21">
        <v>886.01751100000001</v>
      </c>
      <c r="O8" s="21">
        <f>F6+F12+F17+F22</f>
        <v>1025.2159999999999</v>
      </c>
      <c r="P8" s="21">
        <f>G6+G12+G17+G22</f>
        <v>1289.1697000000001</v>
      </c>
      <c r="Q8" s="21">
        <f>H6+H12+H17+H22</f>
        <v>1769.3505949999999</v>
      </c>
      <c r="R8" s="21">
        <f>I6+I12+I17+I22</f>
        <v>2561.7833357499999</v>
      </c>
      <c r="S8" s="75" t="e">
        <f>SUM(L8:R8)-#REF!</f>
        <v>#REF!</v>
      </c>
      <c r="U8" s="12"/>
    </row>
    <row r="9" spans="2:21" ht="16" customHeight="1" x14ac:dyDescent="0.4">
      <c r="B9" s="9" t="s">
        <v>15</v>
      </c>
      <c r="C9" s="10">
        <f>C3-C4</f>
        <v>37.729999999999997</v>
      </c>
      <c r="D9" s="10">
        <f>D3-D4</f>
        <v>141.86000000000001</v>
      </c>
      <c r="E9" s="10">
        <f>E3-E4</f>
        <v>585.0369026548675</v>
      </c>
      <c r="F9" s="10">
        <f>F3-F4</f>
        <v>1029.8672566371683</v>
      </c>
      <c r="G9" s="10">
        <f>G3-G4</f>
        <v>3212.3893805309744</v>
      </c>
      <c r="H9" s="10">
        <f>H3-H4</f>
        <v>6882.6548672566369</v>
      </c>
      <c r="I9" s="10">
        <f>I3-I4</f>
        <v>12748.495575221241</v>
      </c>
      <c r="K9" s="20" t="s">
        <v>39</v>
      </c>
      <c r="L9" s="21">
        <v>0.12</v>
      </c>
      <c r="M9" s="21">
        <v>0.209619</v>
      </c>
      <c r="N9" s="21">
        <v>50.898789026548634</v>
      </c>
      <c r="O9" s="21">
        <f>(O3/1.13*13%-O7/1.13*13%)*1.12</f>
        <v>183.03618533636146</v>
      </c>
      <c r="P9" s="21">
        <f>(P3/1.13*13%-P7/1.13*13%-P13*13%)*1.12</f>
        <v>477.4754987886289</v>
      </c>
      <c r="Q9" s="21">
        <f>(Q3/1.13*13%-Q7/1.13*13%)*1.12</f>
        <v>1134.5115387569269</v>
      </c>
      <c r="R9" s="21">
        <f>(R3/1.13*13%-R7/1.13*13%)*1.12</f>
        <v>2125.6991752915596</v>
      </c>
      <c r="S9" s="75" t="e">
        <f>SUM(L9:R9)-#REF!</f>
        <v>#REF!</v>
      </c>
    </row>
    <row r="10" spans="2:21" ht="16" customHeight="1" x14ac:dyDescent="0.4">
      <c r="B10" s="4" t="s">
        <v>14</v>
      </c>
      <c r="C10" s="5">
        <v>0.12</v>
      </c>
      <c r="D10" s="5">
        <v>0.19</v>
      </c>
      <c r="E10" s="5">
        <v>5.45</v>
      </c>
      <c r="F10" s="5">
        <f>(O3/1.13-O7/1.13)*12%</f>
        <v>150.8539989035946</v>
      </c>
      <c r="G10" s="5">
        <f>(P3/1.13-P7/1.13)*12%</f>
        <v>447.52376273788087</v>
      </c>
      <c r="H10" s="5">
        <f>(Q3/1.13-Q7/1.13)*12%</f>
        <v>935.03698249197259</v>
      </c>
      <c r="I10" s="5">
        <f>(R3/1.13-R7/1.13)*12%</f>
        <v>1751.9498697457907</v>
      </c>
      <c r="K10" s="20" t="s">
        <v>40</v>
      </c>
      <c r="L10" s="21">
        <v>265.55</v>
      </c>
      <c r="M10" s="21">
        <v>470.06572399999999</v>
      </c>
      <c r="N10" s="21">
        <v>679.22587610619451</v>
      </c>
      <c r="O10" s="21">
        <f>F13+F18+F21+F15+F23+F25</f>
        <v>1089.5710000000001</v>
      </c>
      <c r="P10" s="21">
        <f>G13+G18+G21+G15+G23+G25</f>
        <v>1247.8736000000001</v>
      </c>
      <c r="Q10" s="21">
        <f>H13+H18+H21+H15+H23+H25</f>
        <v>1496.1279550000002</v>
      </c>
      <c r="R10" s="21">
        <f>I13+I18+I21+I15+I23+I25</f>
        <v>1807.2274152500006</v>
      </c>
      <c r="S10" s="75" t="e">
        <f>SUM(L10:R10)-#REF!</f>
        <v>#REF!</v>
      </c>
    </row>
    <row r="11" spans="2:21" ht="16" customHeight="1" x14ac:dyDescent="0.4">
      <c r="B11" s="4" t="s">
        <v>19</v>
      </c>
      <c r="C11" s="5">
        <v>293.72000000000003</v>
      </c>
      <c r="D11" s="5">
        <f>SUM(D12:D15)</f>
        <v>817.67999999999984</v>
      </c>
      <c r="E11" s="5">
        <f>SUM(E12:E15)</f>
        <v>908.53000000000009</v>
      </c>
      <c r="F11" s="5">
        <f>E11*(1+F35)</f>
        <v>1090.2360000000001</v>
      </c>
      <c r="G11" s="5">
        <f>F11*(1+G35)</f>
        <v>1308.2832000000001</v>
      </c>
      <c r="H11" s="5">
        <f>G11*(1+H35)</f>
        <v>1700.7681600000001</v>
      </c>
      <c r="I11" s="5">
        <f>H11*(1+I35)</f>
        <v>2210.9986080000003</v>
      </c>
      <c r="K11" s="22" t="s">
        <v>41</v>
      </c>
      <c r="L11" s="23">
        <f>SUM(L7:L10)</f>
        <v>955.12000000000012</v>
      </c>
      <c r="M11" s="23">
        <f t="shared" ref="M11:R11" si="4">SUM(M7:M10)</f>
        <v>1444.285599</v>
      </c>
      <c r="N11" s="23">
        <f t="shared" si="4"/>
        <v>1967.2049261327434</v>
      </c>
      <c r="O11" s="23">
        <f t="shared" si="4"/>
        <v>3082.2813623275124</v>
      </c>
      <c r="P11" s="23">
        <f t="shared" si="4"/>
        <v>4525.3366996735849</v>
      </c>
      <c r="Q11" s="23">
        <f t="shared" si="4"/>
        <v>6951.0585036241837</v>
      </c>
      <c r="R11" s="23">
        <f t="shared" si="4"/>
        <v>12649.181986185369</v>
      </c>
      <c r="S11" s="75" t="e">
        <f>SUM(L11:R11)-#REF!</f>
        <v>#REF!</v>
      </c>
      <c r="T11" s="12" t="e">
        <f>S6-S11-S12</f>
        <v>#REF!</v>
      </c>
    </row>
    <row r="12" spans="2:21" ht="16" customHeight="1" x14ac:dyDescent="0.4">
      <c r="B12" s="4" t="s">
        <v>29</v>
      </c>
      <c r="C12" s="5">
        <v>167.89</v>
      </c>
      <c r="D12" s="5">
        <v>498.45</v>
      </c>
      <c r="E12" s="76">
        <v>463.69</v>
      </c>
      <c r="F12" s="76">
        <f>E12*(1+$F$35)</f>
        <v>556.428</v>
      </c>
      <c r="G12" s="5">
        <f>F12*(1+$G$35)</f>
        <v>667.71359999999993</v>
      </c>
      <c r="H12" s="5">
        <f>G12*(1+$H$35)</f>
        <v>868.02767999999992</v>
      </c>
      <c r="I12" s="5">
        <f>H12*(1+$I$35)</f>
        <v>1128.435984</v>
      </c>
      <c r="K12" s="22" t="s">
        <v>42</v>
      </c>
      <c r="L12" s="23">
        <f>L6-L11</f>
        <v>-746.56000000000017</v>
      </c>
      <c r="M12" s="23">
        <f t="shared" ref="M12:R12" si="5">M6-M11</f>
        <v>-937.47399100000007</v>
      </c>
      <c r="N12" s="23">
        <f t="shared" si="5"/>
        <v>-766.70492613274314</v>
      </c>
      <c r="O12" s="23">
        <f t="shared" si="5"/>
        <v>-867.2813623275124</v>
      </c>
      <c r="P12" s="23">
        <f t="shared" si="5"/>
        <v>1209.6633003264151</v>
      </c>
      <c r="Q12" s="23">
        <f t="shared" si="5"/>
        <v>4414.9414963758163</v>
      </c>
      <c r="R12" s="23">
        <f t="shared" si="5"/>
        <v>10012.818013814631</v>
      </c>
      <c r="S12" s="75" t="e">
        <f>SUM(L12:R12)-#REF!</f>
        <v>#REF!</v>
      </c>
    </row>
    <row r="13" spans="2:21" ht="16" customHeight="1" x14ac:dyDescent="0.4">
      <c r="B13" s="4" t="s">
        <v>12</v>
      </c>
      <c r="C13" s="5">
        <v>76.239999999999995</v>
      </c>
      <c r="D13" s="5">
        <f>817.68-590.95</f>
        <v>226.7299999999999</v>
      </c>
      <c r="E13" s="5">
        <f>908.53-570.81</f>
        <v>337.72</v>
      </c>
      <c r="F13" s="5">
        <f>E13*(1+$F$35)</f>
        <v>405.26400000000001</v>
      </c>
      <c r="G13" s="5">
        <f>F13*(1+$G$35)</f>
        <v>486.3168</v>
      </c>
      <c r="H13" s="5">
        <f>G13*(1+$H$35)</f>
        <v>632.21184000000005</v>
      </c>
      <c r="I13" s="5">
        <f>H13*(1+$I$35)</f>
        <v>821.87539200000015</v>
      </c>
      <c r="K13" s="20" t="s">
        <v>43</v>
      </c>
      <c r="L13" s="21">
        <v>184.38</v>
      </c>
      <c r="M13" s="21">
        <v>272.91180000000003</v>
      </c>
      <c r="N13" s="21">
        <v>480.25</v>
      </c>
      <c r="O13" s="21"/>
      <c r="P13" s="21">
        <v>450</v>
      </c>
      <c r="Q13" s="21">
        <v>50</v>
      </c>
      <c r="R13" s="21">
        <v>50</v>
      </c>
      <c r="S13" s="75" t="e">
        <f>SUM(L13:R13)-#REF!</f>
        <v>#REF!</v>
      </c>
    </row>
    <row r="14" spans="2:21" ht="16" customHeight="1" x14ac:dyDescent="0.4">
      <c r="B14" s="4" t="s">
        <v>102</v>
      </c>
      <c r="C14" s="5">
        <f>0.09+3.08</f>
        <v>3.17</v>
      </c>
      <c r="D14" s="5">
        <v>3.18</v>
      </c>
      <c r="E14" s="5">
        <v>2.5299999999999998</v>
      </c>
      <c r="F14" s="5">
        <f>E14*(1+$F$35)</f>
        <v>3.0359999999999996</v>
      </c>
      <c r="G14" s="5">
        <f>F14*(1+$G$35)</f>
        <v>3.6431999999999993</v>
      </c>
      <c r="H14" s="5">
        <f>G14*(1+$H$35)</f>
        <v>4.736159999999999</v>
      </c>
      <c r="I14" s="5">
        <f>H14*(1+$I$35)</f>
        <v>6.1570079999999994</v>
      </c>
      <c r="K14" s="22" t="s">
        <v>44</v>
      </c>
      <c r="L14" s="23">
        <f>SUM(L13:L13)</f>
        <v>184.38</v>
      </c>
      <c r="M14" s="23">
        <f t="shared" ref="M14:R14" si="6">SUM(M13:M13)</f>
        <v>272.91180000000003</v>
      </c>
      <c r="N14" s="23">
        <f t="shared" si="6"/>
        <v>480.25</v>
      </c>
      <c r="O14" s="23">
        <f t="shared" si="6"/>
        <v>0</v>
      </c>
      <c r="P14" s="23">
        <f t="shared" si="6"/>
        <v>450</v>
      </c>
      <c r="Q14" s="23">
        <f t="shared" si="6"/>
        <v>50</v>
      </c>
      <c r="R14" s="23">
        <f t="shared" si="6"/>
        <v>50</v>
      </c>
      <c r="S14" s="75" t="e">
        <f>SUM(L14:R14)-#REF!</f>
        <v>#REF!</v>
      </c>
    </row>
    <row r="15" spans="2:21" ht="16" customHeight="1" x14ac:dyDescent="0.4">
      <c r="B15" s="4" t="s">
        <v>30</v>
      </c>
      <c r="C15" s="5">
        <f>C11-C12-C13</f>
        <v>49.590000000000046</v>
      </c>
      <c r="D15" s="5">
        <v>89.32</v>
      </c>
      <c r="E15" s="5">
        <v>104.59</v>
      </c>
      <c r="F15" s="5">
        <f>E15*(1+$F$35)</f>
        <v>125.508</v>
      </c>
      <c r="G15" s="5">
        <f>F15*(1+$G$35)</f>
        <v>150.6096</v>
      </c>
      <c r="H15" s="5">
        <f>G15*(1+$H$35)</f>
        <v>195.79248000000001</v>
      </c>
      <c r="I15" s="5">
        <f>H15*(1+$I$35)</f>
        <v>254.53022400000003</v>
      </c>
      <c r="K15" s="22" t="s">
        <v>45</v>
      </c>
      <c r="L15" s="23">
        <f>-L14</f>
        <v>-184.38</v>
      </c>
      <c r="M15" s="23">
        <f t="shared" ref="M15:R15" si="7">-M14</f>
        <v>-272.91180000000003</v>
      </c>
      <c r="N15" s="23">
        <f t="shared" si="7"/>
        <v>-480.25</v>
      </c>
      <c r="O15" s="23">
        <f t="shared" si="7"/>
        <v>0</v>
      </c>
      <c r="P15" s="23">
        <f t="shared" si="7"/>
        <v>-450</v>
      </c>
      <c r="Q15" s="23">
        <f t="shared" si="7"/>
        <v>-50</v>
      </c>
      <c r="R15" s="23">
        <f t="shared" si="7"/>
        <v>-50</v>
      </c>
      <c r="S15" s="75" t="e">
        <f>SUM(L15:R15)-#REF!</f>
        <v>#REF!</v>
      </c>
    </row>
    <row r="16" spans="2:21" ht="16" customHeight="1" x14ac:dyDescent="0.4">
      <c r="B16" s="4" t="s">
        <v>18</v>
      </c>
      <c r="C16" s="5">
        <v>182.19</v>
      </c>
      <c r="D16" s="5">
        <f>SUM(D17:D20)</f>
        <v>256.62</v>
      </c>
      <c r="E16" s="5">
        <f>SUM(E17:E20)</f>
        <v>256.18</v>
      </c>
      <c r="F16" s="5">
        <f>SUM(F17:F20)</f>
        <v>268.98899999999998</v>
      </c>
      <c r="G16" s="5">
        <f>SUM(G17:G20)</f>
        <v>282.43845000000005</v>
      </c>
      <c r="H16" s="5">
        <f>SUM(H17:H20)</f>
        <v>296.56037250000003</v>
      </c>
      <c r="I16" s="5">
        <f>SUM(I17:I20)</f>
        <v>311.388391125</v>
      </c>
      <c r="K16" s="20" t="s">
        <v>46</v>
      </c>
      <c r="L16" s="19"/>
      <c r="M16" s="19"/>
      <c r="N16" s="19"/>
      <c r="O16" s="19"/>
      <c r="P16" s="19"/>
      <c r="Q16" s="19"/>
      <c r="R16" s="19"/>
      <c r="S16" s="75" t="e">
        <f>SUM(L16:R16)-#REF!</f>
        <v>#REF!</v>
      </c>
    </row>
    <row r="17" spans="2:20" ht="16" customHeight="1" x14ac:dyDescent="0.4">
      <c r="B17" s="4" t="s">
        <v>31</v>
      </c>
      <c r="C17" s="5">
        <v>76.97</v>
      </c>
      <c r="D17" s="5">
        <v>106.55</v>
      </c>
      <c r="E17" s="5">
        <v>123.16</v>
      </c>
      <c r="F17" s="5">
        <f>E17*(1+F36)</f>
        <v>129.31800000000001</v>
      </c>
      <c r="G17" s="5">
        <f>F17*(1+G36)</f>
        <v>135.78390000000002</v>
      </c>
      <c r="H17" s="5">
        <f>G17*(1+H36)</f>
        <v>142.57309500000002</v>
      </c>
      <c r="I17" s="5">
        <f>H17*(1+I36)</f>
        <v>149.70174975000003</v>
      </c>
      <c r="K17" s="20" t="s">
        <v>47</v>
      </c>
      <c r="L17" s="21">
        <v>1020</v>
      </c>
      <c r="M17" s="21">
        <v>1080</v>
      </c>
      <c r="N17" s="21"/>
      <c r="O17" s="21"/>
      <c r="P17" s="21"/>
      <c r="Q17" s="21"/>
      <c r="R17" s="21"/>
      <c r="S17" s="75" t="e">
        <f>SUM(L17:R17)-#REF!</f>
        <v>#REF!</v>
      </c>
    </row>
    <row r="18" spans="2:20" ht="16" customHeight="1" x14ac:dyDescent="0.4">
      <c r="B18" s="4" t="s">
        <v>11</v>
      </c>
      <c r="C18" s="5">
        <v>33.979999999999997</v>
      </c>
      <c r="D18" s="5">
        <v>70.73</v>
      </c>
      <c r="E18" s="5">
        <v>71.08</v>
      </c>
      <c r="F18" s="5">
        <f>E18*(1+F36)</f>
        <v>74.634</v>
      </c>
      <c r="G18" s="5">
        <f>F18*(1+G36)</f>
        <v>78.365700000000004</v>
      </c>
      <c r="H18" s="5">
        <f>G18*(1+H36)</f>
        <v>82.283985000000001</v>
      </c>
      <c r="I18" s="5">
        <f>H18*(1+I36)</f>
        <v>86.39818425</v>
      </c>
      <c r="K18" s="22" t="s">
        <v>48</v>
      </c>
      <c r="L18" s="23">
        <f t="shared" ref="L18:R18" si="8">SUM(L16:L17)</f>
        <v>1020</v>
      </c>
      <c r="M18" s="23">
        <f t="shared" si="8"/>
        <v>1080</v>
      </c>
      <c r="N18" s="23">
        <f t="shared" si="8"/>
        <v>0</v>
      </c>
      <c r="O18" s="23">
        <f t="shared" si="8"/>
        <v>0</v>
      </c>
      <c r="P18" s="23">
        <f t="shared" si="8"/>
        <v>0</v>
      </c>
      <c r="Q18" s="23">
        <f t="shared" si="8"/>
        <v>0</v>
      </c>
      <c r="R18" s="23">
        <f t="shared" si="8"/>
        <v>0</v>
      </c>
      <c r="S18" s="75" t="e">
        <f>SUM(L18:R18)-#REF!</f>
        <v>#REF!</v>
      </c>
    </row>
    <row r="19" spans="2:20" ht="16" customHeight="1" x14ac:dyDescent="0.4">
      <c r="B19" s="4" t="s">
        <v>101</v>
      </c>
      <c r="C19" s="5">
        <v>8.7799999999999994</v>
      </c>
      <c r="D19" s="5">
        <v>2.36</v>
      </c>
      <c r="E19" s="5">
        <v>1.06</v>
      </c>
      <c r="F19" s="5">
        <f>E19*(1+F36)</f>
        <v>1.1130000000000002</v>
      </c>
      <c r="G19" s="5">
        <f>F19*(1+G36)</f>
        <v>1.1686500000000002</v>
      </c>
      <c r="H19" s="5">
        <f>G19*(1+H36)</f>
        <v>1.2270825000000003</v>
      </c>
      <c r="I19" s="5">
        <f>H19*(1+I36)</f>
        <v>1.2884366250000003</v>
      </c>
      <c r="K19" s="20" t="s">
        <v>49</v>
      </c>
      <c r="L19" s="19"/>
      <c r="M19" s="19"/>
      <c r="N19" s="19"/>
      <c r="O19" s="19"/>
      <c r="P19" s="19"/>
      <c r="Q19" s="19"/>
      <c r="R19" s="19"/>
      <c r="S19" s="75" t="e">
        <f>SUM(L19:R19)-#REF!</f>
        <v>#REF!</v>
      </c>
    </row>
    <row r="20" spans="2:20" ht="16" customHeight="1" x14ac:dyDescent="0.4">
      <c r="B20" s="4" t="s">
        <v>13</v>
      </c>
      <c r="C20" s="5">
        <f>C16-C17-C18-C19</f>
        <v>62.460000000000008</v>
      </c>
      <c r="D20" s="5">
        <f>256.62-179.64</f>
        <v>76.980000000000018</v>
      </c>
      <c r="E20" s="5">
        <f>256.18-195.3</f>
        <v>60.879999999999995</v>
      </c>
      <c r="F20" s="5">
        <f>E20*(1+F36)</f>
        <v>63.923999999999999</v>
      </c>
      <c r="G20" s="5">
        <f>F20*(1+G36)</f>
        <v>67.120199999999997</v>
      </c>
      <c r="H20" s="5">
        <f>G20*(1+H36)</f>
        <v>70.476209999999995</v>
      </c>
      <c r="I20" s="5">
        <f>H20*(1+I36)</f>
        <v>74.000020499999991</v>
      </c>
      <c r="K20" s="20" t="s">
        <v>50</v>
      </c>
      <c r="L20" s="24">
        <v>13.63</v>
      </c>
      <c r="M20" s="24">
        <v>41.427498</v>
      </c>
      <c r="N20" s="24">
        <v>102.5</v>
      </c>
      <c r="O20" s="24">
        <v>140</v>
      </c>
      <c r="P20" s="24">
        <v>160</v>
      </c>
      <c r="Q20" s="24">
        <v>130</v>
      </c>
      <c r="R20" s="24"/>
      <c r="S20" s="75" t="e">
        <f>SUM(L20:R20)-#REF!</f>
        <v>#REF!</v>
      </c>
    </row>
    <row r="21" spans="2:20" ht="16" customHeight="1" x14ac:dyDescent="0.4">
      <c r="B21" s="4" t="s">
        <v>20</v>
      </c>
      <c r="C21" s="5">
        <v>596.29999999999995</v>
      </c>
      <c r="D21" s="5">
        <f>SUM(D22:D25)</f>
        <v>547.61</v>
      </c>
      <c r="E21" s="5">
        <f>SUM(E22:E25)</f>
        <v>356.71</v>
      </c>
      <c r="F21" s="5">
        <f>SUM(F22:F25)</f>
        <v>392.38100000000009</v>
      </c>
      <c r="G21" s="5">
        <f>SUM(G22:G25)</f>
        <v>431.61910000000012</v>
      </c>
      <c r="H21" s="5">
        <f>SUM(H22:H25)</f>
        <v>474.78101000000015</v>
      </c>
      <c r="I21" s="5">
        <f>SUM(I22:I25)</f>
        <v>522.25911100000019</v>
      </c>
      <c r="K21" s="20" t="s">
        <v>51</v>
      </c>
      <c r="L21" s="21">
        <f>59.17+0.08</f>
        <v>59.25</v>
      </c>
      <c r="M21" s="21">
        <f>58.9348+0.31</f>
        <v>59.244800000000005</v>
      </c>
      <c r="N21" s="21">
        <v>59.22</v>
      </c>
      <c r="O21" s="21">
        <f>N21*1.1</f>
        <v>65.14200000000001</v>
      </c>
      <c r="P21" s="21">
        <f>O21*1.1</f>
        <v>71.656200000000013</v>
      </c>
      <c r="Q21" s="21">
        <f>P21*1.1</f>
        <v>78.821820000000017</v>
      </c>
      <c r="R21" s="21">
        <f>Q21*1.1</f>
        <v>86.704002000000031</v>
      </c>
      <c r="S21" s="75" t="e">
        <f>SUM(L21:R21)-#REF!</f>
        <v>#REF!</v>
      </c>
    </row>
    <row r="22" spans="2:20" ht="16" customHeight="1" x14ac:dyDescent="0.4">
      <c r="B22" s="4" t="s">
        <v>31</v>
      </c>
      <c r="C22" s="5">
        <v>412.31</v>
      </c>
      <c r="D22" s="5">
        <v>373.76</v>
      </c>
      <c r="E22" s="5">
        <v>195.22</v>
      </c>
      <c r="F22" s="5">
        <f>E22*(1+F37)</f>
        <v>214.74200000000002</v>
      </c>
      <c r="G22" s="5">
        <f>F22*(1+G37)</f>
        <v>236.21620000000004</v>
      </c>
      <c r="H22" s="5">
        <f>G22*(1+H37)</f>
        <v>259.83782000000008</v>
      </c>
      <c r="I22" s="5">
        <f>H22*(1+I37)</f>
        <v>285.8216020000001</v>
      </c>
      <c r="K22" s="22" t="s">
        <v>52</v>
      </c>
      <c r="L22" s="23">
        <f>SUM(L20:L21)</f>
        <v>72.88</v>
      </c>
      <c r="M22" s="23">
        <f t="shared" ref="M22:Q22" si="9">SUM(M20:M21)</f>
        <v>100.67229800000001</v>
      </c>
      <c r="N22" s="23">
        <f t="shared" si="9"/>
        <v>161.72</v>
      </c>
      <c r="O22" s="23">
        <f t="shared" si="9"/>
        <v>205.142</v>
      </c>
      <c r="P22" s="23">
        <f t="shared" si="9"/>
        <v>231.65620000000001</v>
      </c>
      <c r="Q22" s="23">
        <f t="shared" si="9"/>
        <v>208.82182</v>
      </c>
      <c r="R22" s="23">
        <f t="shared" ref="N22:R22" si="10">SUM(R19:R21)</f>
        <v>86.704002000000031</v>
      </c>
      <c r="S22" s="75" t="e">
        <f>SUM(L22:R22)-#REF!</f>
        <v>#REF!</v>
      </c>
    </row>
    <row r="23" spans="2:20" ht="16" customHeight="1" x14ac:dyDescent="0.4">
      <c r="B23" s="4" t="s">
        <v>11</v>
      </c>
      <c r="C23" s="5">
        <v>47.59</v>
      </c>
      <c r="D23" s="5">
        <f>3.31+27.62</f>
        <v>30.93</v>
      </c>
      <c r="E23" s="5">
        <v>34.32</v>
      </c>
      <c r="F23" s="5">
        <f>E23*(1+F37)</f>
        <v>37.752000000000002</v>
      </c>
      <c r="G23" s="5">
        <f>F23*(1+G37)</f>
        <v>41.527200000000008</v>
      </c>
      <c r="H23" s="5">
        <f>G23*(1+H37)</f>
        <v>45.67992000000001</v>
      </c>
      <c r="I23" s="5">
        <f>H23*(1+I37)</f>
        <v>50.247912000000014</v>
      </c>
      <c r="K23" s="22" t="s">
        <v>53</v>
      </c>
      <c r="L23" s="23">
        <f>L18-L22</f>
        <v>947.12</v>
      </c>
      <c r="M23" s="23">
        <f t="shared" ref="M23:R23" si="11">M18-M22</f>
        <v>979.32770200000004</v>
      </c>
      <c r="N23" s="23">
        <f t="shared" si="11"/>
        <v>-161.72</v>
      </c>
      <c r="O23" s="23">
        <f t="shared" si="11"/>
        <v>-205.142</v>
      </c>
      <c r="P23" s="23">
        <f t="shared" si="11"/>
        <v>-231.65620000000001</v>
      </c>
      <c r="Q23" s="23">
        <f t="shared" si="11"/>
        <v>-208.82182</v>
      </c>
      <c r="R23" s="23">
        <f t="shared" si="11"/>
        <v>-86.704002000000031</v>
      </c>
      <c r="S23" s="75" t="e">
        <f>SUM(L23:R23)-#REF!</f>
        <v>#REF!</v>
      </c>
    </row>
    <row r="24" spans="2:20" ht="16" customHeight="1" x14ac:dyDescent="0.4">
      <c r="B24" s="4" t="s">
        <v>101</v>
      </c>
      <c r="C24" s="5">
        <v>88.51</v>
      </c>
      <c r="D24" s="5">
        <v>95.74</v>
      </c>
      <c r="E24" s="5">
        <v>78.05</v>
      </c>
      <c r="F24" s="5">
        <f>E24*(1+F37)</f>
        <v>85.855000000000004</v>
      </c>
      <c r="G24" s="5">
        <f>F24*(1+G37)</f>
        <v>94.440500000000014</v>
      </c>
      <c r="H24" s="5">
        <f>G24*(1+H37)</f>
        <v>103.88455000000002</v>
      </c>
      <c r="I24" s="5">
        <f>H24*(1+I37)</f>
        <v>114.27300500000003</v>
      </c>
      <c r="K24" s="22" t="s">
        <v>55</v>
      </c>
      <c r="L24" s="23">
        <f t="shared" ref="L24:R24" si="12">L12+L15+L23</f>
        <v>16.179999999999836</v>
      </c>
      <c r="M24" s="23">
        <f t="shared" si="12"/>
        <v>-231.05808900000011</v>
      </c>
      <c r="N24" s="23">
        <f t="shared" si="12"/>
        <v>-1408.6749261327432</v>
      </c>
      <c r="O24" s="23">
        <f t="shared" si="12"/>
        <v>-1072.4233623275125</v>
      </c>
      <c r="P24" s="23">
        <f t="shared" si="12"/>
        <v>528.00710032641507</v>
      </c>
      <c r="Q24" s="23">
        <f t="shared" si="12"/>
        <v>4156.1196763758162</v>
      </c>
      <c r="R24" s="23">
        <f t="shared" si="12"/>
        <v>9876.1140118146304</v>
      </c>
      <c r="S24" s="75" t="e">
        <f>SUM(L24:R24)-#REF!</f>
        <v>#REF!</v>
      </c>
      <c r="T24" s="12" t="e">
        <f>S23+S15+S12-S24</f>
        <v>#REF!</v>
      </c>
    </row>
    <row r="25" spans="2:20" ht="16" customHeight="1" x14ac:dyDescent="0.4">
      <c r="B25" s="4" t="s">
        <v>13</v>
      </c>
      <c r="C25" s="5">
        <f>C21-C22-C23-C24</f>
        <v>47.889999999999944</v>
      </c>
      <c r="D25" s="5">
        <f>547.61-500.43</f>
        <v>47.180000000000007</v>
      </c>
      <c r="E25" s="5">
        <f>356.71-307.59</f>
        <v>49.120000000000005</v>
      </c>
      <c r="F25" s="5">
        <f>E25*(1+F37)</f>
        <v>54.032000000000011</v>
      </c>
      <c r="G25" s="5">
        <f>F25*(1+G37)</f>
        <v>59.435200000000016</v>
      </c>
      <c r="H25" s="5">
        <f>G25*(1+H37)</f>
        <v>65.37872000000003</v>
      </c>
      <c r="I25" s="5">
        <f>H25*(1+I37)</f>
        <v>71.916592000000037</v>
      </c>
      <c r="K25" s="20" t="s">
        <v>54</v>
      </c>
      <c r="L25" s="21">
        <v>273.76</v>
      </c>
      <c r="M25" s="21">
        <f>L26</f>
        <v>289.93999999999983</v>
      </c>
      <c r="N25" s="21">
        <f>M26</f>
        <v>58.881910999999718</v>
      </c>
      <c r="O25" s="21"/>
      <c r="P25" s="21"/>
      <c r="Q25" s="21"/>
      <c r="R25" s="21"/>
    </row>
    <row r="26" spans="2:20" ht="16" customHeight="1" x14ac:dyDescent="0.4">
      <c r="B26" s="4" t="s">
        <v>21</v>
      </c>
      <c r="C26" s="5">
        <v>18.23</v>
      </c>
      <c r="D26" s="5">
        <v>63.97</v>
      </c>
      <c r="E26" s="5">
        <v>104.59</v>
      </c>
      <c r="F26" s="5">
        <f>O20</f>
        <v>140</v>
      </c>
      <c r="G26" s="5">
        <f>P20</f>
        <v>160</v>
      </c>
      <c r="H26" s="5">
        <f>Q20</f>
        <v>130</v>
      </c>
      <c r="I26" s="5"/>
      <c r="K26" s="22" t="s">
        <v>56</v>
      </c>
      <c r="L26" s="23">
        <f>L24+L25</f>
        <v>289.93999999999983</v>
      </c>
      <c r="M26" s="23">
        <f t="shared" ref="M26:R26" si="13">M24+M25</f>
        <v>58.881910999999718</v>
      </c>
      <c r="N26" s="23">
        <f t="shared" si="13"/>
        <v>-1349.7930151327434</v>
      </c>
      <c r="O26" s="23">
        <f t="shared" si="13"/>
        <v>-1072.4233623275125</v>
      </c>
      <c r="P26" s="23">
        <f t="shared" si="13"/>
        <v>528.00710032641507</v>
      </c>
      <c r="Q26" s="23">
        <f t="shared" si="13"/>
        <v>4156.1196763758162</v>
      </c>
      <c r="R26" s="23">
        <f t="shared" si="13"/>
        <v>9876.1140118146304</v>
      </c>
    </row>
    <row r="27" spans="2:20" ht="16" customHeight="1" x14ac:dyDescent="0.4">
      <c r="B27" s="4" t="s">
        <v>2</v>
      </c>
      <c r="C27" s="5">
        <v>25.82</v>
      </c>
      <c r="D27" s="5">
        <v>6.78</v>
      </c>
      <c r="E27" s="5"/>
      <c r="F27" s="5">
        <f>O5</f>
        <v>10</v>
      </c>
      <c r="G27" s="5">
        <f>P5</f>
        <v>10</v>
      </c>
      <c r="H27" s="5">
        <f>Q5</f>
        <v>10</v>
      </c>
      <c r="I27" s="5">
        <f>R5</f>
        <v>10</v>
      </c>
      <c r="K27" s="11" t="s">
        <v>58</v>
      </c>
      <c r="M27" s="17"/>
      <c r="O27" s="17">
        <f>SUM(M26:O26)</f>
        <v>-2363.3344664602564</v>
      </c>
      <c r="P27" s="15"/>
      <c r="Q27" s="15"/>
      <c r="R27" s="14"/>
    </row>
    <row r="28" spans="2:20" ht="16" customHeight="1" x14ac:dyDescent="0.4">
      <c r="B28" s="4" t="s">
        <v>22</v>
      </c>
      <c r="C28" s="5">
        <v>-2.8176000000000001</v>
      </c>
      <c r="D28" s="5">
        <v>-4.24</v>
      </c>
      <c r="E28" s="5">
        <v>-6</v>
      </c>
      <c r="F28" s="5">
        <f>-10</f>
        <v>-10</v>
      </c>
      <c r="G28" s="5">
        <v>-15</v>
      </c>
      <c r="H28" s="5">
        <v>-20</v>
      </c>
      <c r="I28" s="5">
        <v>-25</v>
      </c>
      <c r="L28" s="16">
        <f>L3+L4+L5-L7-L8-L9-L10-L13+L17-L20-L21-L24</f>
        <v>2.2737367544323206E-13</v>
      </c>
      <c r="M28" s="16">
        <f t="shared" ref="M28:R28" si="14">M3+M4+M5-M7-M8-M9-M10-M13+M17-M20-M21-M24</f>
        <v>0</v>
      </c>
      <c r="N28" s="16">
        <f t="shared" si="14"/>
        <v>0</v>
      </c>
      <c r="O28" s="16">
        <f t="shared" si="14"/>
        <v>0</v>
      </c>
      <c r="P28" s="16">
        <f t="shared" si="14"/>
        <v>0</v>
      </c>
      <c r="Q28" s="16">
        <f t="shared" si="14"/>
        <v>0</v>
      </c>
      <c r="R28" s="16">
        <f t="shared" si="14"/>
        <v>0</v>
      </c>
    </row>
    <row r="29" spans="2:20" ht="16" customHeight="1" x14ac:dyDescent="0.4">
      <c r="B29" s="4" t="s">
        <v>23</v>
      </c>
      <c r="C29" s="5">
        <v>-2.5146999999999999E-2</v>
      </c>
      <c r="D29" s="5"/>
      <c r="E29" s="5">
        <v>-0.4</v>
      </c>
      <c r="F29" s="5"/>
      <c r="G29" s="5"/>
      <c r="H29" s="5"/>
      <c r="I29" s="5"/>
      <c r="J29" s="17">
        <f>J28+J21+J16+J11+J5</f>
        <v>0</v>
      </c>
      <c r="L29" s="17"/>
      <c r="M29" s="17"/>
      <c r="N29" s="17"/>
      <c r="O29" s="17"/>
      <c r="P29" s="17"/>
      <c r="Q29" s="17"/>
      <c r="R29" s="17"/>
    </row>
    <row r="30" spans="2:20" ht="16" customHeight="1" x14ac:dyDescent="0.4">
      <c r="B30" s="4" t="s">
        <v>24</v>
      </c>
      <c r="C30" s="5">
        <v>-9.2171470000000006</v>
      </c>
      <c r="D30" s="5"/>
      <c r="E30" s="5"/>
      <c r="F30" s="5"/>
      <c r="G30" s="5"/>
      <c r="H30" s="5"/>
      <c r="I30" s="5"/>
      <c r="L30" s="74"/>
      <c r="M30" s="74"/>
      <c r="N30" s="74"/>
      <c r="O30" s="74"/>
      <c r="P30" s="74"/>
      <c r="Q30" s="74"/>
      <c r="R30" s="74"/>
    </row>
    <row r="31" spans="2:20" ht="16" customHeight="1" x14ac:dyDescent="0.4">
      <c r="B31" s="4" t="s">
        <v>57</v>
      </c>
      <c r="C31" s="5">
        <f>C3-C4-C10-C11-C16-C21-C26+C27+C28+C29+C30</f>
        <v>-1039.0698940000002</v>
      </c>
      <c r="D31" s="5">
        <f>D3-D4-D10-D11-D16-D21-D26+D27+D28+D29+D30</f>
        <v>-1541.6699999999998</v>
      </c>
      <c r="E31" s="5">
        <f>E3-E4-E10-E11-E16-E21-E26+E27+E28+E29+E30</f>
        <v>-1052.8230973451327</v>
      </c>
      <c r="F31" s="5">
        <f>F3-F4-F10-F11-F16-F21-F26+F27+F28+F29+F30</f>
        <v>-1012.5927422664265</v>
      </c>
      <c r="G31" s="5">
        <f>G3-G4-G10-G11-G16-G21-G26+G27+G28+G29+G30</f>
        <v>577.52486779309311</v>
      </c>
      <c r="H31" s="5">
        <f>H3-H4-H10-H11-H16-H21-H26+H27+H28+H29+H30</f>
        <v>3335.5083422646644</v>
      </c>
      <c r="I31" s="5">
        <f>I3-I4-I10-I11-I16-I21-I26+I27+I28+I29+I30</f>
        <v>7936.89959535045</v>
      </c>
    </row>
    <row r="32" spans="2:20" ht="16" customHeight="1" x14ac:dyDescent="0.4">
      <c r="C32" s="17">
        <f>C9-C10-C11-C16-C21-C26+C27+C28+C29+C30-C31</f>
        <v>0</v>
      </c>
      <c r="D32" s="17">
        <f t="shared" ref="D32:I32" si="15">D9-D10-D11-D16-D21-D26+D27+D28+D29+D30-D31</f>
        <v>0</v>
      </c>
      <c r="E32" s="17">
        <f t="shared" si="15"/>
        <v>0</v>
      </c>
      <c r="F32" s="17">
        <f t="shared" si="15"/>
        <v>0</v>
      </c>
      <c r="G32" s="17">
        <f t="shared" si="15"/>
        <v>0</v>
      </c>
      <c r="H32" s="17">
        <f t="shared" si="15"/>
        <v>0</v>
      </c>
      <c r="I32" s="17">
        <f t="shared" si="15"/>
        <v>0</v>
      </c>
    </row>
    <row r="33" spans="2:11" ht="16" customHeight="1" x14ac:dyDescent="0.4">
      <c r="B33" s="7" t="s">
        <v>10</v>
      </c>
      <c r="C33" s="8">
        <f>C9/C3</f>
        <v>0.48949143746756613</v>
      </c>
      <c r="D33" s="8">
        <f>D9/D3</f>
        <v>0.58675600777598547</v>
      </c>
      <c r="E33" s="8">
        <f>E9/E3</f>
        <v>0.55090975000000009</v>
      </c>
      <c r="F33" s="13">
        <f>收入预测!M16</f>
        <v>0.52777777777777779</v>
      </c>
      <c r="G33" s="13">
        <f>收入预测!M24</f>
        <v>0.63406113537117914</v>
      </c>
      <c r="H33" s="13">
        <f>收入预测!Y8</f>
        <v>0.68487143360338143</v>
      </c>
      <c r="I33" s="13">
        <f>收入预测!Y16</f>
        <v>0.63596150450291367</v>
      </c>
    </row>
    <row r="34" spans="2:11" ht="16" customHeight="1" x14ac:dyDescent="0.4">
      <c r="B34" s="11" t="s">
        <v>25</v>
      </c>
      <c r="E34" s="8"/>
      <c r="F34" s="8">
        <f>F3/E3-1</f>
        <v>0.83749999999999991</v>
      </c>
      <c r="G34" s="8">
        <f>G3/F3-1</f>
        <v>1.5963718820861676</v>
      </c>
      <c r="H34" s="8">
        <f>H3/G3-1</f>
        <v>0.98358078602620069</v>
      </c>
      <c r="I34" s="8">
        <f>I3/H3-1</f>
        <v>0.99471644945403326</v>
      </c>
    </row>
    <row r="35" spans="2:11" x14ac:dyDescent="0.4">
      <c r="B35" s="11" t="s">
        <v>26</v>
      </c>
      <c r="E35" s="8">
        <f>E11/D11-1</f>
        <v>0.11110703453673842</v>
      </c>
      <c r="F35" s="13">
        <v>0.2</v>
      </c>
      <c r="G35" s="13">
        <v>0.2</v>
      </c>
      <c r="H35" s="13">
        <v>0.3</v>
      </c>
      <c r="I35" s="13">
        <v>0.3</v>
      </c>
    </row>
    <row r="36" spans="2:11" x14ac:dyDescent="0.4">
      <c r="B36" s="11" t="s">
        <v>27</v>
      </c>
      <c r="E36" s="8">
        <f>E16/D16-1</f>
        <v>-1.7145974592782665E-3</v>
      </c>
      <c r="F36" s="8">
        <v>0.05</v>
      </c>
      <c r="G36" s="8">
        <v>0.05</v>
      </c>
      <c r="H36" s="8">
        <v>0.05</v>
      </c>
      <c r="I36" s="8">
        <v>0.05</v>
      </c>
    </row>
    <row r="37" spans="2:11" x14ac:dyDescent="0.4">
      <c r="B37" s="11" t="s">
        <v>28</v>
      </c>
      <c r="E37" s="8">
        <f>E21/D21-1</f>
        <v>-0.34860575957341911</v>
      </c>
      <c r="F37" s="8">
        <v>0.1</v>
      </c>
      <c r="G37" s="8">
        <v>0.1</v>
      </c>
      <c r="H37" s="8">
        <v>0.1</v>
      </c>
      <c r="I37" s="8">
        <v>0.1</v>
      </c>
    </row>
    <row r="39" spans="2:11" x14ac:dyDescent="0.4">
      <c r="D39" s="84"/>
      <c r="E39" s="84"/>
      <c r="F39" s="84"/>
      <c r="G39" s="84"/>
      <c r="H39" s="84"/>
      <c r="I39" s="84"/>
    </row>
    <row r="40" spans="2:11" x14ac:dyDescent="0.4">
      <c r="K40" t="s">
        <v>107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C1F52-ED06-46D4-BA14-76AAE4DF512A}">
  <dimension ref="A1:Y59"/>
  <sheetViews>
    <sheetView showGridLines="0" topLeftCell="A17" zoomScale="90" zoomScaleNormal="90" workbookViewId="0">
      <selection activeCell="F66" sqref="F66"/>
    </sheetView>
  </sheetViews>
  <sheetFormatPr defaultRowHeight="14" x14ac:dyDescent="0.3"/>
  <cols>
    <col min="1" max="1" width="8.58203125" customWidth="1"/>
    <col min="2" max="2" width="12.25" customWidth="1"/>
    <col min="3" max="3" width="10.6640625" customWidth="1"/>
    <col min="4" max="4" width="11.83203125" customWidth="1"/>
    <col min="5" max="5" width="11.58203125" bestFit="1" customWidth="1"/>
    <col min="6" max="6" width="13.08203125" customWidth="1"/>
    <col min="7" max="7" width="10.25" bestFit="1" customWidth="1"/>
    <col min="8" max="8" width="11.58203125" bestFit="1" customWidth="1"/>
    <col min="10" max="10" width="13.25" customWidth="1"/>
    <col min="11" max="11" width="12.08203125" customWidth="1"/>
    <col min="12" max="12" width="10.58203125" customWidth="1"/>
    <col min="13" max="13" width="10.25" customWidth="1"/>
    <col min="14" max="14" width="6.83203125" customWidth="1"/>
    <col min="15" max="15" width="12.6640625" customWidth="1"/>
    <col min="16" max="16" width="13.4140625" customWidth="1"/>
    <col min="17" max="17" width="10.9140625" customWidth="1"/>
    <col min="19" max="19" width="9.08203125" customWidth="1"/>
    <col min="20" max="20" width="9.9140625" customWidth="1"/>
    <col min="24" max="24" width="9.4140625" customWidth="1"/>
  </cols>
  <sheetData>
    <row r="1" spans="2:25" ht="14.5" thickBot="1" x14ac:dyDescent="0.35"/>
    <row r="2" spans="2:25" s="25" customFormat="1" ht="27.5" customHeight="1" x14ac:dyDescent="0.45">
      <c r="B2" s="80" t="s">
        <v>3</v>
      </c>
      <c r="C2" s="51" t="s">
        <v>59</v>
      </c>
      <c r="D2" s="51" t="s">
        <v>60</v>
      </c>
      <c r="E2" s="52" t="s">
        <v>61</v>
      </c>
      <c r="F2" s="48" t="s">
        <v>62</v>
      </c>
      <c r="G2" s="49" t="s">
        <v>63</v>
      </c>
      <c r="H2" s="50" t="s">
        <v>64</v>
      </c>
      <c r="I2" s="50" t="s">
        <v>65</v>
      </c>
      <c r="J2" s="53" t="s">
        <v>66</v>
      </c>
      <c r="K2" s="53" t="s">
        <v>91</v>
      </c>
      <c r="M2" s="71" t="s">
        <v>99</v>
      </c>
      <c r="N2" s="80" t="s">
        <v>77</v>
      </c>
      <c r="O2" s="51" t="s">
        <v>59</v>
      </c>
      <c r="P2" s="51" t="s">
        <v>60</v>
      </c>
      <c r="Q2" s="52" t="s">
        <v>61</v>
      </c>
      <c r="R2" s="48" t="s">
        <v>62</v>
      </c>
      <c r="S2" s="49" t="s">
        <v>63</v>
      </c>
      <c r="T2" s="50" t="s">
        <v>64</v>
      </c>
      <c r="U2" s="50" t="s">
        <v>65</v>
      </c>
      <c r="V2" s="53" t="s">
        <v>66</v>
      </c>
      <c r="W2" s="53" t="s">
        <v>91</v>
      </c>
      <c r="Y2" s="71" t="s">
        <v>99</v>
      </c>
    </row>
    <row r="3" spans="2:25" s="25" customFormat="1" ht="20" customHeight="1" x14ac:dyDescent="0.45">
      <c r="B3" s="81"/>
      <c r="C3" s="27" t="s">
        <v>67</v>
      </c>
      <c r="D3" s="27" t="s">
        <v>68</v>
      </c>
      <c r="E3" s="27">
        <v>1000</v>
      </c>
      <c r="F3" s="28">
        <f>500/10000</f>
        <v>0.05</v>
      </c>
      <c r="G3" s="29">
        <f>E3*F3</f>
        <v>50</v>
      </c>
      <c r="H3" s="30">
        <f>+E3*F3/1.13</f>
        <v>44.247787610619476</v>
      </c>
      <c r="I3" s="31">
        <f>0.0065</f>
        <v>6.4999999999999997E-3</v>
      </c>
      <c r="J3" s="54">
        <f>I3*E3</f>
        <v>6.5</v>
      </c>
      <c r="K3" s="70">
        <v>0.01</v>
      </c>
      <c r="L3" s="60">
        <f>H3*(1-K3)</f>
        <v>43.80530973451328</v>
      </c>
      <c r="N3" s="81"/>
      <c r="O3" s="27" t="s">
        <v>67</v>
      </c>
      <c r="P3" s="27" t="s">
        <v>68</v>
      </c>
      <c r="Q3" s="27">
        <v>3000</v>
      </c>
      <c r="R3" s="28">
        <f>500/10000</f>
        <v>0.05</v>
      </c>
      <c r="S3" s="29">
        <f>Q3*R3</f>
        <v>150</v>
      </c>
      <c r="T3" s="30">
        <f>+Q3*R3/1.13</f>
        <v>132.74336283185841</v>
      </c>
      <c r="U3" s="39">
        <f>0.0065</f>
        <v>6.4999999999999997E-3</v>
      </c>
      <c r="V3" s="68">
        <f>U3*Q3</f>
        <v>19.5</v>
      </c>
      <c r="W3" s="70">
        <v>0.65</v>
      </c>
      <c r="X3" s="60">
        <f>T3*(1-W3)</f>
        <v>46.460176991150441</v>
      </c>
    </row>
    <row r="4" spans="2:25" s="25" customFormat="1" ht="20" customHeight="1" x14ac:dyDescent="0.45">
      <c r="B4" s="81"/>
      <c r="C4" s="27" t="s">
        <v>67</v>
      </c>
      <c r="D4" s="27" t="s">
        <v>69</v>
      </c>
      <c r="E4" s="27">
        <v>25000</v>
      </c>
      <c r="F4" s="28">
        <f>350/10000</f>
        <v>3.5000000000000003E-2</v>
      </c>
      <c r="G4" s="29">
        <f>E4*F4</f>
        <v>875.00000000000011</v>
      </c>
      <c r="H4" s="30">
        <f>+E4*F4/1.13</f>
        <v>774.3362831858409</v>
      </c>
      <c r="I4" s="31">
        <f>0.0175/1.13</f>
        <v>1.5486725663716817E-2</v>
      </c>
      <c r="J4" s="54">
        <f>I4*E4</f>
        <v>387.16814159292045</v>
      </c>
      <c r="K4" s="70">
        <v>0.75</v>
      </c>
      <c r="L4" s="60">
        <f>H4*(1-K4)</f>
        <v>193.58407079646022</v>
      </c>
      <c r="N4" s="81"/>
      <c r="O4" s="27" t="s">
        <v>67</v>
      </c>
      <c r="P4" s="27" t="s">
        <v>69</v>
      </c>
      <c r="Q4" s="27">
        <v>100000</v>
      </c>
      <c r="R4" s="28">
        <f>350/10000</f>
        <v>3.5000000000000003E-2</v>
      </c>
      <c r="S4" s="29">
        <f>Q4*R4</f>
        <v>3500.0000000000005</v>
      </c>
      <c r="T4" s="30">
        <f>+Q4*R4/1.13</f>
        <v>3097.3451327433636</v>
      </c>
      <c r="U4" s="39">
        <f>0.0175/1.13</f>
        <v>1.5486725663716817E-2</v>
      </c>
      <c r="V4" s="68">
        <f>U4*Q4</f>
        <v>1548.6725663716818</v>
      </c>
      <c r="W4" s="70">
        <v>0.8</v>
      </c>
      <c r="X4" s="60">
        <f>T4*(1-W4)</f>
        <v>619.46902654867256</v>
      </c>
    </row>
    <row r="5" spans="2:25" s="25" customFormat="1" ht="20" customHeight="1" x14ac:dyDescent="0.45">
      <c r="B5" s="81"/>
      <c r="C5" s="27" t="s">
        <v>67</v>
      </c>
      <c r="D5" s="27" t="s">
        <v>70</v>
      </c>
      <c r="E5" s="27">
        <v>5000</v>
      </c>
      <c r="F5" s="32">
        <f>550/10000</f>
        <v>5.5E-2</v>
      </c>
      <c r="G5" s="29">
        <f>E5*F5</f>
        <v>275</v>
      </c>
      <c r="H5" s="27">
        <f>+E5*F5/1.13</f>
        <v>243.36283185840711</v>
      </c>
      <c r="I5" s="31">
        <f>0.01</f>
        <v>0.01</v>
      </c>
      <c r="J5" s="54">
        <f>I5*E5</f>
        <v>50</v>
      </c>
      <c r="K5" s="70">
        <v>0.01</v>
      </c>
      <c r="L5" s="60">
        <f>H5*(1-K5)</f>
        <v>240.92920353982302</v>
      </c>
      <c r="N5" s="81"/>
      <c r="O5" s="27" t="s">
        <v>67</v>
      </c>
      <c r="P5" s="27" t="s">
        <v>70</v>
      </c>
      <c r="Q5" s="27">
        <v>90000</v>
      </c>
      <c r="R5" s="32">
        <f>550/10000</f>
        <v>5.5E-2</v>
      </c>
      <c r="S5" s="29">
        <f>Q5*R5</f>
        <v>4950</v>
      </c>
      <c r="T5" s="30">
        <f>+Q5*R5/1.13</f>
        <v>4380.5309734513276</v>
      </c>
      <c r="U5" s="39">
        <f>0.01</f>
        <v>0.01</v>
      </c>
      <c r="V5" s="68">
        <f>U5*Q5</f>
        <v>900</v>
      </c>
      <c r="W5" s="70">
        <v>0.65</v>
      </c>
      <c r="X5" s="60">
        <f>T5*(1-W5)</f>
        <v>1533.1858407079646</v>
      </c>
    </row>
    <row r="6" spans="2:25" s="25" customFormat="1" ht="20" customHeight="1" x14ac:dyDescent="0.45">
      <c r="B6" s="81"/>
      <c r="C6" s="27" t="s">
        <v>67</v>
      </c>
      <c r="D6" s="27" t="s">
        <v>71</v>
      </c>
      <c r="E6" s="27"/>
      <c r="F6" s="32">
        <f>700/10000</f>
        <v>7.0000000000000007E-2</v>
      </c>
      <c r="G6" s="29">
        <f>E6*F6</f>
        <v>0</v>
      </c>
      <c r="H6" s="27">
        <f>+E6*F6/1.13</f>
        <v>0</v>
      </c>
      <c r="I6" s="31">
        <v>0.01</v>
      </c>
      <c r="J6" s="54">
        <f>I6*E6</f>
        <v>0</v>
      </c>
      <c r="K6" s="70"/>
      <c r="L6" s="60">
        <f>H6*(1-K6)</f>
        <v>0</v>
      </c>
      <c r="N6" s="83"/>
      <c r="O6" s="27" t="s">
        <v>67</v>
      </c>
      <c r="P6" s="27" t="s">
        <v>71</v>
      </c>
      <c r="Q6" s="40">
        <v>20000</v>
      </c>
      <c r="R6" s="32">
        <f>700/10000</f>
        <v>7.0000000000000007E-2</v>
      </c>
      <c r="S6" s="29">
        <f>Q6*R6</f>
        <v>1400.0000000000002</v>
      </c>
      <c r="T6" s="30">
        <f>+Q6*R6/1.13</f>
        <v>1238.9380530973453</v>
      </c>
      <c r="U6" s="57">
        <f>0.01</f>
        <v>0.01</v>
      </c>
      <c r="V6" s="68">
        <f>U6*Q6</f>
        <v>200</v>
      </c>
      <c r="W6" s="70">
        <v>0.8</v>
      </c>
      <c r="X6" s="60">
        <f>T6*(1-W6)</f>
        <v>247.78761061946901</v>
      </c>
    </row>
    <row r="7" spans="2:25" s="25" customFormat="1" ht="20" customHeight="1" x14ac:dyDescent="0.45">
      <c r="B7" s="81"/>
      <c r="C7" s="27"/>
      <c r="D7" s="27"/>
      <c r="E7" s="27"/>
      <c r="F7" s="33"/>
      <c r="G7" s="29"/>
      <c r="H7" s="27"/>
      <c r="I7" s="31"/>
      <c r="J7" s="54"/>
      <c r="K7" s="70"/>
      <c r="L7" s="60">
        <f>H7*(1-K7)</f>
        <v>0</v>
      </c>
      <c r="N7" s="83"/>
      <c r="O7" s="27" t="s">
        <v>67</v>
      </c>
      <c r="P7" s="27" t="s">
        <v>93</v>
      </c>
      <c r="Q7" s="40"/>
      <c r="R7" s="41"/>
      <c r="S7" s="43">
        <f>T7*1.13</f>
        <v>1355.9999999999998</v>
      </c>
      <c r="T7" s="30">
        <v>1200</v>
      </c>
      <c r="U7" s="31"/>
      <c r="V7" s="69"/>
      <c r="W7" s="70">
        <v>0.4</v>
      </c>
      <c r="X7" s="60">
        <f>T7*(1-W7)</f>
        <v>720</v>
      </c>
    </row>
    <row r="8" spans="2:25" s="25" customFormat="1" ht="20" customHeight="1" thickBot="1" x14ac:dyDescent="0.5">
      <c r="B8" s="82"/>
      <c r="C8" s="34" t="s">
        <v>72</v>
      </c>
      <c r="D8" s="35"/>
      <c r="E8" s="36"/>
      <c r="F8" s="37" t="s">
        <v>73</v>
      </c>
      <c r="G8" s="37">
        <f>SUM(G3:G7)</f>
        <v>1200</v>
      </c>
      <c r="H8" s="37">
        <f>SUM(H3:H7)</f>
        <v>1061.9469026548675</v>
      </c>
      <c r="I8" s="37"/>
      <c r="J8" s="55">
        <f>SUM(J3:J7)</f>
        <v>443.66814159292045</v>
      </c>
      <c r="K8" s="60">
        <f>J8/1.13</f>
        <v>392.62667397603582</v>
      </c>
      <c r="L8" s="60">
        <f>SUM(L3:L7)</f>
        <v>478.31858407079653</v>
      </c>
      <c r="M8" s="59">
        <f>1-L8/H8</f>
        <v>0.54958333333333331</v>
      </c>
      <c r="N8" s="82"/>
      <c r="O8" s="34" t="s">
        <v>72</v>
      </c>
      <c r="P8" s="35"/>
      <c r="Q8" s="36"/>
      <c r="R8" s="37" t="s">
        <v>73</v>
      </c>
      <c r="S8" s="37">
        <f>SUM(S3:S7)</f>
        <v>11356</v>
      </c>
      <c r="T8" s="37">
        <f>SUM(T3:T7)</f>
        <v>10049.557522123894</v>
      </c>
      <c r="U8" s="37"/>
      <c r="V8" s="55">
        <f>SUM(V3:V7)</f>
        <v>2668.1725663716816</v>
      </c>
      <c r="W8" s="60">
        <f>V8/1.13</f>
        <v>2361.2146605059129</v>
      </c>
      <c r="X8" s="60">
        <f>SUM(X3:X7)</f>
        <v>3166.9026548672564</v>
      </c>
      <c r="Y8" s="59">
        <f>1-X8/T8</f>
        <v>0.68487143360338143</v>
      </c>
    </row>
    <row r="9" spans="2:25" s="25" customFormat="1" ht="18.649999999999999" customHeight="1" thickBot="1" x14ac:dyDescent="0.5">
      <c r="B9"/>
      <c r="C9"/>
      <c r="D9"/>
      <c r="E9"/>
      <c r="F9" s="38"/>
      <c r="G9"/>
      <c r="H9"/>
      <c r="I9"/>
      <c r="J9"/>
      <c r="K9" s="26"/>
      <c r="L9" s="26"/>
      <c r="M9" s="26"/>
      <c r="N9" s="26"/>
      <c r="O9" s="26"/>
    </row>
    <row r="10" spans="2:25" s="25" customFormat="1" ht="30" customHeight="1" x14ac:dyDescent="0.45">
      <c r="B10" s="80" t="s">
        <v>74</v>
      </c>
      <c r="C10" s="51" t="s">
        <v>59</v>
      </c>
      <c r="D10" s="51" t="s">
        <v>60</v>
      </c>
      <c r="E10" s="52" t="s">
        <v>61</v>
      </c>
      <c r="F10" s="48" t="s">
        <v>62</v>
      </c>
      <c r="G10" s="49" t="s">
        <v>63</v>
      </c>
      <c r="H10" s="50" t="s">
        <v>64</v>
      </c>
      <c r="I10" s="50" t="s">
        <v>65</v>
      </c>
      <c r="J10" s="53" t="s">
        <v>66</v>
      </c>
      <c r="K10" s="53" t="s">
        <v>91</v>
      </c>
      <c r="M10" s="71" t="s">
        <v>99</v>
      </c>
      <c r="N10" s="80" t="s">
        <v>78</v>
      </c>
      <c r="O10" s="51" t="s">
        <v>59</v>
      </c>
      <c r="P10" s="51" t="s">
        <v>60</v>
      </c>
      <c r="Q10" s="52" t="s">
        <v>61</v>
      </c>
      <c r="R10" s="48" t="s">
        <v>62</v>
      </c>
      <c r="S10" s="49" t="s">
        <v>63</v>
      </c>
      <c r="T10" s="50" t="s">
        <v>64</v>
      </c>
      <c r="U10" s="50" t="s">
        <v>65</v>
      </c>
      <c r="V10" s="53" t="s">
        <v>66</v>
      </c>
      <c r="W10" s="53" t="s">
        <v>91</v>
      </c>
      <c r="Y10" s="71" t="s">
        <v>99</v>
      </c>
    </row>
    <row r="11" spans="2:25" s="25" customFormat="1" ht="18.649999999999999" customHeight="1" x14ac:dyDescent="0.45">
      <c r="B11" s="81"/>
      <c r="C11" s="27" t="s">
        <v>67</v>
      </c>
      <c r="D11" s="27" t="s">
        <v>75</v>
      </c>
      <c r="E11" s="27">
        <v>1500</v>
      </c>
      <c r="F11" s="28">
        <f>500/10000</f>
        <v>0.05</v>
      </c>
      <c r="G11" s="29">
        <f>E11*F11</f>
        <v>75</v>
      </c>
      <c r="H11" s="30">
        <f>+E11*F11/1.13</f>
        <v>66.371681415929203</v>
      </c>
      <c r="I11" s="39">
        <f>0.0065</f>
        <v>6.4999999999999997E-3</v>
      </c>
      <c r="J11" s="56">
        <f>I11*E11</f>
        <v>9.75</v>
      </c>
      <c r="K11" s="70">
        <v>0.25</v>
      </c>
      <c r="L11" s="60">
        <f>H11*(1-K11)</f>
        <v>49.778761061946902</v>
      </c>
      <c r="N11" s="81"/>
      <c r="O11" s="27" t="s">
        <v>67</v>
      </c>
      <c r="P11" s="27" t="s">
        <v>68</v>
      </c>
      <c r="Q11" s="27">
        <v>5000</v>
      </c>
      <c r="R11" s="28">
        <f>500/10000</f>
        <v>0.05</v>
      </c>
      <c r="S11" s="29">
        <f>Q11*R11</f>
        <v>250</v>
      </c>
      <c r="T11" s="30">
        <f>+Q11*R11/1.13</f>
        <v>221.23893805309737</v>
      </c>
      <c r="U11" s="39">
        <f>0.0065</f>
        <v>6.4999999999999997E-3</v>
      </c>
      <c r="V11" s="56">
        <f>U11*Q11</f>
        <v>32.5</v>
      </c>
      <c r="W11" s="70">
        <v>0.65</v>
      </c>
      <c r="X11" s="60">
        <f>T11*(1-W11)</f>
        <v>77.43362831858407</v>
      </c>
    </row>
    <row r="12" spans="2:25" s="25" customFormat="1" ht="18.649999999999999" customHeight="1" x14ac:dyDescent="0.45">
      <c r="B12" s="81"/>
      <c r="C12" s="27" t="s">
        <v>67</v>
      </c>
      <c r="D12" s="27" t="s">
        <v>69</v>
      </c>
      <c r="E12" s="27">
        <v>32000</v>
      </c>
      <c r="F12" s="28">
        <f>350/10000</f>
        <v>3.5000000000000003E-2</v>
      </c>
      <c r="G12" s="29">
        <f>E12*F12</f>
        <v>1120</v>
      </c>
      <c r="H12" s="30">
        <f>+E12*F12/1.13</f>
        <v>991.15044247787625</v>
      </c>
      <c r="I12" s="39">
        <f>0.0175/1.13</f>
        <v>1.5486725663716817E-2</v>
      </c>
      <c r="J12" s="56">
        <f>I12*E12</f>
        <v>495.57522123893818</v>
      </c>
      <c r="K12" s="70">
        <v>0.75</v>
      </c>
      <c r="L12" s="60">
        <f>H12*(1-K12)</f>
        <v>247.78761061946906</v>
      </c>
      <c r="N12" s="81"/>
      <c r="O12" s="27" t="s">
        <v>67</v>
      </c>
      <c r="P12" s="27" t="s">
        <v>69</v>
      </c>
      <c r="Q12" s="27">
        <v>150000</v>
      </c>
      <c r="R12" s="28">
        <f>350/10000</f>
        <v>3.5000000000000003E-2</v>
      </c>
      <c r="S12" s="29">
        <f>Q12*R12</f>
        <v>5250.0000000000009</v>
      </c>
      <c r="T12" s="30">
        <f>+Q12*R12/1.13</f>
        <v>4646.0176991150456</v>
      </c>
      <c r="U12" s="39">
        <f>0.0175/1.13</f>
        <v>1.5486725663716817E-2</v>
      </c>
      <c r="V12" s="56">
        <f>U12*Q12</f>
        <v>2323.0088495575228</v>
      </c>
      <c r="W12" s="70">
        <v>0.8</v>
      </c>
      <c r="X12" s="60">
        <f>T12*(1-W12)</f>
        <v>929.2035398230089</v>
      </c>
    </row>
    <row r="13" spans="2:25" s="25" customFormat="1" ht="18.649999999999999" customHeight="1" x14ac:dyDescent="0.45">
      <c r="B13" s="81"/>
      <c r="C13" s="27" t="s">
        <v>67</v>
      </c>
      <c r="D13" s="27" t="s">
        <v>70</v>
      </c>
      <c r="E13" s="27">
        <v>12000</v>
      </c>
      <c r="F13" s="32">
        <f>550/10000</f>
        <v>5.5E-2</v>
      </c>
      <c r="G13" s="29">
        <f>E13*F13</f>
        <v>660</v>
      </c>
      <c r="H13" s="30">
        <f>+E13*F13/1.13</f>
        <v>584.07079646017701</v>
      </c>
      <c r="I13" s="39">
        <f>0.01</f>
        <v>0.01</v>
      </c>
      <c r="J13" s="56">
        <f>I13*E13</f>
        <v>120</v>
      </c>
      <c r="K13" s="70">
        <v>0.25</v>
      </c>
      <c r="L13" s="60">
        <f>H13*(1-K13)</f>
        <v>438.05309734513276</v>
      </c>
      <c r="N13" s="81"/>
      <c r="O13" s="27" t="s">
        <v>67</v>
      </c>
      <c r="P13" s="27" t="s">
        <v>70</v>
      </c>
      <c r="Q13" s="27">
        <v>150000</v>
      </c>
      <c r="R13" s="32">
        <f>550/10000</f>
        <v>5.5E-2</v>
      </c>
      <c r="S13" s="29">
        <f>Q13*R13</f>
        <v>8250</v>
      </c>
      <c r="T13" s="30">
        <f>+Q13*R13/1.13</f>
        <v>7300.8849557522135</v>
      </c>
      <c r="U13" s="39">
        <f>0.01</f>
        <v>0.01</v>
      </c>
      <c r="V13" s="56">
        <f>U13*Q13</f>
        <v>1500</v>
      </c>
      <c r="W13" s="70">
        <v>0.65</v>
      </c>
      <c r="X13" s="60">
        <f>T13*(1-W13)</f>
        <v>2555.3097345132746</v>
      </c>
    </row>
    <row r="14" spans="2:25" s="25" customFormat="1" ht="18.649999999999999" customHeight="1" x14ac:dyDescent="0.45">
      <c r="B14" s="83"/>
      <c r="C14" s="27" t="s">
        <v>67</v>
      </c>
      <c r="D14" s="27" t="s">
        <v>71</v>
      </c>
      <c r="E14" s="27">
        <v>5000</v>
      </c>
      <c r="F14" s="32">
        <f>700/10000</f>
        <v>7.0000000000000007E-2</v>
      </c>
      <c r="G14" s="29">
        <f>E14*F14</f>
        <v>350.00000000000006</v>
      </c>
      <c r="H14" s="30">
        <f>+E14*F14/1.13</f>
        <v>309.73451327433634</v>
      </c>
      <c r="I14" s="39">
        <f>0.01</f>
        <v>0.01</v>
      </c>
      <c r="J14" s="56">
        <f>I14*E14</f>
        <v>50</v>
      </c>
      <c r="K14" s="70">
        <v>0.4</v>
      </c>
      <c r="L14" s="60">
        <f>H14*(1-K14)</f>
        <v>185.84070796460179</v>
      </c>
      <c r="M14" s="77"/>
      <c r="N14" s="83"/>
      <c r="O14" s="27" t="s">
        <v>67</v>
      </c>
      <c r="P14" s="27" t="s">
        <v>71</v>
      </c>
      <c r="Q14" s="27">
        <f>Q6*2</f>
        <v>40000</v>
      </c>
      <c r="R14" s="32">
        <f>700/10000</f>
        <v>7.0000000000000007E-2</v>
      </c>
      <c r="S14" s="29">
        <f>Q14*R14</f>
        <v>2800.0000000000005</v>
      </c>
      <c r="T14" s="30">
        <f>+Q14*R14/1.13</f>
        <v>2477.8761061946907</v>
      </c>
      <c r="U14" s="57">
        <f>0.01</f>
        <v>0.01</v>
      </c>
      <c r="V14" s="56">
        <f>U14*Q14</f>
        <v>400</v>
      </c>
      <c r="W14" s="70">
        <v>0.8</v>
      </c>
      <c r="X14" s="60">
        <f>T14*(1-W14)</f>
        <v>495.57522123893801</v>
      </c>
    </row>
    <row r="15" spans="2:25" s="25" customFormat="1" ht="18.649999999999999" customHeight="1" x14ac:dyDescent="0.45">
      <c r="B15" s="83"/>
      <c r="C15" s="40"/>
      <c r="D15" s="27"/>
      <c r="E15" s="40"/>
      <c r="F15" s="42"/>
      <c r="G15" s="43"/>
      <c r="H15" s="40"/>
      <c r="I15" s="57"/>
      <c r="J15" s="58"/>
      <c r="K15" s="70"/>
      <c r="L15" s="60">
        <f>H15*(1-K15)</f>
        <v>0</v>
      </c>
      <c r="N15" s="83"/>
      <c r="O15" s="27" t="s">
        <v>67</v>
      </c>
      <c r="P15" s="27" t="s">
        <v>93</v>
      </c>
      <c r="Q15" s="40"/>
      <c r="R15" s="41"/>
      <c r="S15" s="43">
        <f>T15*1.13</f>
        <v>6101.9999999999991</v>
      </c>
      <c r="T15" s="30">
        <v>5400</v>
      </c>
      <c r="U15" s="31"/>
      <c r="V15" s="58"/>
      <c r="W15" s="70">
        <v>0.4</v>
      </c>
      <c r="X15" s="60">
        <f>T15*(1-W15)</f>
        <v>3240</v>
      </c>
    </row>
    <row r="16" spans="2:25" s="25" customFormat="1" ht="18.649999999999999" customHeight="1" thickBot="1" x14ac:dyDescent="0.5">
      <c r="B16" s="82"/>
      <c r="C16" s="44" t="s">
        <v>72</v>
      </c>
      <c r="D16" s="45"/>
      <c r="E16" s="46"/>
      <c r="F16" s="37" t="s">
        <v>73</v>
      </c>
      <c r="G16" s="37">
        <f>SUM(G11:G15)</f>
        <v>2205</v>
      </c>
      <c r="H16" s="37">
        <f>SUM(H11:H15)</f>
        <v>1951.3274336283189</v>
      </c>
      <c r="I16" s="37"/>
      <c r="J16" s="55">
        <f>SUM(J11:J15)</f>
        <v>675.32522123893818</v>
      </c>
      <c r="K16" s="60">
        <f>J16/1.13</f>
        <v>597.63293914950282</v>
      </c>
      <c r="L16" s="60">
        <f>SUM(L11:L15)</f>
        <v>921.46017699115055</v>
      </c>
      <c r="M16" s="59">
        <f>1-L16/H16</f>
        <v>0.52777777777777779</v>
      </c>
      <c r="N16" s="82"/>
      <c r="O16" s="34" t="s">
        <v>72</v>
      </c>
      <c r="P16" s="35"/>
      <c r="Q16" s="36"/>
      <c r="R16" s="37" t="s">
        <v>73</v>
      </c>
      <c r="S16" s="37">
        <f>SUM(S11:S15)</f>
        <v>22652</v>
      </c>
      <c r="T16" s="37">
        <f>SUM(T11:T15)</f>
        <v>20046.017699115047</v>
      </c>
      <c r="U16" s="37"/>
      <c r="V16" s="55">
        <f>SUM(V11:V15)</f>
        <v>4255.5088495575228</v>
      </c>
      <c r="W16" s="60">
        <f>V16/1.13</f>
        <v>3765.9370350066579</v>
      </c>
      <c r="X16" s="60">
        <f>SUM(X11:X15)</f>
        <v>7297.5221238938057</v>
      </c>
      <c r="Y16" s="59">
        <f>1-X16/T16</f>
        <v>0.63596150450291367</v>
      </c>
    </row>
    <row r="17" spans="1:17" s="25" customFormat="1" ht="18.649999999999999" customHeight="1" thickBot="1" x14ac:dyDescent="0.5">
      <c r="B17" s="26"/>
      <c r="C17" s="26"/>
      <c r="D17" s="26"/>
      <c r="F17" s="47"/>
      <c r="K17" s="26"/>
      <c r="L17" s="26"/>
      <c r="M17" s="26"/>
      <c r="N17" s="26"/>
      <c r="O17" s="26"/>
    </row>
    <row r="18" spans="1:17" s="25" customFormat="1" ht="28.5" customHeight="1" x14ac:dyDescent="0.45">
      <c r="B18" s="80" t="s">
        <v>76</v>
      </c>
      <c r="C18" s="51" t="s">
        <v>59</v>
      </c>
      <c r="D18" s="51" t="s">
        <v>60</v>
      </c>
      <c r="E18" s="52" t="s">
        <v>61</v>
      </c>
      <c r="F18" s="48" t="s">
        <v>62</v>
      </c>
      <c r="G18" s="49" t="s">
        <v>63</v>
      </c>
      <c r="H18" s="50" t="s">
        <v>64</v>
      </c>
      <c r="I18" s="50" t="s">
        <v>65</v>
      </c>
      <c r="J18" s="53" t="s">
        <v>66</v>
      </c>
      <c r="K18" s="53" t="s">
        <v>91</v>
      </c>
      <c r="M18" s="71" t="s">
        <v>99</v>
      </c>
    </row>
    <row r="19" spans="1:17" s="25" customFormat="1" ht="18.649999999999999" customHeight="1" x14ac:dyDescent="0.45">
      <c r="B19" s="81"/>
      <c r="C19" s="27" t="s">
        <v>67</v>
      </c>
      <c r="D19" s="27" t="s">
        <v>68</v>
      </c>
      <c r="E19" s="27">
        <v>2000</v>
      </c>
      <c r="F19" s="28">
        <f>500/10000</f>
        <v>0.05</v>
      </c>
      <c r="G19" s="29">
        <f>E19*F19</f>
        <v>100</v>
      </c>
      <c r="H19" s="30">
        <f>+E19*F19/1.13</f>
        <v>88.495575221238951</v>
      </c>
      <c r="I19" s="39">
        <f>0.0065</f>
        <v>6.4999999999999997E-3</v>
      </c>
      <c r="J19" s="56">
        <f>I19*E19</f>
        <v>13</v>
      </c>
      <c r="K19" s="70">
        <v>0.65</v>
      </c>
      <c r="L19" s="60">
        <f>H19*(1-K19)</f>
        <v>30.973451327433629</v>
      </c>
      <c r="O19" s="11"/>
      <c r="P19" s="11"/>
      <c r="Q19" s="11"/>
    </row>
    <row r="20" spans="1:17" s="25" customFormat="1" ht="18.649999999999999" customHeight="1" x14ac:dyDescent="0.45">
      <c r="B20" s="81"/>
      <c r="C20" s="27" t="s">
        <v>67</v>
      </c>
      <c r="D20" s="27" t="s">
        <v>69</v>
      </c>
      <c r="E20" s="27">
        <v>70000</v>
      </c>
      <c r="F20" s="28">
        <f>350/10000</f>
        <v>3.5000000000000003E-2</v>
      </c>
      <c r="G20" s="29">
        <f>E20*F20</f>
        <v>2450.0000000000005</v>
      </c>
      <c r="H20" s="30">
        <f>+E20*F20/1.13</f>
        <v>2168.1415929203545</v>
      </c>
      <c r="I20" s="39">
        <f>0.0175/1.13</f>
        <v>1.5486725663716817E-2</v>
      </c>
      <c r="J20" s="56">
        <f>I20*E20</f>
        <v>1084.0707964601772</v>
      </c>
      <c r="K20" s="70">
        <v>0.75</v>
      </c>
      <c r="L20" s="60">
        <f>H20*(1-K20)</f>
        <v>542.03539823008862</v>
      </c>
    </row>
    <row r="21" spans="1:17" s="25" customFormat="1" ht="18.649999999999999" customHeight="1" x14ac:dyDescent="0.45">
      <c r="B21" s="81"/>
      <c r="C21" s="27" t="s">
        <v>67</v>
      </c>
      <c r="D21" s="27" t="s">
        <v>70</v>
      </c>
      <c r="E21" s="27">
        <v>45000</v>
      </c>
      <c r="F21" s="32">
        <f>550/10000</f>
        <v>5.5E-2</v>
      </c>
      <c r="G21" s="29">
        <f>E21*F21</f>
        <v>2475</v>
      </c>
      <c r="H21" s="30">
        <f>+E21*F21/1.13</f>
        <v>2190.2654867256638</v>
      </c>
      <c r="I21" s="39">
        <f>0.01</f>
        <v>0.01</v>
      </c>
      <c r="J21" s="56">
        <f>I21*E21</f>
        <v>450</v>
      </c>
      <c r="K21" s="70">
        <v>0.5</v>
      </c>
      <c r="L21" s="60">
        <f>H21*(1-K21)</f>
        <v>1095.1327433628319</v>
      </c>
    </row>
    <row r="22" spans="1:17" s="25" customFormat="1" ht="18.649999999999999" customHeight="1" x14ac:dyDescent="0.45">
      <c r="B22" s="83"/>
      <c r="C22" s="27" t="s">
        <v>67</v>
      </c>
      <c r="D22" s="27" t="s">
        <v>71</v>
      </c>
      <c r="E22" s="40">
        <v>10000</v>
      </c>
      <c r="F22" s="32">
        <f>700/10000</f>
        <v>7.0000000000000007E-2</v>
      </c>
      <c r="G22" s="29">
        <f>E22*F22</f>
        <v>700.00000000000011</v>
      </c>
      <c r="H22" s="30">
        <f>+E22*F22/1.13</f>
        <v>619.46902654867267</v>
      </c>
      <c r="I22" s="57">
        <f>0.01</f>
        <v>0.01</v>
      </c>
      <c r="J22" s="56">
        <f>I22*E22</f>
        <v>100</v>
      </c>
      <c r="K22" s="70">
        <v>0.7</v>
      </c>
      <c r="L22" s="60">
        <f>H22*(1-K22)</f>
        <v>185.84070796460182</v>
      </c>
    </row>
    <row r="23" spans="1:17" s="25" customFormat="1" ht="18.649999999999999" customHeight="1" x14ac:dyDescent="0.45">
      <c r="B23" s="83"/>
      <c r="C23" s="27"/>
      <c r="D23" s="27"/>
      <c r="E23" s="40"/>
      <c r="F23" s="41"/>
      <c r="G23" s="43"/>
      <c r="H23" s="30"/>
      <c r="I23" s="31"/>
      <c r="J23" s="58"/>
      <c r="K23" s="70"/>
      <c r="L23" s="60">
        <f>H23*(1-K23)</f>
        <v>0</v>
      </c>
    </row>
    <row r="24" spans="1:17" s="25" customFormat="1" ht="18.649999999999999" customHeight="1" thickBot="1" x14ac:dyDescent="0.5">
      <c r="B24" s="82"/>
      <c r="C24" s="34" t="s">
        <v>72</v>
      </c>
      <c r="D24" s="35"/>
      <c r="E24" s="36"/>
      <c r="F24" s="37" t="s">
        <v>73</v>
      </c>
      <c r="G24" s="37">
        <f>SUM(G19:G23)</f>
        <v>5725</v>
      </c>
      <c r="H24" s="37">
        <f>SUM(H19:H23)</f>
        <v>5066.3716814159297</v>
      </c>
      <c r="I24" s="37"/>
      <c r="J24" s="55">
        <f>SUM(J19:J23)</f>
        <v>1647.0707964601772</v>
      </c>
      <c r="K24" s="60">
        <f>J24/1.13</f>
        <v>1457.5847756284757</v>
      </c>
      <c r="L24" s="60">
        <f>SUM(L19:L23)</f>
        <v>1853.9823008849557</v>
      </c>
      <c r="M24" s="59">
        <f>1-L24/H24</f>
        <v>0.63406113537117914</v>
      </c>
    </row>
    <row r="27" spans="1:17" ht="14.5" x14ac:dyDescent="0.35">
      <c r="C27" s="61"/>
      <c r="D27" s="64" t="s">
        <v>85</v>
      </c>
      <c r="E27" s="64" t="s">
        <v>86</v>
      </c>
      <c r="F27" s="72" t="s">
        <v>79</v>
      </c>
    </row>
    <row r="28" spans="1:17" ht="14.5" x14ac:dyDescent="0.35">
      <c r="C28" s="63" t="s">
        <v>83</v>
      </c>
      <c r="D28" s="62">
        <v>13000000</v>
      </c>
      <c r="E28" s="62">
        <f>D28/10</f>
        <v>1300000</v>
      </c>
      <c r="F28" s="72" t="s">
        <v>100</v>
      </c>
    </row>
    <row r="29" spans="1:17" ht="14.5" x14ac:dyDescent="0.35">
      <c r="C29" s="63" t="s">
        <v>94</v>
      </c>
      <c r="D29" s="64" t="s">
        <v>95</v>
      </c>
    </row>
    <row r="30" spans="1:17" ht="14.5" x14ac:dyDescent="0.35">
      <c r="C30" s="72"/>
      <c r="D30" s="73"/>
    </row>
    <row r="31" spans="1:17" ht="15" x14ac:dyDescent="0.4">
      <c r="A31" s="67" t="s">
        <v>96</v>
      </c>
      <c r="E31" s="67" t="s">
        <v>98</v>
      </c>
      <c r="I31" s="67" t="s">
        <v>103</v>
      </c>
      <c r="K31" s="79" t="s">
        <v>84</v>
      </c>
    </row>
    <row r="32" spans="1:17" ht="15" x14ac:dyDescent="0.4">
      <c r="A32" s="11" t="s">
        <v>90</v>
      </c>
      <c r="B32" s="60">
        <f>B40</f>
        <v>666247</v>
      </c>
      <c r="E32" s="11" t="s">
        <v>90</v>
      </c>
      <c r="F32" s="60">
        <v>402854</v>
      </c>
      <c r="I32" s="67" t="s">
        <v>104</v>
      </c>
      <c r="J32" s="60">
        <v>2196900</v>
      </c>
      <c r="K32" s="78"/>
    </row>
    <row r="33" spans="1:12" ht="15" x14ac:dyDescent="0.4">
      <c r="A33" s="11" t="s">
        <v>80</v>
      </c>
      <c r="B33" s="60">
        <f>51924350.83+8623021.41</f>
        <v>60547372.239999995</v>
      </c>
      <c r="C33" s="60">
        <f>B33/B32</f>
        <v>90.878266228590888</v>
      </c>
      <c r="E33" s="11" t="s">
        <v>80</v>
      </c>
      <c r="F33" s="60">
        <v>8232991.1200000001</v>
      </c>
      <c r="G33" s="60">
        <f>F33/F32</f>
        <v>20.436662215095296</v>
      </c>
      <c r="I33" s="11" t="s">
        <v>90</v>
      </c>
      <c r="J33" s="60">
        <v>1738454</v>
      </c>
      <c r="L33" s="60"/>
    </row>
    <row r="34" spans="1:12" ht="15" x14ac:dyDescent="0.4">
      <c r="A34" s="11" t="s">
        <v>81</v>
      </c>
      <c r="B34" s="60">
        <v>17715830.34</v>
      </c>
      <c r="C34" s="60">
        <f>B34/B32</f>
        <v>26.590484219816375</v>
      </c>
      <c r="E34" s="11" t="s">
        <v>81</v>
      </c>
      <c r="F34" s="60">
        <v>10687785.75</v>
      </c>
      <c r="G34" s="60">
        <f>F34/F32</f>
        <v>26.530171600629508</v>
      </c>
      <c r="I34" s="11" t="s">
        <v>80</v>
      </c>
      <c r="J34" s="60">
        <v>12649664.42</v>
      </c>
      <c r="K34" s="60">
        <f>J34/J33</f>
        <v>7.2763871922984444</v>
      </c>
      <c r="L34" s="60"/>
    </row>
    <row r="35" spans="1:12" ht="15" x14ac:dyDescent="0.4">
      <c r="A35" s="11" t="s">
        <v>82</v>
      </c>
      <c r="B35" s="60">
        <v>9687902.5899999999</v>
      </c>
      <c r="C35" s="60">
        <f>B35/B32</f>
        <v>14.541007449189264</v>
      </c>
      <c r="E35" s="11" t="s">
        <v>82</v>
      </c>
      <c r="F35" s="60">
        <v>14925787.23</v>
      </c>
      <c r="G35" s="60">
        <f>F35/F32</f>
        <v>37.050115500901072</v>
      </c>
      <c r="I35" s="11" t="s">
        <v>81</v>
      </c>
      <c r="J35" s="60">
        <v>18227673.57</v>
      </c>
      <c r="K35" s="60">
        <f>J35/J33</f>
        <v>10.484990439781553</v>
      </c>
      <c r="L35" s="60"/>
    </row>
    <row r="36" spans="1:12" ht="15" x14ac:dyDescent="0.4">
      <c r="A36" s="11" t="s">
        <v>97</v>
      </c>
      <c r="B36" s="60">
        <v>1156975.76</v>
      </c>
      <c r="C36" s="60">
        <f>B36/B32</f>
        <v>1.7365568025071783</v>
      </c>
      <c r="E36" s="11" t="s">
        <v>87</v>
      </c>
      <c r="F36" s="60">
        <f>SUM(F33:F35)</f>
        <v>33846564.100000001</v>
      </c>
      <c r="G36" s="66">
        <f>SUM(G33:G35)</f>
        <v>84.016949316625869</v>
      </c>
      <c r="I36" s="11" t="s">
        <v>82</v>
      </c>
      <c r="J36" s="60">
        <v>32832420.449999999</v>
      </c>
      <c r="K36" s="60">
        <f>J36/J33</f>
        <v>18.885987463573958</v>
      </c>
      <c r="L36" s="60"/>
    </row>
    <row r="37" spans="1:12" ht="15" x14ac:dyDescent="0.4">
      <c r="A37" s="11" t="s">
        <v>87</v>
      </c>
      <c r="B37" s="60">
        <f>SUM(B33:B36)</f>
        <v>89108080.930000007</v>
      </c>
      <c r="C37" s="66">
        <f>SUM(C33:C36)</f>
        <v>133.74631470010371</v>
      </c>
      <c r="E37" s="11"/>
      <c r="F37" s="11"/>
      <c r="G37" s="11"/>
      <c r="I37" s="11" t="s">
        <v>87</v>
      </c>
      <c r="J37" s="60">
        <f>SUM(J34:J36)</f>
        <v>63709758.439999998</v>
      </c>
      <c r="K37" s="60">
        <f>SUM(K34:K36)</f>
        <v>36.647365095653953</v>
      </c>
      <c r="L37" s="60"/>
    </row>
    <row r="38" spans="1:12" ht="15" x14ac:dyDescent="0.4">
      <c r="A38" s="11"/>
      <c r="B38" s="11"/>
      <c r="C38" s="11"/>
      <c r="E38" s="11"/>
      <c r="F38" s="11"/>
      <c r="G38" s="11"/>
      <c r="I38" s="11"/>
      <c r="K38" s="60"/>
      <c r="L38" s="60"/>
    </row>
    <row r="39" spans="1:12" ht="15" x14ac:dyDescent="0.4">
      <c r="A39" s="11" t="s">
        <v>16</v>
      </c>
      <c r="B39" s="60">
        <v>89108080.930000007</v>
      </c>
      <c r="E39" s="11" t="s">
        <v>16</v>
      </c>
      <c r="F39" s="60">
        <v>33846564.100000001</v>
      </c>
      <c r="I39" s="11"/>
      <c r="K39" s="60"/>
    </row>
    <row r="40" spans="1:12" ht="15" x14ac:dyDescent="0.4">
      <c r="A40" s="11" t="s">
        <v>89</v>
      </c>
      <c r="B40" s="60">
        <v>666247</v>
      </c>
      <c r="C40" s="60"/>
      <c r="E40" s="11" t="s">
        <v>89</v>
      </c>
      <c r="F40" s="60">
        <v>402854</v>
      </c>
      <c r="G40" s="60"/>
      <c r="I40" s="11" t="s">
        <v>16</v>
      </c>
      <c r="J40" s="60">
        <v>63709758.439999998</v>
      </c>
      <c r="K40" s="60">
        <f>J40/(1-J43)</f>
        <v>587728398.89298868</v>
      </c>
      <c r="L40" s="60"/>
    </row>
    <row r="41" spans="1:12" ht="15" x14ac:dyDescent="0.4">
      <c r="A41" s="11" t="s">
        <v>84</v>
      </c>
      <c r="B41" s="60">
        <f>B39/B40</f>
        <v>133.74631470010374</v>
      </c>
      <c r="E41" s="11" t="s">
        <v>84</v>
      </c>
      <c r="F41" s="60">
        <f>F39/F40</f>
        <v>84.016949316625883</v>
      </c>
      <c r="I41" s="11" t="s">
        <v>89</v>
      </c>
      <c r="J41" s="60">
        <v>1738454</v>
      </c>
      <c r="K41" s="60"/>
    </row>
    <row r="42" spans="1:12" ht="15" x14ac:dyDescent="0.4">
      <c r="A42" s="11" t="s">
        <v>91</v>
      </c>
      <c r="B42" s="65">
        <v>0.8831</v>
      </c>
      <c r="E42" s="11" t="s">
        <v>91</v>
      </c>
      <c r="F42" s="65">
        <v>0.85680000000000001</v>
      </c>
      <c r="I42" s="11" t="s">
        <v>84</v>
      </c>
      <c r="J42" s="60">
        <f>J40/J41</f>
        <v>36.647365095653953</v>
      </c>
    </row>
    <row r="43" spans="1:12" ht="15" x14ac:dyDescent="0.4">
      <c r="A43" s="11" t="s">
        <v>88</v>
      </c>
      <c r="B43" s="60">
        <f>B41/(1-B42)</f>
        <v>1144.1087656125212</v>
      </c>
      <c r="E43" s="11" t="s">
        <v>88</v>
      </c>
      <c r="F43" s="60">
        <f>F41/(1-F42)</f>
        <v>586.71053992057182</v>
      </c>
      <c r="I43" s="11" t="s">
        <v>91</v>
      </c>
      <c r="J43" s="65">
        <v>0.89159999999999995</v>
      </c>
    </row>
    <row r="44" spans="1:12" ht="15" x14ac:dyDescent="0.4">
      <c r="A44" s="11"/>
      <c r="B44" s="60"/>
      <c r="I44" s="11" t="s">
        <v>105</v>
      </c>
      <c r="J44" s="60">
        <f>J42/(1-J43)</f>
        <v>338.07532376064518</v>
      </c>
    </row>
    <row r="46" spans="1:12" ht="15" x14ac:dyDescent="0.4">
      <c r="E46" s="67" t="s">
        <v>93</v>
      </c>
    </row>
    <row r="47" spans="1:12" ht="15" x14ac:dyDescent="0.4">
      <c r="E47" s="11" t="s">
        <v>90</v>
      </c>
      <c r="F47" s="60">
        <v>214121431</v>
      </c>
      <c r="I47" s="67" t="s">
        <v>92</v>
      </c>
    </row>
    <row r="48" spans="1:12" ht="15" x14ac:dyDescent="0.4">
      <c r="E48" s="11" t="s">
        <v>80</v>
      </c>
      <c r="F48" s="60">
        <v>174969861.97999999</v>
      </c>
      <c r="G48" s="60">
        <f>F48/F47</f>
        <v>0.81715249689322311</v>
      </c>
      <c r="I48" s="11" t="s">
        <v>90</v>
      </c>
      <c r="J48" s="60"/>
    </row>
    <row r="49" spans="5:10" ht="15" x14ac:dyDescent="0.4">
      <c r="E49" s="11" t="s">
        <v>81</v>
      </c>
      <c r="F49" s="60">
        <v>52037829.210000001</v>
      </c>
      <c r="G49" s="60">
        <f>F49/F47</f>
        <v>0.24302952285985796</v>
      </c>
      <c r="I49" s="11" t="s">
        <v>80</v>
      </c>
      <c r="J49" s="60">
        <v>11470484.699999999</v>
      </c>
    </row>
    <row r="50" spans="5:10" ht="15" x14ac:dyDescent="0.4">
      <c r="E50" s="11" t="s">
        <v>82</v>
      </c>
      <c r="F50" s="60">
        <v>87402543.239999995</v>
      </c>
      <c r="G50" s="60">
        <f>F50/F47</f>
        <v>0.40819147729308791</v>
      </c>
      <c r="I50" s="11" t="s">
        <v>81</v>
      </c>
      <c r="J50" s="60">
        <v>3363536.04</v>
      </c>
    </row>
    <row r="51" spans="5:10" ht="15" x14ac:dyDescent="0.4">
      <c r="E51" s="11" t="s">
        <v>87</v>
      </c>
      <c r="F51" s="60">
        <f>SUM(F48:F50)</f>
        <v>314410234.43000001</v>
      </c>
      <c r="G51" s="60">
        <f>SUM(G48:G50)</f>
        <v>1.468373497046169</v>
      </c>
      <c r="I51" s="11" t="s">
        <v>82</v>
      </c>
      <c r="J51" s="60">
        <v>2073227.76</v>
      </c>
    </row>
    <row r="52" spans="5:10" ht="15" x14ac:dyDescent="0.4">
      <c r="I52" s="11" t="s">
        <v>87</v>
      </c>
      <c r="J52" s="60">
        <f>SUM(J49:J51)</f>
        <v>16907248.5</v>
      </c>
    </row>
    <row r="53" spans="5:10" ht="15" x14ac:dyDescent="0.4">
      <c r="E53" s="11" t="s">
        <v>16</v>
      </c>
      <c r="F53" s="60">
        <v>314410234.43000001</v>
      </c>
    </row>
    <row r="54" spans="5:10" ht="15" x14ac:dyDescent="0.4">
      <c r="E54" s="11" t="s">
        <v>89</v>
      </c>
      <c r="F54" s="60">
        <f>F47</f>
        <v>214121431</v>
      </c>
    </row>
    <row r="55" spans="5:10" ht="15" x14ac:dyDescent="0.4">
      <c r="E55" s="11" t="s">
        <v>84</v>
      </c>
      <c r="F55" s="60">
        <f>F53/F54</f>
        <v>1.468373497046169</v>
      </c>
      <c r="I55" s="11" t="s">
        <v>16</v>
      </c>
      <c r="J55" s="60">
        <v>16907248.5</v>
      </c>
    </row>
    <row r="56" spans="5:10" ht="15" x14ac:dyDescent="0.4">
      <c r="E56" s="11" t="s">
        <v>91</v>
      </c>
      <c r="F56" s="65">
        <v>0.26179999999999998</v>
      </c>
      <c r="I56" s="11" t="s">
        <v>89</v>
      </c>
      <c r="J56" s="60"/>
    </row>
    <row r="57" spans="5:10" ht="15" x14ac:dyDescent="0.4">
      <c r="E57" s="11" t="s">
        <v>88</v>
      </c>
      <c r="F57" s="60">
        <f>F55/(1-F56)</f>
        <v>1.9891269263697766</v>
      </c>
      <c r="I57" s="11" t="s">
        <v>84</v>
      </c>
      <c r="J57" s="60" t="e">
        <f>J55/J56</f>
        <v>#DIV/0!</v>
      </c>
    </row>
    <row r="58" spans="5:10" ht="15" x14ac:dyDescent="0.4">
      <c r="I58" s="11" t="s">
        <v>91</v>
      </c>
      <c r="J58" s="65">
        <v>0.3967</v>
      </c>
    </row>
    <row r="59" spans="5:10" ht="15" x14ac:dyDescent="0.4">
      <c r="I59" s="11" t="s">
        <v>88</v>
      </c>
      <c r="J59" s="60" t="e">
        <f>J57/(1-J58)</f>
        <v>#DIV/0!</v>
      </c>
    </row>
  </sheetData>
  <mergeCells count="5">
    <mergeCell ref="B2:B8"/>
    <mergeCell ref="B10:B16"/>
    <mergeCell ref="B18:B24"/>
    <mergeCell ref="N2:N8"/>
    <mergeCell ref="N10:N16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经营预测</vt:lpstr>
      <vt:lpstr>收入预测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张海霞</dc:creator>
  <cp:lastModifiedBy>张 海霞</cp:lastModifiedBy>
  <dcterms:created xsi:type="dcterms:W3CDTF">2015-06-05T18:19:34Z</dcterms:created>
  <dcterms:modified xsi:type="dcterms:W3CDTF">2026-02-02T07:33:01Z</dcterms:modified>
</cp:coreProperties>
</file>