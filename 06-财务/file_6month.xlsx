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60" windowHeight="16160" activeTab="1"/>
  </bookViews>
  <sheets>
    <sheet name="基线" sheetId="1" r:id="rId1"/>
    <sheet name="六个月复查 " sheetId="2" r:id="rId2"/>
  </sheets>
  <externalReferences>
    <externalReference r:id="rId3"/>
  </externalReferences>
  <definedNames>
    <definedName name="_xlnm._FilterDatabase" localSheetId="0" hidden="1">基线!$A$1:$AH$418</definedName>
    <definedName name="_xlnm._FilterDatabase" localSheetId="1" hidden="1">'六个月复查 '!$A$1:$AC$326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<sst xmlns="http://schemas.openxmlformats.org/spreadsheetml/2006/main" count="3280" uniqueCount="480">
  <si>
    <t>视力眼压</t>
  </si>
  <si>
    <t>散瞳验光</t>
  </si>
  <si>
    <t>对比敏感度</t>
  </si>
  <si>
    <t>id</t>
  </si>
  <si>
    <t>到诊时间</t>
  </si>
  <si>
    <t>就诊门店</t>
  </si>
  <si>
    <t>姓名</t>
  </si>
  <si>
    <t>性别</t>
  </si>
  <si>
    <t>出生日期</t>
  </si>
  <si>
    <t>患者编号</t>
  </si>
  <si>
    <t>组别</t>
  </si>
  <si>
    <t>标签</t>
  </si>
  <si>
    <t>眼别</t>
  </si>
  <si>
    <t>裸眼远视力</t>
  </si>
  <si>
    <t>戴镜远视力</t>
  </si>
  <si>
    <t>裸眼近视力</t>
  </si>
  <si>
    <t>散瞳验光球镜</t>
  </si>
  <si>
    <t>散瞳验光柱镜</t>
  </si>
  <si>
    <t>散瞳验光轴位</t>
  </si>
  <si>
    <t>散瞳验光等效球镜</t>
  </si>
  <si>
    <t>主视眼</t>
  </si>
  <si>
    <t>基线眼轴</t>
  </si>
  <si>
    <t>A-3CPD</t>
  </si>
  <si>
    <t>B-6CPD</t>
  </si>
  <si>
    <t>C-12CPD</t>
  </si>
  <si>
    <t>D-18CPD</t>
  </si>
  <si>
    <t>ba483a9b-49d1-4937-abe3-c769465e9da1</t>
  </si>
  <si>
    <t>石家庄人民眼科</t>
  </si>
  <si>
    <t>张茗尘</t>
  </si>
  <si>
    <t>女</t>
  </si>
  <si>
    <t>SJZ-GS-001</t>
  </si>
  <si>
    <t>B</t>
  </si>
  <si>
    <t>取镜</t>
  </si>
  <si>
    <t>右眼</t>
  </si>
  <si>
    <t>左眼</t>
  </si>
  <si>
    <t>f80c3992-759e-4c62-a732-cfb7922ce1e1</t>
  </si>
  <si>
    <t>康安迪</t>
  </si>
  <si>
    <t>男</t>
  </si>
  <si>
    <t>SJZ-GS-002</t>
  </si>
  <si>
    <t>D</t>
  </si>
  <si>
    <t>6348836d-229d-45ab-a04a-396b558f46f0</t>
  </si>
  <si>
    <t>李参炜</t>
  </si>
  <si>
    <t>SJZ-GS-003</t>
  </si>
  <si>
    <t>王锦天</t>
  </si>
  <si>
    <t>SJZ-GS-004</t>
  </si>
  <si>
    <t>A</t>
  </si>
  <si>
    <t>徐乐心</t>
  </si>
  <si>
    <t>SJZ-GS-005</t>
  </si>
  <si>
    <t>C</t>
  </si>
  <si>
    <t>徐乐成</t>
  </si>
  <si>
    <t>SJZ-GS-006</t>
  </si>
  <si>
    <t>张楚尧</t>
  </si>
  <si>
    <t>SJZ-GS-007</t>
  </si>
  <si>
    <t>张海冰</t>
  </si>
  <si>
    <t>SJZ-GS-008</t>
  </si>
  <si>
    <t>李文晴</t>
  </si>
  <si>
    <t>SJZ-GS-009</t>
  </si>
  <si>
    <t>王可妍</t>
  </si>
  <si>
    <t>SJZ-GS-010</t>
  </si>
  <si>
    <t>檀沐析</t>
  </si>
  <si>
    <t>SJZ-GS-011</t>
  </si>
  <si>
    <t>李昭旭</t>
  </si>
  <si>
    <t>SJZ-GS-012</t>
  </si>
  <si>
    <t>温心语</t>
  </si>
  <si>
    <t>SJZ-GS-013</t>
  </si>
  <si>
    <t>刘梓萌</t>
  </si>
  <si>
    <t>SJZ-GS-014</t>
  </si>
  <si>
    <t>秦丞远</t>
  </si>
  <si>
    <t>SJZ-GS-015</t>
  </si>
  <si>
    <t>李诗涵</t>
  </si>
  <si>
    <t>SJZ-GS-016</t>
  </si>
  <si>
    <t>崔赵兮</t>
  </si>
  <si>
    <t>SJZ-GS-017</t>
  </si>
  <si>
    <t>刘镐泽</t>
  </si>
  <si>
    <t>SJZ-GS-018</t>
  </si>
  <si>
    <t>何昊轩</t>
  </si>
  <si>
    <t>SJZ-GS-019</t>
  </si>
  <si>
    <t>张逸晨</t>
  </si>
  <si>
    <t>SJZ-GS-020</t>
  </si>
  <si>
    <t>底毅博</t>
  </si>
  <si>
    <t>SJZ-GS-021</t>
  </si>
  <si>
    <t>师藤语</t>
  </si>
  <si>
    <t>SJZ-GS-022</t>
  </si>
  <si>
    <t>李安雅</t>
  </si>
  <si>
    <t>SJZ-GS-023</t>
  </si>
  <si>
    <t>刘星宇</t>
  </si>
  <si>
    <t>SJZ-GS-024</t>
  </si>
  <si>
    <t>赵子烨</t>
  </si>
  <si>
    <t>SJZ-GS-025</t>
  </si>
  <si>
    <t>李屹加</t>
  </si>
  <si>
    <t>SJZ-GS-026</t>
  </si>
  <si>
    <t>侯轶婷</t>
  </si>
  <si>
    <t>SJZ-GS-027</t>
  </si>
  <si>
    <t>右眼41.2241.22</t>
  </si>
  <si>
    <t>牛建岳</t>
  </si>
  <si>
    <t>SJZ-GS-028</t>
  </si>
  <si>
    <t>秘少泽</t>
  </si>
  <si>
    <t>SJZ-GS-029</t>
  </si>
  <si>
    <t>张舒淼</t>
  </si>
  <si>
    <t>SJZ-GS-030</t>
  </si>
  <si>
    <t>殷润楚</t>
  </si>
  <si>
    <t>SJZ-GS-032</t>
  </si>
  <si>
    <t>高玮杰</t>
  </si>
  <si>
    <t>SJZ-GS-033</t>
  </si>
  <si>
    <t>庞凯文</t>
  </si>
  <si>
    <t>SJZ-GS-034</t>
  </si>
  <si>
    <t>梁颢严</t>
  </si>
  <si>
    <t>SJZ-GS-035</t>
  </si>
  <si>
    <t>王梓乐</t>
  </si>
  <si>
    <t>SJZ-GS-036</t>
  </si>
  <si>
    <t>赵芊羽</t>
  </si>
  <si>
    <t>SJZ-GS-037</t>
  </si>
  <si>
    <t>郝海霞</t>
  </si>
  <si>
    <t>SJZ-GS-038</t>
  </si>
  <si>
    <t>单彬哲</t>
  </si>
  <si>
    <t>2019.1.20</t>
  </si>
  <si>
    <t>SJZ-GS-039</t>
  </si>
  <si>
    <t>全桓欣</t>
  </si>
  <si>
    <t>SJZ-GS-040</t>
  </si>
  <si>
    <t>宋佳乐</t>
  </si>
  <si>
    <t>SJZ-GS-041</t>
  </si>
  <si>
    <t>王清悦</t>
  </si>
  <si>
    <t>SJZ-GS-042</t>
  </si>
  <si>
    <t>胡仕龙</t>
  </si>
  <si>
    <t>SJZ-GS-043</t>
  </si>
  <si>
    <t>刘嘉恩</t>
  </si>
  <si>
    <t>SJZ-GS-044</t>
  </si>
  <si>
    <t>陈思丞</t>
  </si>
  <si>
    <t>SJZ-GS-045</t>
  </si>
  <si>
    <t>任腾悦</t>
  </si>
  <si>
    <t>SJZ-GS-046</t>
  </si>
  <si>
    <t>喻子昂</t>
  </si>
  <si>
    <t>SJZ-GS-048</t>
  </si>
  <si>
    <t>王佳琦</t>
  </si>
  <si>
    <t>SJZ-GS-049</t>
  </si>
  <si>
    <t>苏策勋</t>
  </si>
  <si>
    <t>SJZ-GS-050</t>
  </si>
  <si>
    <t>刘李慕</t>
  </si>
  <si>
    <t>SJZ-GS-051</t>
  </si>
  <si>
    <t>北京</t>
  </si>
  <si>
    <t>马艺潇</t>
  </si>
  <si>
    <t>BJ-GS-052</t>
  </si>
  <si>
    <t>杨思霖</t>
  </si>
  <si>
    <t>SJZ-GS-053</t>
  </si>
  <si>
    <t>韩欣怡</t>
  </si>
  <si>
    <t>SJZ-GS-054</t>
  </si>
  <si>
    <t>张延赫</t>
  </si>
  <si>
    <t>SJZ-GS-055</t>
  </si>
  <si>
    <t>李润昊</t>
  </si>
  <si>
    <t>SJZ-GS-056</t>
  </si>
  <si>
    <t>李墨涵</t>
  </si>
  <si>
    <t>SJZ-GS-057</t>
  </si>
  <si>
    <t>曹浩然</t>
  </si>
  <si>
    <t>SJZ-GS-058</t>
  </si>
  <si>
    <t>刘峻泽</t>
  </si>
  <si>
    <t>SJZ-GS-059</t>
  </si>
  <si>
    <t>王浩宇</t>
  </si>
  <si>
    <t>BJ-GS-060</t>
  </si>
  <si>
    <t>2025.3.30</t>
  </si>
  <si>
    <t>刘思齐</t>
  </si>
  <si>
    <t>SJZ-GS-061</t>
  </si>
  <si>
    <t>2025.5.10</t>
  </si>
  <si>
    <t>韩佩轩</t>
  </si>
  <si>
    <t>SJZ-GS-062</t>
  </si>
  <si>
    <t>2025.3.29</t>
  </si>
  <si>
    <t>赵浩博</t>
  </si>
  <si>
    <t>SJZ-GS-063</t>
  </si>
  <si>
    <t>赵诗梦</t>
  </si>
  <si>
    <t>SJZ-GS-064</t>
  </si>
  <si>
    <t>李承诺</t>
  </si>
  <si>
    <t>SJZ-GS-065</t>
  </si>
  <si>
    <t>2025.3.21</t>
  </si>
  <si>
    <t>安毅欣</t>
  </si>
  <si>
    <t>BJ-GS-066</t>
  </si>
  <si>
    <t>2025.4.13</t>
  </si>
  <si>
    <t>武嘉希</t>
  </si>
  <si>
    <t>SJZ-GS-067</t>
  </si>
  <si>
    <t>罗晨菲</t>
  </si>
  <si>
    <t>SJZ-GS-068</t>
  </si>
  <si>
    <t>2025.5.11</t>
  </si>
  <si>
    <t>朱般诺</t>
  </si>
  <si>
    <t>SJZ-GS-069</t>
  </si>
  <si>
    <t>2025.4.24</t>
  </si>
  <si>
    <t>杨谨溪</t>
  </si>
  <si>
    <t>SJZ-GS-070</t>
  </si>
  <si>
    <t>朱恬熠</t>
  </si>
  <si>
    <t>SJZ-GS-071</t>
  </si>
  <si>
    <t>2025.4.22</t>
  </si>
  <si>
    <t>赵奕成</t>
  </si>
  <si>
    <t>SJZ-GS-072</t>
  </si>
  <si>
    <t>卢筱桐</t>
  </si>
  <si>
    <t>SJZ-GS-073</t>
  </si>
  <si>
    <t>2025.5.3</t>
  </si>
  <si>
    <t>张艺然</t>
  </si>
  <si>
    <t>SJZ-GS-074</t>
  </si>
  <si>
    <t>白岩泽</t>
  </si>
  <si>
    <t>SJZ-GS-075</t>
  </si>
  <si>
    <t>右 眼</t>
  </si>
  <si>
    <t>2025.5.8</t>
  </si>
  <si>
    <t>宁芸晞</t>
  </si>
  <si>
    <t>SJZ-GS-076</t>
  </si>
  <si>
    <t>李陶然</t>
  </si>
  <si>
    <t>BJ-GS-077</t>
  </si>
  <si>
    <t>孟垂昕</t>
  </si>
  <si>
    <t>SJZ-GS-078</t>
  </si>
  <si>
    <t>任梓奕</t>
  </si>
  <si>
    <t>SJZ-GS-079</t>
  </si>
  <si>
    <t>赵百合</t>
  </si>
  <si>
    <t>SJZ-GS-080</t>
  </si>
  <si>
    <t>马浩然</t>
  </si>
  <si>
    <t>SJZ-GS-081</t>
  </si>
  <si>
    <t>尉晴希</t>
  </si>
  <si>
    <t>SJZ-GS-082</t>
  </si>
  <si>
    <t>靳佩洁</t>
  </si>
  <si>
    <t>SJZ-GS-083</t>
  </si>
  <si>
    <t>王麒硕</t>
  </si>
  <si>
    <t>SJZ-GS-084</t>
  </si>
  <si>
    <t>李恒宇</t>
  </si>
  <si>
    <t>SJZ-GS-085</t>
  </si>
  <si>
    <t>右</t>
  </si>
  <si>
    <t>桑欣雨</t>
  </si>
  <si>
    <t>SJZ-GS-086</t>
  </si>
  <si>
    <t>左</t>
  </si>
  <si>
    <t>周语晗</t>
  </si>
  <si>
    <t>SJZ-GS-087</t>
  </si>
  <si>
    <t>朱谷雨</t>
  </si>
  <si>
    <t>SJZ-GS-088</t>
  </si>
  <si>
    <t>齐天培</t>
  </si>
  <si>
    <t>SJG-GS-089</t>
  </si>
  <si>
    <t>张懿童</t>
  </si>
  <si>
    <t>SJZ-GS-090</t>
  </si>
  <si>
    <t>刘宸睿</t>
  </si>
  <si>
    <t>SJZ-GS-091</t>
  </si>
  <si>
    <t>刘昊泽</t>
  </si>
  <si>
    <t>SJZ-GS-092</t>
  </si>
  <si>
    <t>齐政涵</t>
  </si>
  <si>
    <t>SJZ-GS-093</t>
  </si>
  <si>
    <t>王璟琦</t>
  </si>
  <si>
    <t>SJZ-GS-094</t>
  </si>
  <si>
    <t>孙笑晗</t>
  </si>
  <si>
    <t>SJZ-GS-095</t>
  </si>
  <si>
    <t>马浩宇</t>
  </si>
  <si>
    <t>SJZ-GS-096</t>
  </si>
  <si>
    <t>张怡诺</t>
  </si>
  <si>
    <t>SJZ-GS-097</t>
  </si>
  <si>
    <t>王梓航</t>
  </si>
  <si>
    <t>SJZ-GS-098</t>
  </si>
  <si>
    <t>程慧妍</t>
  </si>
  <si>
    <t>SJZ-GS-099</t>
  </si>
  <si>
    <t>杨启帆</t>
  </si>
  <si>
    <t>SJZ-GS-100</t>
  </si>
  <si>
    <t>李芊佑</t>
  </si>
  <si>
    <t>SJZ-GS-101</t>
  </si>
  <si>
    <t>韦婉</t>
  </si>
  <si>
    <t>BJ-GS-102</t>
  </si>
  <si>
    <t>韦承</t>
  </si>
  <si>
    <t>BJ-GS-103</t>
  </si>
  <si>
    <t>靳钧成</t>
  </si>
  <si>
    <t>SJZ-GS-104</t>
  </si>
  <si>
    <t>马语芙</t>
  </si>
  <si>
    <t>SJZ-GS-105</t>
  </si>
  <si>
    <t>解颜齐</t>
  </si>
  <si>
    <t>SJZ-GS-106</t>
  </si>
  <si>
    <t>范珈宁</t>
  </si>
  <si>
    <t>SJZ-GS-107</t>
  </si>
  <si>
    <t>田尚泽</t>
  </si>
  <si>
    <t>SJZ-GS-108</t>
  </si>
  <si>
    <t>赵苡帆</t>
  </si>
  <si>
    <t>SJZ-GS-109</t>
  </si>
  <si>
    <t>赵丝羽</t>
  </si>
  <si>
    <t>SJZ-GS-110</t>
  </si>
  <si>
    <t>李一天</t>
  </si>
  <si>
    <t>SJZ-GS-112</t>
  </si>
  <si>
    <t>邹承睿</t>
  </si>
  <si>
    <t>BJ-GS-113</t>
  </si>
  <si>
    <t>吴卓函</t>
  </si>
  <si>
    <t>SJZ-GS-114</t>
  </si>
  <si>
    <t>薛舒元</t>
  </si>
  <si>
    <t>SJZ-GS-115</t>
  </si>
  <si>
    <t>崔杜一</t>
  </si>
  <si>
    <t>SJZ-GS-116</t>
  </si>
  <si>
    <t>荆楚暄</t>
  </si>
  <si>
    <t>SJZ-GS-117</t>
  </si>
  <si>
    <t>张岳霖</t>
  </si>
  <si>
    <t>SJZ-GS-118</t>
  </si>
  <si>
    <t>李源</t>
  </si>
  <si>
    <t>SJZ-GS-119</t>
  </si>
  <si>
    <t>李一轩</t>
  </si>
  <si>
    <t>2015/8/19</t>
  </si>
  <si>
    <t>SJZ-GS-120</t>
  </si>
  <si>
    <t>董郑希</t>
  </si>
  <si>
    <t>SJZ-GS-121</t>
  </si>
  <si>
    <t>BJ-GS-122</t>
  </si>
  <si>
    <t>刘奕帆</t>
  </si>
  <si>
    <t>SJZ-GS-123</t>
  </si>
  <si>
    <t>李茜瑶</t>
  </si>
  <si>
    <t>SJZ-GS-124</t>
  </si>
  <si>
    <t>檀浩鑫</t>
  </si>
  <si>
    <t>SJZ-GS-125</t>
  </si>
  <si>
    <t>张炤洋</t>
  </si>
  <si>
    <t>SJZ-GS-126</t>
  </si>
  <si>
    <t>李诺俐</t>
  </si>
  <si>
    <t>BJ-GS-127</t>
  </si>
  <si>
    <t>余鑫越</t>
  </si>
  <si>
    <t>SJZ-GS-128</t>
  </si>
  <si>
    <t>巩宇轩</t>
  </si>
  <si>
    <t>SJZ-GS-129</t>
  </si>
  <si>
    <t>刘若瞳</t>
  </si>
  <si>
    <t>SJZ-GS-130</t>
  </si>
  <si>
    <t>段睿哲</t>
  </si>
  <si>
    <t>SJZ-GS-131</t>
  </si>
  <si>
    <t>李思诺</t>
  </si>
  <si>
    <t>SJZ-GS-132</t>
  </si>
  <si>
    <t>李俊渝</t>
  </si>
  <si>
    <t>2015/10/1</t>
  </si>
  <si>
    <t>BJ-GS-133</t>
  </si>
  <si>
    <t>刘玉帛</t>
  </si>
  <si>
    <t>SJZ-GS-134</t>
  </si>
  <si>
    <t>梅林</t>
  </si>
  <si>
    <t>SJZ-GS-135</t>
  </si>
  <si>
    <t>苑鹤轩</t>
  </si>
  <si>
    <t>BJ-GS-136</t>
  </si>
  <si>
    <t>张晨宇</t>
  </si>
  <si>
    <t>SJZ-GS-138</t>
  </si>
  <si>
    <t>梁桐雨</t>
  </si>
  <si>
    <t>SJZ-GS-139</t>
  </si>
  <si>
    <t>张轩鸣</t>
  </si>
  <si>
    <t>SJZ-GS-140</t>
  </si>
  <si>
    <t>赵子兴</t>
  </si>
  <si>
    <t>SJZ-GS-141</t>
  </si>
  <si>
    <t>张晨悦</t>
  </si>
  <si>
    <t>BJ-GS-142</t>
  </si>
  <si>
    <t>高子尧</t>
  </si>
  <si>
    <t>SJZ-GS-143</t>
  </si>
  <si>
    <t>孙钰泽</t>
  </si>
  <si>
    <t>SJZ-GS-144</t>
  </si>
  <si>
    <t>贺宇彤</t>
  </si>
  <si>
    <t>SJZ-GS-145</t>
  </si>
  <si>
    <t>卢晨卉</t>
  </si>
  <si>
    <t>SJZ-GS-146</t>
  </si>
  <si>
    <t>SJZ-GS-147</t>
  </si>
  <si>
    <t>王司铉</t>
  </si>
  <si>
    <t>SJZ-GS-148</t>
  </si>
  <si>
    <t>宋英杰</t>
  </si>
  <si>
    <t>SJZ-GS-149</t>
  </si>
  <si>
    <t xml:space="preserve">王浩然 </t>
  </si>
  <si>
    <t>SJZ-GS-150</t>
  </si>
  <si>
    <t>杨致灏</t>
  </si>
  <si>
    <t>BJ-GS-151</t>
  </si>
  <si>
    <t>李墨可</t>
  </si>
  <si>
    <t>SJZ-GS-152</t>
  </si>
  <si>
    <t>张以沫</t>
  </si>
  <si>
    <t>SJZ-GS-153</t>
  </si>
  <si>
    <t>李梦初</t>
  </si>
  <si>
    <t>SJG-GS-154</t>
  </si>
  <si>
    <t>李越琪</t>
  </si>
  <si>
    <t>SJG-GS-155</t>
  </si>
  <si>
    <t>李昀轩</t>
  </si>
  <si>
    <t>SJZ-GS-156</t>
  </si>
  <si>
    <t>王清雅</t>
  </si>
  <si>
    <t>SJG-GS-157</t>
  </si>
  <si>
    <t>李涵韵</t>
  </si>
  <si>
    <t>SJZ-GS-158</t>
  </si>
  <si>
    <t>张俊豪</t>
  </si>
  <si>
    <t>SJZ-GS-159</t>
  </si>
  <si>
    <t>周沫润</t>
  </si>
  <si>
    <t>SJZ-GS-160</t>
  </si>
  <si>
    <t>于瑶</t>
  </si>
  <si>
    <t>SJG-GS-161</t>
  </si>
  <si>
    <t>王洛伊</t>
  </si>
  <si>
    <t>SJG-GS-162</t>
  </si>
  <si>
    <t>田路佳</t>
  </si>
  <si>
    <t>SJG-GS-163</t>
  </si>
  <si>
    <t>杨浩轩</t>
  </si>
  <si>
    <t>SJG-GS-164</t>
  </si>
  <si>
    <t>许伊芮</t>
  </si>
  <si>
    <t>SJG-GS-165</t>
  </si>
  <si>
    <t>刘思含</t>
  </si>
  <si>
    <t>SJG-GS-166</t>
  </si>
  <si>
    <t>康学礼</t>
  </si>
  <si>
    <t>SJG-GS-167</t>
  </si>
  <si>
    <t>敬佩之</t>
  </si>
  <si>
    <t>SJG-GS-168</t>
  </si>
  <si>
    <t>张洋</t>
  </si>
  <si>
    <t>SJG-GS-169</t>
  </si>
  <si>
    <t>田泽楷</t>
  </si>
  <si>
    <t>2016.10.13</t>
  </si>
  <si>
    <t>BJ-GS-170</t>
  </si>
  <si>
    <t>张昱萱</t>
  </si>
  <si>
    <t>SJG-GS-171</t>
  </si>
  <si>
    <t>SJG-GS-172</t>
  </si>
  <si>
    <t>王艺卓</t>
  </si>
  <si>
    <t>SJG-GS-173</t>
  </si>
  <si>
    <t>BJ-GS-174</t>
  </si>
  <si>
    <t>刘津泽</t>
  </si>
  <si>
    <t>SJG-GS-175</t>
  </si>
  <si>
    <t>SJG-GS-176</t>
  </si>
  <si>
    <t>檀亦石</t>
  </si>
  <si>
    <t>SJG-GS-177</t>
  </si>
  <si>
    <t>李依航</t>
  </si>
  <si>
    <t>SJZ-GS-178</t>
  </si>
  <si>
    <t>BJ-GS-179</t>
  </si>
  <si>
    <t>刘冠德</t>
  </si>
  <si>
    <t>SJZ-GS-180</t>
  </si>
  <si>
    <t>曹蕴潆</t>
  </si>
  <si>
    <t>SJZ-GS-181</t>
  </si>
  <si>
    <t>王一川</t>
  </si>
  <si>
    <t>SJZ-GS-182</t>
  </si>
  <si>
    <t>时瑜泽</t>
  </si>
  <si>
    <t>SJZ-GS-183</t>
  </si>
  <si>
    <t>张芯墨</t>
  </si>
  <si>
    <t>SJZ-GS-184</t>
  </si>
  <si>
    <t>杨梓潼</t>
  </si>
  <si>
    <t>SJZ-GS-185</t>
  </si>
  <si>
    <t>左近蕴</t>
  </si>
  <si>
    <t>SJZ-GS-186</t>
  </si>
  <si>
    <t>常硕航</t>
  </si>
  <si>
    <t>SJZ-GS-187</t>
  </si>
  <si>
    <t>BJ-GS-188</t>
  </si>
  <si>
    <t>李悦达</t>
  </si>
  <si>
    <t>SJZ-GS-189</t>
  </si>
  <si>
    <t>赵梦瑶</t>
  </si>
  <si>
    <t>SJZ-GS-190</t>
  </si>
  <si>
    <t>霍怡默</t>
  </si>
  <si>
    <t>SJZ-GS-191</t>
  </si>
  <si>
    <t>杨思程</t>
  </si>
  <si>
    <t>SJG-GS-192</t>
  </si>
  <si>
    <t>忽子程</t>
  </si>
  <si>
    <t>SJG-GS-193</t>
  </si>
  <si>
    <t>张尚果</t>
  </si>
  <si>
    <t>SJG-GS-194</t>
  </si>
  <si>
    <t>魏莱</t>
  </si>
  <si>
    <t>SJG-GS-195</t>
  </si>
  <si>
    <t>张栩硕</t>
  </si>
  <si>
    <t>SJG-GS-196</t>
  </si>
  <si>
    <t>吕烨林</t>
  </si>
  <si>
    <t>SJG-GS-197</t>
  </si>
  <si>
    <t>谢佳洱</t>
  </si>
  <si>
    <t>SJG-GS-198</t>
  </si>
  <si>
    <t>何姿叶</t>
  </si>
  <si>
    <t>SJG-GS-199</t>
  </si>
  <si>
    <t>霍语默</t>
  </si>
  <si>
    <t>SJG-GS-200</t>
  </si>
  <si>
    <t>杨嘉一</t>
  </si>
  <si>
    <t>SJG-GS-201</t>
  </si>
  <si>
    <t>王一源</t>
  </si>
  <si>
    <t>SJG-GS-202</t>
  </si>
  <si>
    <t>武宇翔</t>
  </si>
  <si>
    <t>SJG-GS-203</t>
  </si>
  <si>
    <t>程琰溪</t>
  </si>
  <si>
    <t>SJG-GS-204</t>
  </si>
  <si>
    <t>SJG-GS-205</t>
  </si>
  <si>
    <t>SJG-GS-206</t>
  </si>
  <si>
    <t>SJG-GS-207</t>
  </si>
  <si>
    <t>SJG-GS-208</t>
  </si>
  <si>
    <t>SJG-GS-209</t>
  </si>
  <si>
    <t>SJG-GS-210</t>
  </si>
  <si>
    <t>SJG-GS-211</t>
  </si>
  <si>
    <t>BJ-GS-212</t>
  </si>
  <si>
    <t>戴镜近视力</t>
  </si>
  <si>
    <t>基线散瞳验光等效球镜</t>
  </si>
  <si>
    <t>6个月散瞳验光等效球镜</t>
  </si>
  <si>
    <t>散瞳验光等效球镜变化</t>
  </si>
  <si>
    <t>6个月眼轴</t>
  </si>
  <si>
    <t>6个月眼轴变化量</t>
  </si>
  <si>
    <t xml:space="preserve">B </t>
  </si>
  <si>
    <t>170</t>
  </si>
  <si>
    <t>80</t>
  </si>
  <si>
    <t>24</t>
  </si>
  <si>
    <t>6</t>
  </si>
  <si>
    <t>ss</t>
  </si>
  <si>
    <t>oo</t>
  </si>
  <si>
    <t>1.0-</t>
  </si>
  <si>
    <t>1.0-2</t>
  </si>
  <si>
    <t>0.8+</t>
  </si>
  <si>
    <t>李炤洋</t>
  </si>
  <si>
    <t>-0.50</t>
  </si>
  <si>
    <t>仪器坏了 无法做</t>
  </si>
  <si>
    <t>-0.25</t>
  </si>
  <si>
    <t>樊钰菲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</si>
</sst>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_ "/>
    <numFmt numFmtId="178" formatCode="0.000_ "/>
    <numFmt numFmtId="179" formatCode="0.00_ "/>
    <numFmt numFmtId="180" formatCode="0_ "/>
  </numFmts>
  <fonts count="40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sz val="12"/>
      <color rgb="FF000000"/>
      <name val="等线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color rgb="FFFF0000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FF0000"/>
      <name val="等线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等线"/>
      <charset val="134"/>
    </font>
    <font>
      <sz val="11"/>
      <color rgb="FFFFFFFF"/>
      <name val="宋体"/>
      <charset val="134"/>
      <scheme val="minor"/>
    </font>
    <font>
      <sz val="12"/>
      <color theme="1"/>
      <name val="等线"/>
      <charset val="134"/>
    </font>
    <font>
      <sz val="11"/>
      <color rgb="FF000000"/>
      <name val="等线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6" borderId="24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25">
      <alignment vertical="center"/>
    </xf>
    <xf numFmtId="0" fontId="27" fillId="0" borderId="25">
      <alignment vertical="center"/>
    </xf>
    <xf numFmtId="0" fontId="28" fillId="0" borderId="26">
      <alignment vertical="center"/>
    </xf>
    <xf numFmtId="0" fontId="28" fillId="0" borderId="0">
      <alignment vertical="center"/>
    </xf>
    <xf numFmtId="0" fontId="29" fillId="7" borderId="27">
      <alignment vertical="center"/>
    </xf>
    <xf numFmtId="0" fontId="30" fillId="8" borderId="28">
      <alignment vertical="center"/>
    </xf>
    <xf numFmtId="0" fontId="31" fillId="8" borderId="27">
      <alignment vertical="center"/>
    </xf>
    <xf numFmtId="0" fontId="32" fillId="9" borderId="29">
      <alignment vertical="center"/>
    </xf>
    <xf numFmtId="0" fontId="33" fillId="0" borderId="30">
      <alignment vertical="center"/>
    </xf>
    <xf numFmtId="0" fontId="34" fillId="0" borderId="31">
      <alignment vertical="center"/>
    </xf>
    <xf numFmtId="0" fontId="35" fillId="10" borderId="0">
      <alignment vertical="center"/>
    </xf>
    <xf numFmtId="0" fontId="36" fillId="11" borderId="0">
      <alignment vertical="center"/>
    </xf>
    <xf numFmtId="0" fontId="37" fillId="12" borderId="0">
      <alignment vertical="center"/>
    </xf>
    <xf numFmtId="0" fontId="38" fillId="13" borderId="0">
      <alignment vertical="center"/>
    </xf>
    <xf numFmtId="0" fontId="39" fillId="14" borderId="0">
      <alignment vertical="center"/>
    </xf>
    <xf numFmtId="0" fontId="39" fillId="15" borderId="0">
      <alignment vertical="center"/>
    </xf>
    <xf numFmtId="0" fontId="38" fillId="16" borderId="0">
      <alignment vertical="center"/>
    </xf>
    <xf numFmtId="0" fontId="38" fillId="17" borderId="0">
      <alignment vertical="center"/>
    </xf>
    <xf numFmtId="0" fontId="39" fillId="18" borderId="0">
      <alignment vertical="center"/>
    </xf>
    <xf numFmtId="0" fontId="39" fillId="19" borderId="0">
      <alignment vertical="center"/>
    </xf>
    <xf numFmtId="0" fontId="38" fillId="20" borderId="0">
      <alignment vertical="center"/>
    </xf>
    <xf numFmtId="0" fontId="38" fillId="21" borderId="0">
      <alignment vertical="center"/>
    </xf>
    <xf numFmtId="0" fontId="39" fillId="22" borderId="0">
      <alignment vertical="center"/>
    </xf>
    <xf numFmtId="0" fontId="39" fillId="23" borderId="0">
      <alignment vertical="center"/>
    </xf>
    <xf numFmtId="0" fontId="38" fillId="24" borderId="0">
      <alignment vertical="center"/>
    </xf>
    <xf numFmtId="0" fontId="38" fillId="25" borderId="0">
      <alignment vertical="center"/>
    </xf>
    <xf numFmtId="0" fontId="39" fillId="26" borderId="0">
      <alignment vertical="center"/>
    </xf>
    <xf numFmtId="0" fontId="39" fillId="27" borderId="0">
      <alignment vertical="center"/>
    </xf>
    <xf numFmtId="0" fontId="38" fillId="28" borderId="0">
      <alignment vertical="center"/>
    </xf>
    <xf numFmtId="0" fontId="38" fillId="29" borderId="0">
      <alignment vertical="center"/>
    </xf>
    <xf numFmtId="0" fontId="39" fillId="30" borderId="0">
      <alignment vertical="center"/>
    </xf>
    <xf numFmtId="0" fontId="39" fillId="31" borderId="0">
      <alignment vertical="center"/>
    </xf>
    <xf numFmtId="0" fontId="38" fillId="32" borderId="0">
      <alignment vertical="center"/>
    </xf>
    <xf numFmtId="0" fontId="38" fillId="33" borderId="0">
      <alignment vertical="center"/>
    </xf>
    <xf numFmtId="0" fontId="39" fillId="34" borderId="0">
      <alignment vertical="center"/>
    </xf>
    <xf numFmtId="0" fontId="39" fillId="35" borderId="0">
      <alignment vertical="center"/>
    </xf>
    <xf numFmtId="0" fontId="38" fillId="36" borderId="0">
      <alignment vertical="center"/>
    </xf>
  </cellStyleXfs>
  <cellXfs count="207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2" borderId="1" xfId="0" applyNumberFormat="1" applyFill="1" applyBorder="1" applyAlignment="1">
      <alignment vertical="center"/>
    </xf>
    <xf numFmtId="178" fontId="0" fillId="2" borderId="1" xfId="0" applyNumberFormat="1" applyFill="1" applyBorder="1" applyAlignment="1">
      <alignment vertical="center"/>
    </xf>
    <xf numFmtId="179" fontId="0" fillId="2" borderId="1" xfId="0" applyNumberFormat="1" applyFill="1" applyBorder="1" applyAlignment="1">
      <alignment vertical="center" wrapText="1"/>
    </xf>
    <xf numFmtId="180" fontId="0" fillId="2" borderId="1" xfId="0" applyNumberFormat="1" applyFill="1" applyBorder="1" applyAlignment="1">
      <alignment vertical="center" wrapText="1"/>
    </xf>
    <xf numFmtId="178" fontId="0" fillId="2" borderId="1" xfId="0" applyNumberFormat="1" applyFill="1" applyBorder="1" applyAlignment="1">
      <alignment vertical="center" wrapText="1"/>
    </xf>
    <xf numFmtId="179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178" fontId="1" fillId="2" borderId="1" xfId="0" applyNumberFormat="1" applyFont="1" applyFill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17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 wrapText="1"/>
    </xf>
    <xf numFmtId="179" fontId="3" fillId="2" borderId="1" xfId="0" applyNumberFormat="1" applyFont="1" applyFill="1" applyBorder="1" applyAlignment="1">
      <alignment horizontal="center" vertical="center" wrapText="1"/>
    </xf>
    <xf numFmtId="180" fontId="3" fillId="2" borderId="1" xfId="0" applyNumberFormat="1" applyFont="1" applyFill="1" applyBorder="1" applyAlignment="1">
      <alignment horizontal="center" vertical="center" wrapText="1"/>
    </xf>
    <xf numFmtId="179" fontId="3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178" fontId="6" fillId="2" borderId="1" xfId="0" applyNumberFormat="1" applyFont="1" applyFill="1" applyBorder="1" applyAlignment="1">
      <alignment horizontal="center" vertical="center" wrapText="1"/>
    </xf>
    <xf numFmtId="179" fontId="5" fillId="2" borderId="1" xfId="0" applyNumberFormat="1" applyFont="1" applyFill="1" applyBorder="1" applyAlignment="1">
      <alignment horizontal="center" vertical="center" wrapText="1"/>
    </xf>
    <xf numFmtId="180" fontId="6" fillId="2" borderId="1" xfId="0" applyNumberFormat="1" applyFont="1" applyFill="1" applyBorder="1" applyAlignment="1">
      <alignment horizontal="center" vertical="center" wrapText="1"/>
    </xf>
    <xf numFmtId="17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180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8" fontId="7" fillId="2" borderId="1" xfId="0" applyNumberFormat="1" applyFont="1" applyFill="1" applyBorder="1" applyAlignment="1">
      <alignment horizontal="center" vertical="center" wrapText="1"/>
    </xf>
    <xf numFmtId="179" fontId="7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180" fontId="5" fillId="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8" fontId="4" fillId="2" borderId="4" xfId="0" applyNumberFormat="1" applyFont="1" applyFill="1" applyBorder="1">
      <alignment vertical="center"/>
    </xf>
    <xf numFmtId="176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179" fontId="5" fillId="2" borderId="5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9" fontId="7" fillId="2" borderId="8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180" fontId="7" fillId="3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vertical="center"/>
    </xf>
    <xf numFmtId="49" fontId="9" fillId="4" borderId="1" xfId="0" applyNumberFormat="1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79" fontId="7" fillId="0" borderId="1" xfId="0" applyNumberFormat="1" applyFont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14" fontId="11" fillId="0" borderId="1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4" fontId="14" fillId="0" borderId="1" xfId="0" applyNumberFormat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7" fillId="0" borderId="0" xfId="0" applyFont="1" applyAlignment="1"/>
    <xf numFmtId="176" fontId="9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12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180" fontId="0" fillId="2" borderId="1" xfId="0" applyNumberForma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8" fillId="5" borderId="13" xfId="0" applyFont="1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11" fillId="5" borderId="13" xfId="0" applyFont="1" applyFill="1" applyBorder="1" applyAlignment="1">
      <alignment vertical="center"/>
    </xf>
    <xf numFmtId="0" fontId="15" fillId="0" borderId="13" xfId="0" applyFont="1" applyBorder="1" applyAlignment="1">
      <alignment vertical="center"/>
    </xf>
    <xf numFmtId="179" fontId="9" fillId="2" borderId="16" xfId="0" applyNumberFormat="1" applyFont="1" applyFill="1" applyBorder="1" applyAlignment="1">
      <alignment horizontal="center" vertical="center"/>
    </xf>
    <xf numFmtId="0" fontId="0" fillId="0" borderId="17" xfId="0" applyBorder="1" applyAlignment="1"/>
    <xf numFmtId="179" fontId="9" fillId="2" borderId="13" xfId="0" applyNumberFormat="1" applyFont="1" applyFill="1" applyBorder="1" applyAlignment="1">
      <alignment horizontal="center" vertical="center"/>
    </xf>
    <xf numFmtId="0" fontId="0" fillId="0" borderId="18" xfId="0" applyBorder="1" applyAlignment="1"/>
    <xf numFmtId="178" fontId="9" fillId="2" borderId="17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9" fontId="4" fillId="2" borderId="14" xfId="0" applyNumberFormat="1" applyFont="1" applyFill="1" applyBorder="1" applyAlignment="1">
      <alignment horizontal="center" vertical="center"/>
    </xf>
    <xf numFmtId="179" fontId="4" fillId="2" borderId="14" xfId="0" applyNumberFormat="1" applyFont="1" applyFill="1" applyBorder="1" applyAlignment="1">
      <alignment horizontal="center" vertical="center" wrapText="1"/>
    </xf>
    <xf numFmtId="180" fontId="4" fillId="2" borderId="14" xfId="0" applyNumberFormat="1" applyFont="1" applyFill="1" applyBorder="1" applyAlignment="1">
      <alignment horizontal="center" vertical="center" wrapText="1"/>
    </xf>
    <xf numFmtId="178" fontId="4" fillId="3" borderId="14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22" fontId="4" fillId="2" borderId="1" xfId="0" applyNumberFormat="1" applyFont="1" applyFill="1" applyBorder="1" applyAlignment="1">
      <alignment horizontal="left" vertical="center"/>
    </xf>
    <xf numFmtId="0" fontId="8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14" fontId="9" fillId="5" borderId="4" xfId="0" applyNumberFormat="1" applyFont="1" applyFill="1" applyBorder="1" applyAlignment="1">
      <alignment vertical="center"/>
    </xf>
    <xf numFmtId="179" fontId="4" fillId="2" borderId="4" xfId="0" applyNumberFormat="1" applyFont="1" applyFill="1" applyBorder="1" applyAlignment="1">
      <alignment vertical="center"/>
    </xf>
    <xf numFmtId="180" fontId="4" fillId="2" borderId="4" xfId="0" applyNumberFormat="1" applyFont="1" applyFill="1" applyBorder="1" applyAlignment="1">
      <alignment vertical="center"/>
    </xf>
    <xf numFmtId="178" fontId="4" fillId="2" borderId="4" xfId="0" applyNumberFormat="1" applyFont="1" applyFill="1" applyBorder="1" applyAlignment="1">
      <alignment vertical="center"/>
    </xf>
    <xf numFmtId="49" fontId="4" fillId="2" borderId="4" xfId="0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4" fontId="9" fillId="5" borderId="1" xfId="0" applyNumberFormat="1" applyFont="1" applyFill="1" applyBorder="1" applyAlignment="1">
      <alignment vertical="center"/>
    </xf>
    <xf numFmtId="179" fontId="4" fillId="2" borderId="1" xfId="0" applyNumberFormat="1" applyFont="1" applyFill="1" applyBorder="1" applyAlignment="1">
      <alignment vertical="center"/>
    </xf>
    <xf numFmtId="180" fontId="4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left" vertical="center"/>
    </xf>
    <xf numFmtId="0" fontId="9" fillId="5" borderId="1" xfId="0" applyFont="1" applyFill="1" applyBorder="1" applyAlignment="1">
      <alignment vertical="center"/>
    </xf>
    <xf numFmtId="14" fontId="11" fillId="5" borderId="1" xfId="0" applyNumberFormat="1" applyFont="1" applyFill="1" applyBorder="1" applyAlignment="1">
      <alignment vertical="center"/>
    </xf>
    <xf numFmtId="179" fontId="9" fillId="2" borderId="1" xfId="0" applyNumberFormat="1" applyFont="1" applyFill="1" applyBorder="1" applyAlignment="1">
      <alignment vertical="center"/>
    </xf>
    <xf numFmtId="180" fontId="9" fillId="2" borderId="1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176" fontId="11" fillId="5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179" fontId="0" fillId="3" borderId="1" xfId="0" applyNumberFormat="1" applyFill="1" applyBorder="1" applyAlignment="1">
      <alignment vertical="center"/>
    </xf>
    <xf numFmtId="180" fontId="0" fillId="3" borderId="1" xfId="0" applyNumberFormat="1" applyFill="1" applyBorder="1" applyAlignment="1">
      <alignment vertical="center"/>
    </xf>
    <xf numFmtId="14" fontId="9" fillId="2" borderId="1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8" fillId="5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178" fontId="4" fillId="3" borderId="4" xfId="0" applyNumberFormat="1" applyFont="1" applyFill="1" applyBorder="1" applyAlignment="1">
      <alignment vertical="center"/>
    </xf>
    <xf numFmtId="176" fontId="9" fillId="5" borderId="1" xfId="0" applyNumberFormat="1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14" fontId="9" fillId="5" borderId="1" xfId="0" applyNumberFormat="1" applyFont="1" applyFill="1" applyBorder="1" applyAlignment="1">
      <alignment horizontal="left" vertical="center"/>
    </xf>
    <xf numFmtId="0" fontId="17" fillId="5" borderId="1" xfId="0" applyFont="1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15" fillId="5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14" fontId="14" fillId="5" borderId="1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6" fontId="9" fillId="2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9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5" fillId="0" borderId="12" xfId="0" applyFont="1" applyBorder="1" applyAlignment="1">
      <alignment vertical="center"/>
    </xf>
    <xf numFmtId="0" fontId="18" fillId="0" borderId="0" xfId="0" applyFont="1" applyAlignment="1">
      <alignment vertical="center" wrapText="1"/>
    </xf>
    <xf numFmtId="179" fontId="6" fillId="2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yoflife/Desktop/&#20154;&#27665;&#35797;&#39564;&#25968;&#25454;&#21644;&#26041;&#26696;/&#25968;&#25454;&#26680;&#26597;/&#39640;&#35270;&#26723;&#26696;4.2&#8212;&#20998;&#32452;&#29256;-&#26680;&#2659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取镜"/>
      <sheetName val="三个月复查"/>
      <sheetName val="六个月复查"/>
      <sheetName val="九个月复查"/>
      <sheetName val="一个月复查"/>
    </sheetNames>
    <sheetDataSet>
      <sheetData sheetId="0">
        <row r="3">
          <cell r="C3" t="str">
            <v>石家庄人民眼科</v>
          </cell>
          <cell r="D3" t="str">
            <v>张茗尘</v>
          </cell>
          <cell r="E3" t="str">
            <v>女</v>
          </cell>
          <cell r="F3">
            <v>41695</v>
          </cell>
        </row>
        <row r="4">
          <cell r="C4" t="str">
            <v>石家庄人民眼科</v>
          </cell>
        </row>
        <row r="5">
          <cell r="C5" t="str">
            <v>石家庄人民眼科</v>
          </cell>
          <cell r="D5" t="str">
            <v>康安迪</v>
          </cell>
          <cell r="E5" t="str">
            <v>男</v>
          </cell>
          <cell r="F5">
            <v>42452</v>
          </cell>
        </row>
        <row r="6">
          <cell r="C6" t="str">
            <v>石家庄人民眼科</v>
          </cell>
        </row>
        <row r="7">
          <cell r="C7" t="str">
            <v>石家庄人民眼科</v>
          </cell>
          <cell r="D7" t="str">
            <v>李参炜</v>
          </cell>
          <cell r="E7" t="str">
            <v>男</v>
          </cell>
          <cell r="F7">
            <v>41383</v>
          </cell>
        </row>
        <row r="8">
          <cell r="C8" t="str">
            <v>石家庄人民眼科</v>
          </cell>
        </row>
        <row r="9">
          <cell r="C9" t="str">
            <v>石家庄人民眼科</v>
          </cell>
          <cell r="D9" t="str">
            <v>王锦天</v>
          </cell>
          <cell r="E9" t="str">
            <v>男</v>
          </cell>
          <cell r="F9">
            <v>41579</v>
          </cell>
        </row>
        <row r="10">
          <cell r="C10" t="str">
            <v>石家庄人民眼科</v>
          </cell>
        </row>
        <row r="11">
          <cell r="C11" t="str">
            <v>石家庄人民眼科</v>
          </cell>
          <cell r="D11" t="str">
            <v>徐乐心</v>
          </cell>
          <cell r="E11" t="str">
            <v>男</v>
          </cell>
          <cell r="F11">
            <v>41504</v>
          </cell>
        </row>
        <row r="12">
          <cell r="C12" t="str">
            <v>石家庄人民眼科</v>
          </cell>
        </row>
        <row r="13">
          <cell r="C13" t="str">
            <v>石家庄人民眼科</v>
          </cell>
          <cell r="D13" t="str">
            <v>徐乐成</v>
          </cell>
          <cell r="E13" t="str">
            <v>男</v>
          </cell>
        </row>
        <row r="14">
          <cell r="C14" t="str">
            <v>石家庄人民眼科</v>
          </cell>
        </row>
        <row r="15">
          <cell r="C15" t="str">
            <v>石家庄人民眼科</v>
          </cell>
          <cell r="D15" t="str">
            <v>张楚尧</v>
          </cell>
          <cell r="E15" t="str">
            <v>男</v>
          </cell>
          <cell r="F15">
            <v>41966</v>
          </cell>
        </row>
        <row r="16">
          <cell r="C16" t="str">
            <v>石家庄人民眼科</v>
          </cell>
        </row>
        <row r="17">
          <cell r="C17" t="str">
            <v>石家庄人民眼科</v>
          </cell>
          <cell r="D17" t="str">
            <v>张海冰</v>
          </cell>
          <cell r="E17" t="str">
            <v>男</v>
          </cell>
          <cell r="F17">
            <v>41306</v>
          </cell>
        </row>
        <row r="18">
          <cell r="C18" t="str">
            <v>石家庄人民眼科</v>
          </cell>
        </row>
        <row r="19">
          <cell r="C19" t="str">
            <v>石家庄人民眼科</v>
          </cell>
          <cell r="D19" t="str">
            <v>李文晴</v>
          </cell>
          <cell r="E19" t="str">
            <v>女</v>
          </cell>
          <cell r="F19">
            <v>42299</v>
          </cell>
        </row>
        <row r="20">
          <cell r="C20" t="str">
            <v>石家庄人民眼科</v>
          </cell>
        </row>
        <row r="21">
          <cell r="C21" t="str">
            <v>石家庄人民眼科</v>
          </cell>
          <cell r="D21" t="str">
            <v>王可妍</v>
          </cell>
          <cell r="E21" t="str">
            <v>女</v>
          </cell>
          <cell r="F21">
            <v>40620</v>
          </cell>
        </row>
        <row r="22">
          <cell r="C22" t="str">
            <v>石家庄人民眼科</v>
          </cell>
        </row>
        <row r="23">
          <cell r="C23" t="str">
            <v>石家庄人民眼科</v>
          </cell>
          <cell r="D23" t="str">
            <v>檀沐析</v>
          </cell>
          <cell r="E23" t="str">
            <v>男</v>
          </cell>
          <cell r="F23">
            <v>42553</v>
          </cell>
          <cell r="G23" t="str">
            <v>SJZ-GS-011</v>
          </cell>
        </row>
        <row r="24">
          <cell r="C24" t="str">
            <v>石家庄人民眼科</v>
          </cell>
        </row>
        <row r="25">
          <cell r="C25" t="str">
            <v>石家庄人民眼科</v>
          </cell>
          <cell r="D25" t="str">
            <v>李昭旭</v>
          </cell>
          <cell r="E25" t="str">
            <v>男</v>
          </cell>
          <cell r="F25">
            <v>42755</v>
          </cell>
        </row>
        <row r="26">
          <cell r="C26" t="str">
            <v>石家庄人民眼科</v>
          </cell>
        </row>
        <row r="27">
          <cell r="C27" t="str">
            <v>石家庄人民眼科</v>
          </cell>
          <cell r="D27" t="str">
            <v>温心语</v>
          </cell>
          <cell r="E27" t="str">
            <v>女</v>
          </cell>
          <cell r="F27">
            <v>43135</v>
          </cell>
        </row>
        <row r="28">
          <cell r="C28" t="str">
            <v>石家庄人民眼科</v>
          </cell>
        </row>
        <row r="29">
          <cell r="C29" t="str">
            <v>石家庄人民眼科</v>
          </cell>
          <cell r="D29" t="str">
            <v>刘梓萌</v>
          </cell>
          <cell r="E29" t="str">
            <v>女</v>
          </cell>
          <cell r="F29">
            <v>42825</v>
          </cell>
        </row>
        <row r="30">
          <cell r="C30" t="str">
            <v>石家庄人民眼科</v>
          </cell>
        </row>
        <row r="31">
          <cell r="C31" t="str">
            <v>石家庄人民眼科</v>
          </cell>
          <cell r="D31" t="str">
            <v>秦丞远</v>
          </cell>
          <cell r="E31" t="str">
            <v>男</v>
          </cell>
          <cell r="F31">
            <v>42004</v>
          </cell>
        </row>
        <row r="32">
          <cell r="C32" t="str">
            <v>石家庄人民眼科</v>
          </cell>
        </row>
        <row r="33">
          <cell r="C33" t="str">
            <v>石家庄人民眼科</v>
          </cell>
          <cell r="D33" t="str">
            <v>李诗涵</v>
          </cell>
          <cell r="E33" t="str">
            <v>女</v>
          </cell>
          <cell r="F33">
            <v>42616</v>
          </cell>
        </row>
        <row r="34">
          <cell r="C34" t="str">
            <v>石家庄人民眼科</v>
          </cell>
        </row>
        <row r="35">
          <cell r="C35" t="str">
            <v>石家庄人民眼科</v>
          </cell>
          <cell r="D35" t="str">
            <v>崔赵兮</v>
          </cell>
          <cell r="E35" t="str">
            <v>女</v>
          </cell>
          <cell r="F35">
            <v>42811</v>
          </cell>
        </row>
        <row r="36">
          <cell r="C36" t="str">
            <v>石家庄人民眼科</v>
          </cell>
        </row>
        <row r="37">
          <cell r="C37" t="str">
            <v>石家庄人民眼科</v>
          </cell>
          <cell r="D37" t="str">
            <v>刘镐泽</v>
          </cell>
          <cell r="E37" t="str">
            <v>男</v>
          </cell>
          <cell r="F37">
            <v>41944</v>
          </cell>
        </row>
        <row r="38">
          <cell r="C38" t="str">
            <v>石家庄人民眼科</v>
          </cell>
        </row>
        <row r="39">
          <cell r="C39" t="str">
            <v>石家庄人民眼科</v>
          </cell>
          <cell r="D39" t="str">
            <v>何昊轩</v>
          </cell>
          <cell r="E39" t="str">
            <v>男</v>
          </cell>
          <cell r="F39">
            <v>40870</v>
          </cell>
        </row>
        <row r="40">
          <cell r="C40" t="str">
            <v>石家庄人民眼科</v>
          </cell>
        </row>
        <row r="41">
          <cell r="C41" t="str">
            <v>石家庄人民眼科</v>
          </cell>
          <cell r="D41" t="str">
            <v>张逸晨</v>
          </cell>
          <cell r="E41" t="str">
            <v>男</v>
          </cell>
          <cell r="F41">
            <v>42875</v>
          </cell>
        </row>
        <row r="42">
          <cell r="C42" t="str">
            <v>石家庄人民眼科</v>
          </cell>
        </row>
        <row r="43">
          <cell r="C43" t="str">
            <v>石家庄人民眼科</v>
          </cell>
          <cell r="D43" t="str">
            <v>底毅博</v>
          </cell>
          <cell r="E43" t="str">
            <v>男</v>
          </cell>
          <cell r="F43">
            <v>42028</v>
          </cell>
        </row>
        <row r="44">
          <cell r="C44" t="str">
            <v>石家庄人民眼科</v>
          </cell>
        </row>
        <row r="45">
          <cell r="C45" t="str">
            <v>石家庄人民眼科</v>
          </cell>
          <cell r="D45" t="str">
            <v>师藤语</v>
          </cell>
          <cell r="E45" t="str">
            <v>女</v>
          </cell>
          <cell r="F45">
            <v>41132</v>
          </cell>
        </row>
        <row r="46">
          <cell r="C46" t="str">
            <v>石家庄人民眼科</v>
          </cell>
        </row>
        <row r="47">
          <cell r="C47" t="str">
            <v>石家庄人民眼科</v>
          </cell>
          <cell r="D47" t="str">
            <v>李安雅</v>
          </cell>
          <cell r="E47" t="str">
            <v>女</v>
          </cell>
          <cell r="F47">
            <v>42892</v>
          </cell>
        </row>
        <row r="48">
          <cell r="C48" t="str">
            <v>石家庄人民眼科</v>
          </cell>
        </row>
        <row r="49">
          <cell r="C49" t="str">
            <v>石家庄人民眼科</v>
          </cell>
          <cell r="D49" t="str">
            <v>刘星宇</v>
          </cell>
          <cell r="E49" t="str">
            <v>男</v>
          </cell>
          <cell r="F49">
            <v>41586</v>
          </cell>
        </row>
        <row r="50">
          <cell r="C50" t="str">
            <v>石家庄人民眼科</v>
          </cell>
        </row>
        <row r="55">
          <cell r="C55" t="str">
            <v>石家庄人民眼科</v>
          </cell>
          <cell r="D55" t="str">
            <v>侯轶婷</v>
          </cell>
          <cell r="E55" t="str">
            <v>女</v>
          </cell>
          <cell r="F55">
            <v>42583</v>
          </cell>
        </row>
        <row r="56">
          <cell r="C56" t="str">
            <v>石家庄人民眼科</v>
          </cell>
        </row>
        <row r="57">
          <cell r="C57" t="str">
            <v>石家庄人民眼科</v>
          </cell>
          <cell r="D57" t="str">
            <v>牛建岳</v>
          </cell>
          <cell r="E57" t="str">
            <v>男</v>
          </cell>
          <cell r="F57">
            <v>41709</v>
          </cell>
        </row>
        <row r="58">
          <cell r="C58" t="str">
            <v>石家庄人民眼科</v>
          </cell>
        </row>
        <row r="61">
          <cell r="C61" t="str">
            <v>石家庄人民眼科</v>
          </cell>
          <cell r="D61" t="str">
            <v>张舒淼</v>
          </cell>
          <cell r="E61" t="str">
            <v>女</v>
          </cell>
          <cell r="F61">
            <v>41915</v>
          </cell>
        </row>
        <row r="62">
          <cell r="C62" t="str">
            <v>石家庄人民眼科</v>
          </cell>
        </row>
        <row r="63">
          <cell r="C63" t="str">
            <v>石家庄人民眼科</v>
          </cell>
          <cell r="D63" t="str">
            <v>殷润楚</v>
          </cell>
          <cell r="E63" t="str">
            <v>男</v>
          </cell>
          <cell r="F63">
            <v>42256</v>
          </cell>
        </row>
        <row r="64">
          <cell r="C64" t="str">
            <v>石家庄人民眼科</v>
          </cell>
        </row>
        <row r="65">
          <cell r="C65" t="str">
            <v>石家庄人民眼科</v>
          </cell>
          <cell r="D65" t="str">
            <v>高玮杰</v>
          </cell>
          <cell r="E65" t="str">
            <v>男</v>
          </cell>
          <cell r="F65">
            <v>42044</v>
          </cell>
        </row>
        <row r="66">
          <cell r="C66" t="str">
            <v>石家庄人民眼科</v>
          </cell>
        </row>
        <row r="67">
          <cell r="C67" t="str">
            <v>石家庄人民眼科</v>
          </cell>
          <cell r="D67" t="str">
            <v>庞凯文</v>
          </cell>
          <cell r="E67" t="str">
            <v>女</v>
          </cell>
          <cell r="F67">
            <v>42084</v>
          </cell>
        </row>
        <row r="68">
          <cell r="C68" t="str">
            <v>石家庄人民眼科</v>
          </cell>
        </row>
        <row r="69">
          <cell r="C69" t="str">
            <v>石家庄人民眼科</v>
          </cell>
          <cell r="D69" t="str">
            <v>梁颢严</v>
          </cell>
          <cell r="E69" t="str">
            <v>男</v>
          </cell>
          <cell r="F69">
            <v>41533</v>
          </cell>
        </row>
        <row r="70">
          <cell r="C70" t="str">
            <v>石家庄人民眼科</v>
          </cell>
        </row>
        <row r="71">
          <cell r="C71" t="str">
            <v>石家庄人民眼科</v>
          </cell>
          <cell r="D71" t="str">
            <v>王梓乐</v>
          </cell>
          <cell r="E71" t="str">
            <v>男</v>
          </cell>
          <cell r="F71">
            <v>42827</v>
          </cell>
        </row>
        <row r="72">
          <cell r="C72" t="str">
            <v>石家庄人民眼科</v>
          </cell>
        </row>
        <row r="73">
          <cell r="C73" t="str">
            <v>石家庄人民眼科</v>
          </cell>
          <cell r="D73" t="str">
            <v>赵芊羽</v>
          </cell>
          <cell r="E73" t="str">
            <v>女</v>
          </cell>
          <cell r="F73">
            <v>41932</v>
          </cell>
        </row>
        <row r="74">
          <cell r="C74" t="str">
            <v>石家庄人民眼科</v>
          </cell>
        </row>
        <row r="77">
          <cell r="C77" t="str">
            <v>石家庄人民眼科</v>
          </cell>
          <cell r="D77" t="str">
            <v>单彬哲</v>
          </cell>
          <cell r="E77" t="str">
            <v>男</v>
          </cell>
          <cell r="F77" t="str">
            <v>2019.1.20</v>
          </cell>
        </row>
        <row r="78">
          <cell r="C78" t="str">
            <v>石家庄人民眼科</v>
          </cell>
        </row>
        <row r="79">
          <cell r="C79" t="str">
            <v>石家庄人民眼科</v>
          </cell>
          <cell r="D79" t="str">
            <v>全桓欣</v>
          </cell>
          <cell r="E79" t="str">
            <v>女</v>
          </cell>
          <cell r="F79">
            <v>41184</v>
          </cell>
        </row>
        <row r="80">
          <cell r="C80" t="str">
            <v>石家庄人民眼科</v>
          </cell>
        </row>
        <row r="81">
          <cell r="C81" t="str">
            <v>石家庄人民眼科</v>
          </cell>
          <cell r="D81" t="str">
            <v>宋佳乐</v>
          </cell>
          <cell r="E81" t="str">
            <v>女</v>
          </cell>
          <cell r="F81">
            <v>41432</v>
          </cell>
        </row>
        <row r="82">
          <cell r="C82" t="str">
            <v>石家庄人民眼科</v>
          </cell>
        </row>
        <row r="83">
          <cell r="C83" t="str">
            <v>石家庄人民眼科</v>
          </cell>
          <cell r="D83" t="str">
            <v>王清悦</v>
          </cell>
          <cell r="E83" t="str">
            <v>女</v>
          </cell>
          <cell r="F83">
            <v>40945</v>
          </cell>
        </row>
        <row r="84">
          <cell r="C84" t="str">
            <v>石家庄人民眼科</v>
          </cell>
        </row>
        <row r="85">
          <cell r="C85" t="str">
            <v>石家庄人民眼科</v>
          </cell>
          <cell r="D85" t="str">
            <v>胡仕龙</v>
          </cell>
          <cell r="E85" t="str">
            <v>男</v>
          </cell>
          <cell r="F85">
            <v>42013</v>
          </cell>
        </row>
        <row r="86">
          <cell r="C86" t="str">
            <v>石家庄人民眼科</v>
          </cell>
        </row>
        <row r="87">
          <cell r="C87" t="str">
            <v>石家庄人民眼科</v>
          </cell>
          <cell r="D87" t="str">
            <v>刘嘉恩</v>
          </cell>
          <cell r="E87" t="str">
            <v>女</v>
          </cell>
          <cell r="F87">
            <v>42787</v>
          </cell>
        </row>
        <row r="88">
          <cell r="C88" t="str">
            <v>石家庄人民眼科</v>
          </cell>
        </row>
        <row r="89">
          <cell r="C89" t="str">
            <v>石家庄人民眼科</v>
          </cell>
          <cell r="D89" t="str">
            <v>陈思丞</v>
          </cell>
          <cell r="E89" t="str">
            <v>男</v>
          </cell>
          <cell r="F89">
            <v>41618</v>
          </cell>
        </row>
        <row r="90">
          <cell r="C90" t="str">
            <v>石家庄人民眼科</v>
          </cell>
        </row>
        <row r="91">
          <cell r="C91" t="str">
            <v>石家庄人民眼科</v>
          </cell>
          <cell r="D91" t="str">
            <v>任腾悦</v>
          </cell>
          <cell r="E91" t="str">
            <v>男</v>
          </cell>
          <cell r="F91">
            <v>43301</v>
          </cell>
        </row>
        <row r="92">
          <cell r="C92" t="str">
            <v>石家庄人民眼科</v>
          </cell>
        </row>
        <row r="93">
          <cell r="C93" t="str">
            <v>石家庄人民眼科</v>
          </cell>
          <cell r="D93" t="str">
            <v>喻子昂</v>
          </cell>
          <cell r="E93" t="str">
            <v>男</v>
          </cell>
          <cell r="F93">
            <v>41263</v>
          </cell>
        </row>
        <row r="94">
          <cell r="C94" t="str">
            <v>石家庄人民眼科</v>
          </cell>
        </row>
        <row r="95">
          <cell r="C95" t="str">
            <v>石家庄人民眼科</v>
          </cell>
          <cell r="D95" t="str">
            <v>王佳琦</v>
          </cell>
          <cell r="E95" t="str">
            <v>女</v>
          </cell>
          <cell r="F95">
            <v>42453</v>
          </cell>
        </row>
        <row r="96">
          <cell r="C96" t="str">
            <v>石家庄人民眼科</v>
          </cell>
        </row>
        <row r="97">
          <cell r="C97" t="str">
            <v>石家庄人民眼科</v>
          </cell>
          <cell r="D97" t="str">
            <v>苏策勋</v>
          </cell>
          <cell r="E97" t="str">
            <v>男</v>
          </cell>
          <cell r="F97">
            <v>42621</v>
          </cell>
        </row>
        <row r="98">
          <cell r="C98" t="str">
            <v>石家庄人民眼科</v>
          </cell>
        </row>
        <row r="99">
          <cell r="C99" t="str">
            <v>石家庄人民眼科</v>
          </cell>
          <cell r="D99" t="str">
            <v>刘李慕</v>
          </cell>
          <cell r="E99" t="str">
            <v>男</v>
          </cell>
          <cell r="F99">
            <v>41977</v>
          </cell>
        </row>
        <row r="100">
          <cell r="C100" t="str">
            <v>石家庄人民眼科</v>
          </cell>
        </row>
        <row r="101">
          <cell r="C101" t="str">
            <v>北京</v>
          </cell>
          <cell r="D101" t="str">
            <v>马艺潇</v>
          </cell>
          <cell r="E101" t="str">
            <v>女</v>
          </cell>
          <cell r="F101">
            <v>40944</v>
          </cell>
        </row>
        <row r="102">
          <cell r="C102" t="str">
            <v>北京</v>
          </cell>
        </row>
        <row r="103">
          <cell r="C103" t="str">
            <v>石家庄人民眼科</v>
          </cell>
          <cell r="D103" t="str">
            <v>杨思霖</v>
          </cell>
          <cell r="E103" t="str">
            <v>男</v>
          </cell>
          <cell r="F103">
            <v>42329</v>
          </cell>
        </row>
        <row r="104">
          <cell r="C104" t="str">
            <v>石家庄人民眼科</v>
          </cell>
        </row>
        <row r="105">
          <cell r="C105" t="str">
            <v>石家庄人民眼科</v>
          </cell>
          <cell r="D105" t="str">
            <v>韩欣怡</v>
          </cell>
          <cell r="E105" t="str">
            <v>女</v>
          </cell>
          <cell r="F105">
            <v>41941</v>
          </cell>
        </row>
        <row r="106">
          <cell r="C106" t="str">
            <v>石家庄人民眼科</v>
          </cell>
        </row>
        <row r="107">
          <cell r="C107" t="str">
            <v>石家庄人民眼科</v>
          </cell>
          <cell r="D107" t="str">
            <v>张延赫</v>
          </cell>
          <cell r="E107" t="str">
            <v>男</v>
          </cell>
          <cell r="F107">
            <v>42265</v>
          </cell>
        </row>
        <row r="108">
          <cell r="C108" t="str">
            <v>石家庄人民眼科</v>
          </cell>
        </row>
        <row r="109">
          <cell r="C109" t="str">
            <v>石家庄人民眼科</v>
          </cell>
          <cell r="D109" t="str">
            <v>李润昊</v>
          </cell>
          <cell r="E109" t="str">
            <v>男</v>
          </cell>
          <cell r="F109">
            <v>42319</v>
          </cell>
        </row>
        <row r="110">
          <cell r="C110" t="str">
            <v>石家庄人民眼科</v>
          </cell>
        </row>
        <row r="111">
          <cell r="C111" t="str">
            <v>石家庄人民眼科</v>
          </cell>
          <cell r="D111" t="str">
            <v>李墨涵</v>
          </cell>
          <cell r="E111" t="str">
            <v>男</v>
          </cell>
          <cell r="F111">
            <v>41130</v>
          </cell>
        </row>
        <row r="112">
          <cell r="C112" t="str">
            <v>石家庄人民眼科</v>
          </cell>
        </row>
        <row r="113">
          <cell r="C113" t="str">
            <v>石家庄人民眼科</v>
          </cell>
          <cell r="D113" t="str">
            <v>曹浩然</v>
          </cell>
          <cell r="E113" t="str">
            <v>男</v>
          </cell>
          <cell r="F113">
            <v>43350</v>
          </cell>
        </row>
        <row r="114">
          <cell r="C114" t="str">
            <v>石家庄人民眼科</v>
          </cell>
        </row>
        <row r="115">
          <cell r="C115" t="str">
            <v>石家庄人民眼科</v>
          </cell>
          <cell r="D115" t="str">
            <v>刘峻泽</v>
          </cell>
          <cell r="E115" t="str">
            <v>男</v>
          </cell>
          <cell r="F115">
            <v>42591</v>
          </cell>
        </row>
        <row r="116">
          <cell r="C116" t="str">
            <v>石家庄人民眼科</v>
          </cell>
        </row>
        <row r="117">
          <cell r="C117" t="str">
            <v>北京</v>
          </cell>
          <cell r="D117" t="str">
            <v>王浩宇</v>
          </cell>
        </row>
        <row r="117">
          <cell r="G117" t="str">
            <v>BJ-GS-060</v>
          </cell>
        </row>
        <row r="118">
          <cell r="C118" t="str">
            <v>北京</v>
          </cell>
        </row>
        <row r="119">
          <cell r="C119" t="str">
            <v>石家庄人民眼科</v>
          </cell>
          <cell r="D119" t="str">
            <v>刘思齐</v>
          </cell>
          <cell r="E119" t="str">
            <v>女</v>
          </cell>
          <cell r="F119">
            <v>41911</v>
          </cell>
        </row>
        <row r="120">
          <cell r="C120" t="str">
            <v>石家庄人民眼科</v>
          </cell>
        </row>
        <row r="121">
          <cell r="C121" t="str">
            <v>石家庄人民眼科</v>
          </cell>
          <cell r="D121" t="str">
            <v>韩佩轩</v>
          </cell>
          <cell r="E121" t="str">
            <v>男</v>
          </cell>
          <cell r="F121">
            <v>41568</v>
          </cell>
          <cell r="G121" t="str">
            <v>SJZ-GS-062</v>
          </cell>
        </row>
        <row r="122">
          <cell r="C122" t="str">
            <v>石家庄人民眼科</v>
          </cell>
        </row>
        <row r="123">
          <cell r="C123" t="str">
            <v>石家庄人民眼科</v>
          </cell>
          <cell r="D123" t="str">
            <v>赵浩博</v>
          </cell>
          <cell r="E123" t="str">
            <v>男</v>
          </cell>
          <cell r="F123">
            <v>43050</v>
          </cell>
          <cell r="G123" t="str">
            <v>SJZ-GS-063</v>
          </cell>
        </row>
        <row r="124">
          <cell r="C124" t="str">
            <v>石家庄人民眼科</v>
          </cell>
        </row>
        <row r="125">
          <cell r="C125" t="str">
            <v>石家庄人民眼科</v>
          </cell>
          <cell r="D125" t="str">
            <v>赵诗梦</v>
          </cell>
          <cell r="E125" t="str">
            <v>女</v>
          </cell>
          <cell r="F125">
            <v>42491</v>
          </cell>
          <cell r="G125" t="str">
            <v>SJZ-GS-064</v>
          </cell>
        </row>
        <row r="126">
          <cell r="C126" t="str">
            <v>石家庄人民眼科</v>
          </cell>
        </row>
        <row r="127">
          <cell r="C127" t="str">
            <v>石家庄人民眼科</v>
          </cell>
          <cell r="D127" t="str">
            <v>李承诺</v>
          </cell>
          <cell r="E127" t="str">
            <v>男</v>
          </cell>
          <cell r="F127">
            <v>42891</v>
          </cell>
          <cell r="G127" t="str">
            <v>SJZ-GS-065</v>
          </cell>
        </row>
        <row r="128">
          <cell r="C128" t="str">
            <v>石家庄人民眼科</v>
          </cell>
        </row>
        <row r="129">
          <cell r="C129" t="str">
            <v>北京</v>
          </cell>
          <cell r="D129" t="str">
            <v>安毅欣</v>
          </cell>
          <cell r="E129" t="str">
            <v>女</v>
          </cell>
          <cell r="F129">
            <v>42629</v>
          </cell>
          <cell r="G129" t="str">
            <v>BJ-GS-066</v>
          </cell>
        </row>
        <row r="130">
          <cell r="C130" t="str">
            <v>北京</v>
          </cell>
        </row>
        <row r="131">
          <cell r="C131" t="str">
            <v>石家庄人民眼科</v>
          </cell>
          <cell r="D131" t="str">
            <v>武嘉希</v>
          </cell>
          <cell r="E131" t="str">
            <v>女</v>
          </cell>
          <cell r="F131">
            <v>43187</v>
          </cell>
          <cell r="G131" t="str">
            <v>SJZ-GS-067</v>
          </cell>
        </row>
        <row r="132">
          <cell r="C132" t="str">
            <v>石家庄人民眼科</v>
          </cell>
        </row>
        <row r="133">
          <cell r="C133" t="str">
            <v>石家庄人民眼科</v>
          </cell>
          <cell r="D133" t="str">
            <v>罗晨菲</v>
          </cell>
          <cell r="E133" t="str">
            <v>女</v>
          </cell>
          <cell r="F133">
            <v>41700</v>
          </cell>
          <cell r="G133" t="str">
            <v>SJZ-GS-068</v>
          </cell>
        </row>
        <row r="134">
          <cell r="C134" t="str">
            <v>石家庄人民眼科</v>
          </cell>
        </row>
        <row r="135">
          <cell r="C135" t="str">
            <v>石家庄人民眼科</v>
          </cell>
          <cell r="D135" t="str">
            <v>朱般诺</v>
          </cell>
          <cell r="E135" t="str">
            <v>女</v>
          </cell>
          <cell r="F135">
            <v>42328</v>
          </cell>
          <cell r="G135" t="str">
            <v>SJZ-GS-069</v>
          </cell>
        </row>
        <row r="136">
          <cell r="C136" t="str">
            <v>石家庄人民眼科</v>
          </cell>
        </row>
        <row r="137">
          <cell r="C137" t="str">
            <v>石家庄人民眼科</v>
          </cell>
          <cell r="D137" t="str">
            <v>杨谨溪</v>
          </cell>
          <cell r="E137" t="str">
            <v>女</v>
          </cell>
          <cell r="F137">
            <v>42568</v>
          </cell>
          <cell r="G137" t="str">
            <v>SJZ-GS-070</v>
          </cell>
        </row>
        <row r="138">
          <cell r="C138" t="str">
            <v>石家庄人民眼科</v>
          </cell>
        </row>
        <row r="139">
          <cell r="C139" t="str">
            <v>石家庄人民眼科</v>
          </cell>
          <cell r="D139" t="str">
            <v>朱恬熠</v>
          </cell>
          <cell r="E139" t="str">
            <v>女</v>
          </cell>
          <cell r="F139">
            <v>41260</v>
          </cell>
          <cell r="G139" t="str">
            <v>SJZ-GS-071</v>
          </cell>
        </row>
        <row r="140">
          <cell r="C140" t="str">
            <v>石家庄人民眼科</v>
          </cell>
        </row>
        <row r="141">
          <cell r="C141" t="str">
            <v>石家庄人民眼科</v>
          </cell>
          <cell r="D141" t="str">
            <v>赵奕成</v>
          </cell>
          <cell r="E141" t="str">
            <v>男</v>
          </cell>
          <cell r="F141">
            <v>41596</v>
          </cell>
          <cell r="G141" t="str">
            <v>SJZ-GS-072</v>
          </cell>
        </row>
        <row r="142">
          <cell r="C142" t="str">
            <v>石家庄人民眼科</v>
          </cell>
        </row>
        <row r="143">
          <cell r="C143" t="str">
            <v>石家庄人民眼科</v>
          </cell>
          <cell r="D143" t="str">
            <v>卢筱桐</v>
          </cell>
          <cell r="E143" t="str">
            <v>女</v>
          </cell>
          <cell r="F143">
            <v>43050</v>
          </cell>
          <cell r="G143" t="str">
            <v>SJZ-GS-073</v>
          </cell>
        </row>
        <row r="144">
          <cell r="C144" t="str">
            <v>石家庄人民眼科</v>
          </cell>
        </row>
        <row r="145">
          <cell r="C145" t="str">
            <v>石家庄人民眼科</v>
          </cell>
          <cell r="D145" t="str">
            <v>张艺然</v>
          </cell>
          <cell r="E145" t="str">
            <v>男</v>
          </cell>
          <cell r="F145">
            <v>43401</v>
          </cell>
          <cell r="G145" t="str">
            <v>SJZ-GS-074</v>
          </cell>
        </row>
        <row r="146">
          <cell r="C146" t="str">
            <v>石家庄人民眼科</v>
          </cell>
        </row>
        <row r="147">
          <cell r="C147" t="str">
            <v>石家庄人民眼科</v>
          </cell>
          <cell r="D147" t="str">
            <v>白岩泽</v>
          </cell>
          <cell r="E147" t="str">
            <v>男</v>
          </cell>
          <cell r="F147">
            <v>42413</v>
          </cell>
          <cell r="G147" t="str">
            <v>SJZ-GS-075</v>
          </cell>
        </row>
        <row r="148">
          <cell r="C148" t="str">
            <v>石家庄人民眼科</v>
          </cell>
        </row>
        <row r="149">
          <cell r="C149" t="str">
            <v>石家庄人民眼科</v>
          </cell>
          <cell r="D149" t="str">
            <v>宁芸晞</v>
          </cell>
          <cell r="E149" t="str">
            <v>女</v>
          </cell>
          <cell r="F149">
            <v>42472</v>
          </cell>
          <cell r="G149" t="str">
            <v>SJZ-GS-076</v>
          </cell>
        </row>
        <row r="150">
          <cell r="C150" t="str">
            <v>石家庄人民眼科</v>
          </cell>
        </row>
        <row r="151">
          <cell r="C151" t="str">
            <v>北京</v>
          </cell>
          <cell r="D151" t="str">
            <v>李陶然</v>
          </cell>
          <cell r="E151" t="str">
            <v>男</v>
          </cell>
          <cell r="F151">
            <v>41951</v>
          </cell>
          <cell r="G151" t="str">
            <v>BJ-GS-077</v>
          </cell>
        </row>
        <row r="152">
          <cell r="C152" t="str">
            <v>北京</v>
          </cell>
        </row>
        <row r="153">
          <cell r="C153" t="str">
            <v>石家庄人民眼科</v>
          </cell>
          <cell r="D153" t="str">
            <v>孟垂昕</v>
          </cell>
          <cell r="E153" t="str">
            <v>男</v>
          </cell>
          <cell r="F153">
            <v>43116</v>
          </cell>
          <cell r="G153" t="str">
            <v>SJZ-GS-078</v>
          </cell>
        </row>
        <row r="154">
          <cell r="C154" t="str">
            <v>石家庄人民眼科</v>
          </cell>
        </row>
        <row r="155">
          <cell r="C155" t="str">
            <v>石家庄人民眼科</v>
          </cell>
          <cell r="D155" t="str">
            <v>任梓奕</v>
          </cell>
          <cell r="E155" t="str">
            <v>男</v>
          </cell>
          <cell r="F155">
            <v>42780</v>
          </cell>
          <cell r="G155" t="str">
            <v>SJZ-GS-079</v>
          </cell>
        </row>
        <row r="156">
          <cell r="C156" t="str">
            <v>石家庄人民眼科</v>
          </cell>
        </row>
        <row r="157">
          <cell r="C157" t="str">
            <v>石家庄人民眼科</v>
          </cell>
          <cell r="D157" t="str">
            <v>赵百合</v>
          </cell>
          <cell r="E157" t="str">
            <v>女</v>
          </cell>
          <cell r="F157">
            <v>43022</v>
          </cell>
          <cell r="G157" t="str">
            <v>SJZ-GS-080</v>
          </cell>
        </row>
        <row r="158">
          <cell r="C158" t="str">
            <v>石家庄人民眼科</v>
          </cell>
        </row>
        <row r="159">
          <cell r="C159" t="str">
            <v>石家庄人民眼科</v>
          </cell>
          <cell r="D159" t="str">
            <v>马浩然</v>
          </cell>
          <cell r="E159" t="str">
            <v>男</v>
          </cell>
          <cell r="F159">
            <v>40847</v>
          </cell>
          <cell r="G159" t="str">
            <v>SJZ-GS-081</v>
          </cell>
        </row>
        <row r="160">
          <cell r="C160" t="str">
            <v>石家庄人民眼科</v>
          </cell>
        </row>
        <row r="161">
          <cell r="C161" t="str">
            <v>石家庄人民眼科</v>
          </cell>
          <cell r="D161" t="str">
            <v>尉晴希</v>
          </cell>
          <cell r="E161" t="str">
            <v>女</v>
          </cell>
          <cell r="F161">
            <v>41918</v>
          </cell>
          <cell r="G161" t="str">
            <v>SJZ-GS-082</v>
          </cell>
        </row>
        <row r="162">
          <cell r="C162" t="str">
            <v>石家庄人民眼科</v>
          </cell>
        </row>
        <row r="163">
          <cell r="C163" t="str">
            <v>石家庄人民眼科</v>
          </cell>
          <cell r="D163" t="str">
            <v>靳佩洁</v>
          </cell>
          <cell r="E163" t="str">
            <v>女</v>
          </cell>
          <cell r="F163">
            <v>42860</v>
          </cell>
          <cell r="G163" t="str">
            <v>SJZ-GS-083</v>
          </cell>
        </row>
        <row r="164">
          <cell r="C164" t="str">
            <v>石家庄人民眼科</v>
          </cell>
        </row>
        <row r="165">
          <cell r="C165" t="str">
            <v>石家庄人民眼科</v>
          </cell>
          <cell r="D165" t="str">
            <v>王麒硕</v>
          </cell>
          <cell r="E165" t="str">
            <v>男</v>
          </cell>
          <cell r="F165">
            <v>41000</v>
          </cell>
          <cell r="G165" t="str">
            <v>SJZ-GS-084</v>
          </cell>
        </row>
        <row r="166">
          <cell r="C166" t="str">
            <v>石家庄人民眼科</v>
          </cell>
        </row>
        <row r="167">
          <cell r="C167" t="str">
            <v>石家庄人民眼科</v>
          </cell>
          <cell r="D167" t="str">
            <v>李恒宇</v>
          </cell>
          <cell r="E167" t="str">
            <v>男</v>
          </cell>
          <cell r="F167">
            <v>43571</v>
          </cell>
          <cell r="G167" t="str">
            <v>SJZ-GS-085</v>
          </cell>
        </row>
        <row r="168">
          <cell r="C168" t="str">
            <v>石家庄人民眼科</v>
          </cell>
        </row>
        <row r="169">
          <cell r="C169" t="str">
            <v>石家庄人民眼科</v>
          </cell>
          <cell r="D169" t="str">
            <v>桑欣雨</v>
          </cell>
          <cell r="E169" t="str">
            <v>女</v>
          </cell>
          <cell r="F169">
            <v>42062</v>
          </cell>
          <cell r="G169" t="str">
            <v>SJZ-GS-086</v>
          </cell>
        </row>
        <row r="170">
          <cell r="C170" t="str">
            <v>石家庄人民眼科</v>
          </cell>
        </row>
        <row r="171">
          <cell r="C171" t="str">
            <v>石家庄人民眼科</v>
          </cell>
          <cell r="D171" t="str">
            <v>周语晗</v>
          </cell>
          <cell r="E171" t="str">
            <v>女</v>
          </cell>
          <cell r="F171">
            <v>41200</v>
          </cell>
          <cell r="G171" t="str">
            <v>SJZ-GS-087</v>
          </cell>
        </row>
        <row r="172">
          <cell r="C172" t="str">
            <v>石家庄人民眼科</v>
          </cell>
        </row>
        <row r="173">
          <cell r="C173" t="str">
            <v>石家庄人民眼科</v>
          </cell>
          <cell r="D173" t="str">
            <v>朱谷雨</v>
          </cell>
          <cell r="E173" t="str">
            <v>女</v>
          </cell>
          <cell r="F173">
            <v>42479</v>
          </cell>
          <cell r="G173" t="str">
            <v>SJZ-GS-088</v>
          </cell>
        </row>
        <row r="174">
          <cell r="C174" t="str">
            <v>石家庄人民眼科</v>
          </cell>
        </row>
        <row r="175">
          <cell r="C175" t="str">
            <v>石家庄人民眼科</v>
          </cell>
          <cell r="D175" t="str">
            <v>齐天培</v>
          </cell>
          <cell r="E175" t="str">
            <v>男</v>
          </cell>
          <cell r="F175">
            <v>42866</v>
          </cell>
          <cell r="G175" t="str">
            <v>SJG-GS-089</v>
          </cell>
        </row>
        <row r="176">
          <cell r="C176" t="str">
            <v>石家庄人民眼科</v>
          </cell>
        </row>
        <row r="177">
          <cell r="C177" t="str">
            <v>石家庄人民眼科</v>
          </cell>
          <cell r="D177" t="str">
            <v>张懿童</v>
          </cell>
          <cell r="E177" t="str">
            <v>男</v>
          </cell>
          <cell r="F177">
            <v>42007</v>
          </cell>
          <cell r="G177" t="str">
            <v>SJZ-GS-090</v>
          </cell>
        </row>
        <row r="178">
          <cell r="C178" t="str">
            <v>石家庄人民眼科</v>
          </cell>
        </row>
        <row r="179">
          <cell r="C179" t="str">
            <v>石家庄人民眼科</v>
          </cell>
          <cell r="D179" t="str">
            <v>刘宸睿</v>
          </cell>
          <cell r="E179" t="str">
            <v>女</v>
          </cell>
          <cell r="F179">
            <v>43372</v>
          </cell>
          <cell r="G179" t="str">
            <v>SJZ-GS-091</v>
          </cell>
        </row>
        <row r="180">
          <cell r="C180" t="str">
            <v>石家庄人民眼科</v>
          </cell>
        </row>
        <row r="181">
          <cell r="C181" t="str">
            <v>石家庄人民眼科</v>
          </cell>
          <cell r="D181" t="str">
            <v>刘昊泽</v>
          </cell>
          <cell r="E181" t="str">
            <v>男</v>
          </cell>
          <cell r="F181">
            <v>43572</v>
          </cell>
          <cell r="G181" t="str">
            <v>SJZ-GS-092</v>
          </cell>
        </row>
        <row r="182">
          <cell r="C182" t="str">
            <v>石家庄人民眼科</v>
          </cell>
        </row>
        <row r="183">
          <cell r="C183" t="str">
            <v>石家庄人民眼科</v>
          </cell>
          <cell r="D183" t="str">
            <v>齐政涵</v>
          </cell>
          <cell r="E183" t="str">
            <v>男</v>
          </cell>
          <cell r="F183">
            <v>41536</v>
          </cell>
          <cell r="G183" t="str">
            <v>SJZ-GS-093</v>
          </cell>
        </row>
        <row r="184">
          <cell r="C184" t="str">
            <v>石家庄人民眼科</v>
          </cell>
        </row>
        <row r="185">
          <cell r="C185" t="str">
            <v>石家庄人民眼科</v>
          </cell>
          <cell r="D185" t="str">
            <v>王璟琦</v>
          </cell>
          <cell r="E185" t="str">
            <v>男</v>
          </cell>
          <cell r="F185">
            <v>42691</v>
          </cell>
          <cell r="G185" t="str">
            <v>SJZ-GS-094</v>
          </cell>
        </row>
        <row r="186">
          <cell r="C186" t="str">
            <v>石家庄人民眼科</v>
          </cell>
        </row>
        <row r="187">
          <cell r="C187" t="str">
            <v>石家庄人民眼科</v>
          </cell>
          <cell r="D187" t="str">
            <v>孙笑晗</v>
          </cell>
          <cell r="E187" t="str">
            <v>女</v>
          </cell>
          <cell r="F187">
            <v>41612</v>
          </cell>
          <cell r="G187" t="str">
            <v>SJZ-GS-095</v>
          </cell>
        </row>
        <row r="188">
          <cell r="C188" t="str">
            <v>石家庄人民眼科</v>
          </cell>
        </row>
        <row r="189">
          <cell r="C189" t="str">
            <v>石家庄人民眼科</v>
          </cell>
          <cell r="D189" t="str">
            <v>马浩宇</v>
          </cell>
          <cell r="E189" t="str">
            <v>男</v>
          </cell>
          <cell r="F189">
            <v>42484</v>
          </cell>
          <cell r="G189" t="str">
            <v>SJZ-GS-096</v>
          </cell>
        </row>
        <row r="190">
          <cell r="C190" t="str">
            <v>石家庄人民眼科</v>
          </cell>
        </row>
        <row r="191">
          <cell r="C191" t="str">
            <v>石家庄人民眼科</v>
          </cell>
          <cell r="D191" t="str">
            <v>张怡诺</v>
          </cell>
          <cell r="E191" t="str">
            <v>女</v>
          </cell>
          <cell r="F191">
            <v>41781</v>
          </cell>
          <cell r="G191" t="str">
            <v>SJZ-GS-097</v>
          </cell>
        </row>
        <row r="192">
          <cell r="C192" t="str">
            <v>石家庄人民眼科</v>
          </cell>
        </row>
        <row r="193">
          <cell r="C193" t="str">
            <v>石家庄人民眼科</v>
          </cell>
          <cell r="D193" t="str">
            <v>王梓航</v>
          </cell>
          <cell r="E193" t="str">
            <v>男</v>
          </cell>
          <cell r="F193">
            <v>41229</v>
          </cell>
          <cell r="G193" t="str">
            <v>SJZ-GS-098</v>
          </cell>
        </row>
        <row r="194">
          <cell r="C194" t="str">
            <v>石家庄人民眼科</v>
          </cell>
        </row>
        <row r="195">
          <cell r="C195" t="str">
            <v>石家庄人民眼科</v>
          </cell>
          <cell r="D195" t="str">
            <v>程慧妍</v>
          </cell>
          <cell r="E195" t="str">
            <v>女</v>
          </cell>
          <cell r="F195">
            <v>43229</v>
          </cell>
          <cell r="G195" t="str">
            <v>SJZ-GS-099</v>
          </cell>
        </row>
        <row r="196">
          <cell r="C196" t="str">
            <v>石家庄人民眼科</v>
          </cell>
        </row>
        <row r="197">
          <cell r="C197" t="str">
            <v>石家庄人民眼科</v>
          </cell>
          <cell r="D197" t="str">
            <v>杨启帆</v>
          </cell>
          <cell r="E197" t="str">
            <v>男</v>
          </cell>
          <cell r="F197">
            <v>41906</v>
          </cell>
          <cell r="G197" t="str">
            <v>SJZ-GS-100</v>
          </cell>
        </row>
        <row r="198">
          <cell r="C198" t="str">
            <v>石家庄人民眼科</v>
          </cell>
        </row>
        <row r="199">
          <cell r="C199" t="str">
            <v>石家庄人民眼科</v>
          </cell>
          <cell r="D199" t="str">
            <v>李芊佑</v>
          </cell>
          <cell r="E199" t="str">
            <v>男</v>
          </cell>
          <cell r="F199">
            <v>42502</v>
          </cell>
          <cell r="G199" t="str">
            <v>SJZ-GS-101</v>
          </cell>
        </row>
        <row r="200">
          <cell r="C200" t="str">
            <v>石家庄人民眼科</v>
          </cell>
        </row>
        <row r="201">
          <cell r="C201" t="str">
            <v>北京</v>
          </cell>
          <cell r="D201" t="str">
            <v>韦婉</v>
          </cell>
          <cell r="E201" t="str">
            <v>女</v>
          </cell>
          <cell r="F201">
            <v>41870</v>
          </cell>
          <cell r="G201" t="str">
            <v>BJ-GS-102</v>
          </cell>
        </row>
        <row r="202">
          <cell r="C202" t="str">
            <v>北京</v>
          </cell>
        </row>
        <row r="203">
          <cell r="C203" t="str">
            <v>北京</v>
          </cell>
          <cell r="D203" t="str">
            <v>韦承</v>
          </cell>
          <cell r="E203" t="str">
            <v>男</v>
          </cell>
          <cell r="F203">
            <v>42773</v>
          </cell>
          <cell r="G203" t="str">
            <v>BJ-GS-103</v>
          </cell>
        </row>
        <row r="204">
          <cell r="C204" t="str">
            <v>北京</v>
          </cell>
        </row>
        <row r="205">
          <cell r="C205" t="str">
            <v>石家庄人民眼科</v>
          </cell>
          <cell r="D205" t="str">
            <v>靳钧成</v>
          </cell>
          <cell r="E205" t="str">
            <v>男</v>
          </cell>
          <cell r="F205">
            <v>42044</v>
          </cell>
          <cell r="G205" t="str">
            <v>SJZ-GS-104</v>
          </cell>
        </row>
        <row r="206">
          <cell r="C206" t="str">
            <v>石家庄人民眼科</v>
          </cell>
        </row>
        <row r="207">
          <cell r="C207" t="str">
            <v>石家庄人民眼科</v>
          </cell>
          <cell r="D207" t="str">
            <v>马语芙</v>
          </cell>
          <cell r="E207" t="str">
            <v>女</v>
          </cell>
          <cell r="F207">
            <v>42084</v>
          </cell>
          <cell r="G207" t="str">
            <v>SJZ-GS-105</v>
          </cell>
        </row>
        <row r="208">
          <cell r="C208" t="str">
            <v>石家庄人民眼科</v>
          </cell>
        </row>
        <row r="209">
          <cell r="C209" t="str">
            <v>石家庄人民眼科</v>
          </cell>
          <cell r="D209" t="str">
            <v>解颜齐</v>
          </cell>
          <cell r="E209" t="str">
            <v>女</v>
          </cell>
          <cell r="F209">
            <v>41504</v>
          </cell>
          <cell r="G209" t="str">
            <v>SJZ-GS-106</v>
          </cell>
        </row>
        <row r="210">
          <cell r="C210" t="str">
            <v>石家庄人民眼科</v>
          </cell>
        </row>
        <row r="211">
          <cell r="C211" t="str">
            <v>石家庄人民眼科</v>
          </cell>
          <cell r="D211" t="str">
            <v>范珈宁</v>
          </cell>
          <cell r="E211" t="str">
            <v>女</v>
          </cell>
          <cell r="F211">
            <v>42576</v>
          </cell>
          <cell r="G211" t="str">
            <v>SJZ-GS-107</v>
          </cell>
        </row>
        <row r="212">
          <cell r="C212" t="str">
            <v>石家庄人民眼科</v>
          </cell>
        </row>
        <row r="213">
          <cell r="C213" t="str">
            <v>石家庄人民眼科</v>
          </cell>
          <cell r="D213" t="str">
            <v>田尚泽</v>
          </cell>
          <cell r="E213" t="str">
            <v>男</v>
          </cell>
          <cell r="F213">
            <v>43159</v>
          </cell>
          <cell r="G213" t="str">
            <v>SJZ-GS-108</v>
          </cell>
        </row>
        <row r="214">
          <cell r="C214" t="str">
            <v>石家庄人民眼科</v>
          </cell>
        </row>
        <row r="215">
          <cell r="C215" t="str">
            <v>石家庄人民眼科</v>
          </cell>
          <cell r="D215" t="str">
            <v>赵苡帆</v>
          </cell>
          <cell r="E215" t="str">
            <v>女</v>
          </cell>
          <cell r="F215">
            <v>42298</v>
          </cell>
          <cell r="G215" t="str">
            <v>SJZ-GS-109</v>
          </cell>
        </row>
        <row r="216">
          <cell r="C216" t="str">
            <v>石家庄人民眼科</v>
          </cell>
        </row>
        <row r="217">
          <cell r="C217" t="str">
            <v>石家庄人民眼科</v>
          </cell>
          <cell r="D217" t="str">
            <v>赵丝羽</v>
          </cell>
          <cell r="E217" t="str">
            <v>女</v>
          </cell>
          <cell r="F217">
            <v>41431</v>
          </cell>
          <cell r="G217" t="str">
            <v>SJZ-GS-110</v>
          </cell>
        </row>
        <row r="218">
          <cell r="C218" t="str">
            <v>石家庄人民眼科</v>
          </cell>
        </row>
        <row r="219">
          <cell r="C219" t="str">
            <v>石家庄人民眼科</v>
          </cell>
          <cell r="D219" t="str">
            <v>李一天</v>
          </cell>
          <cell r="E219" t="str">
            <v>男</v>
          </cell>
          <cell r="F219">
            <v>42875</v>
          </cell>
          <cell r="G219" t="str">
            <v>SJZ-GS-112</v>
          </cell>
        </row>
        <row r="220">
          <cell r="C220" t="str">
            <v>石家庄人民眼科</v>
          </cell>
        </row>
        <row r="221">
          <cell r="C221" t="str">
            <v>北京</v>
          </cell>
          <cell r="D221" t="str">
            <v>邹承睿</v>
          </cell>
          <cell r="E221" t="str">
            <v>男</v>
          </cell>
          <cell r="F221">
            <v>42546</v>
          </cell>
          <cell r="G221" t="str">
            <v>BJ-GS-113</v>
          </cell>
        </row>
        <row r="222">
          <cell r="C222" t="str">
            <v>北京</v>
          </cell>
        </row>
        <row r="223">
          <cell r="C223" t="str">
            <v>石家庄人民眼科</v>
          </cell>
          <cell r="D223" t="str">
            <v>吴卓函</v>
          </cell>
          <cell r="E223" t="str">
            <v>女</v>
          </cell>
          <cell r="F223">
            <v>41905</v>
          </cell>
          <cell r="G223" t="str">
            <v>SJZ-GS-114</v>
          </cell>
        </row>
        <row r="225">
          <cell r="C225" t="str">
            <v>石家庄人民眼科</v>
          </cell>
          <cell r="D225" t="str">
            <v>薛舒元</v>
          </cell>
          <cell r="E225" t="str">
            <v>女</v>
          </cell>
          <cell r="F225">
            <v>42702</v>
          </cell>
          <cell r="G225" t="str">
            <v>SJZ-GS-115</v>
          </cell>
        </row>
        <row r="226">
          <cell r="C226" t="str">
            <v>石家庄人民眼科</v>
          </cell>
        </row>
        <row r="249">
          <cell r="C249" t="str">
            <v>北京</v>
          </cell>
        </row>
        <row r="250">
          <cell r="C250" t="str">
            <v>北京</v>
          </cell>
        </row>
        <row r="251">
          <cell r="C251" t="str">
            <v>石家庄人民眼科</v>
          </cell>
        </row>
        <row r="252">
          <cell r="C252" t="str">
            <v>石家庄人民眼科</v>
          </cell>
        </row>
        <row r="253">
          <cell r="C253" t="str">
            <v>石家庄人民眼科</v>
          </cell>
        </row>
        <row r="254">
          <cell r="C254" t="str">
            <v>石家庄人民眼科</v>
          </cell>
        </row>
        <row r="255">
          <cell r="C255" t="str">
            <v>石家庄人民眼科</v>
          </cell>
        </row>
        <row r="256">
          <cell r="C256" t="str">
            <v>石家庄人民眼科</v>
          </cell>
        </row>
        <row r="257">
          <cell r="C257" t="str">
            <v>石家庄人民眼科</v>
          </cell>
        </row>
        <row r="258">
          <cell r="C258" t="str">
            <v>石家庄人民眼科</v>
          </cell>
        </row>
        <row r="261">
          <cell r="C261" t="str">
            <v>北京</v>
          </cell>
        </row>
        <row r="272">
          <cell r="C272" t="str">
            <v>石家庄人民眼科</v>
          </cell>
        </row>
        <row r="273">
          <cell r="C273" t="str">
            <v>石家庄人民眼科</v>
          </cell>
        </row>
        <row r="274">
          <cell r="C274" t="str">
            <v>石家庄人民眼科</v>
          </cell>
        </row>
        <row r="287">
          <cell r="C287" t="str">
            <v>石家庄人民眼科</v>
          </cell>
        </row>
        <row r="288">
          <cell r="C288" t="str">
            <v>石家庄人民眼科</v>
          </cell>
        </row>
        <row r="289">
          <cell r="C289" t="str">
            <v>石家庄人民眼科</v>
          </cell>
        </row>
        <row r="297">
          <cell r="C297" t="str">
            <v>石家庄人民眼科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18"/>
  <sheetViews>
    <sheetView zoomScale="134" zoomScaleNormal="134" topLeftCell="G1" workbookViewId="0">
      <pane xSplit="3" ySplit="2" topLeftCell="J3" activePane="bottomRight" state="frozen"/>
      <selection/>
      <selection pane="topRight"/>
      <selection pane="bottomLeft"/>
      <selection pane="bottomRight" activeCell="G2" sqref="G2"/>
    </sheetView>
  </sheetViews>
  <sheetFormatPr defaultColWidth="8.79807692307692" defaultRowHeight="17.6"/>
  <cols>
    <col min="1" max="1" width="30.2019230769231" style="1" customWidth="1"/>
    <col min="2" max="2" width="16.1538461538462" style="110" customWidth="1"/>
    <col min="3" max="3" width="18.75" style="1" customWidth="1"/>
    <col min="4" max="4" width="12.1730769230769" style="111" customWidth="1"/>
    <col min="5" max="5" width="8.79807692307692" style="112" customWidth="1"/>
    <col min="6" max="6" width="12.0769230769231" style="113" customWidth="1"/>
    <col min="7" max="7" width="15.4903846153846" style="114" customWidth="1"/>
    <col min="8" max="8" width="8.49038461538461" style="4" customWidth="1"/>
    <col min="9" max="9" width="11.8173076923077" style="1" customWidth="1"/>
    <col min="10" max="10" width="12.5769230769231" style="1" hidden="1" customWidth="1"/>
    <col min="11" max="11" width="13.2692307692308" style="10" customWidth="1"/>
    <col min="12" max="13" width="12.7884615384615" style="10" customWidth="1"/>
    <col min="14" max="14" width="12.0769230769231" style="10" customWidth="1"/>
    <col min="15" max="15" width="10.5192307692308" style="10" customWidth="1"/>
    <col min="16" max="16" width="10.6346153846154" style="115" customWidth="1"/>
    <col min="17" max="17" width="11.8365384615385" style="6" customWidth="1"/>
    <col min="18" max="18" width="8.79807692307692" style="11" customWidth="1"/>
    <col min="19" max="19" width="12.9134615384615" style="11" customWidth="1"/>
    <col min="20" max="20" width="14.1057692307692" style="11" customWidth="1"/>
    <col min="21" max="21" width="14.7019230769231" style="11" customWidth="1"/>
    <col min="22" max="22" width="12.6730769230769" style="11" customWidth="1"/>
    <col min="23" max="23" width="13.6346153846154" style="11" customWidth="1"/>
    <col min="24" max="16384" width="8.79807692307692" style="1" customWidth="1"/>
  </cols>
  <sheetData>
    <row r="1" s="107" customFormat="1" ht="29.25" customHeight="1" spans="1:34">
      <c r="A1" s="116"/>
      <c r="B1" s="110"/>
      <c r="D1" s="117"/>
      <c r="E1" s="118"/>
      <c r="F1" s="119"/>
      <c r="G1" s="120"/>
      <c r="H1" s="4"/>
      <c r="K1" s="121" t="s">
        <v>0</v>
      </c>
      <c r="L1" s="122"/>
      <c r="M1" s="122"/>
      <c r="N1" s="123" t="s">
        <v>1</v>
      </c>
      <c r="O1" s="122"/>
      <c r="P1" s="124"/>
      <c r="Q1" s="125"/>
      <c r="R1" s="126"/>
      <c r="S1" s="127"/>
      <c r="T1" s="128" t="s">
        <v>2</v>
      </c>
      <c r="U1" s="122"/>
      <c r="V1" s="122"/>
      <c r="W1" s="124"/>
    </row>
    <row r="2" s="108" customFormat="1" ht="51" customHeight="1" spans="1:34">
      <c r="A2" s="129" t="s">
        <v>3</v>
      </c>
      <c r="B2" s="130" t="s">
        <v>4</v>
      </c>
      <c r="C2" s="131" t="s">
        <v>5</v>
      </c>
      <c r="D2" s="132" t="s">
        <v>6</v>
      </c>
      <c r="E2" s="133" t="s">
        <v>7</v>
      </c>
      <c r="F2" s="133" t="s">
        <v>8</v>
      </c>
      <c r="G2" s="134" t="s">
        <v>9</v>
      </c>
      <c r="H2" s="25" t="s">
        <v>10</v>
      </c>
      <c r="I2" s="131" t="s">
        <v>11</v>
      </c>
      <c r="J2" s="131" t="s">
        <v>12</v>
      </c>
      <c r="K2" s="135" t="s">
        <v>13</v>
      </c>
      <c r="L2" s="135" t="s">
        <v>14</v>
      </c>
      <c r="M2" s="135" t="s">
        <v>15</v>
      </c>
      <c r="N2" s="136" t="s">
        <v>16</v>
      </c>
      <c r="O2" s="136" t="s">
        <v>17</v>
      </c>
      <c r="P2" s="137" t="s">
        <v>18</v>
      </c>
      <c r="Q2" s="138" t="s">
        <v>19</v>
      </c>
      <c r="R2" s="139" t="s">
        <v>20</v>
      </c>
      <c r="S2" s="134" t="s">
        <v>21</v>
      </c>
      <c r="T2" s="140" t="s">
        <v>22</v>
      </c>
      <c r="U2" s="140" t="s">
        <v>23</v>
      </c>
      <c r="V2" s="140" t="s">
        <v>24</v>
      </c>
      <c r="W2" s="140" t="s">
        <v>25</v>
      </c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</row>
    <row r="3" s="109" customFormat="1" spans="1:34">
      <c r="A3" s="141" t="s">
        <v>26</v>
      </c>
      <c r="B3" s="142">
        <v>45577.0069444445</v>
      </c>
      <c r="C3" s="141" t="s">
        <v>27</v>
      </c>
      <c r="D3" s="143" t="s">
        <v>28</v>
      </c>
      <c r="E3" s="144" t="s">
        <v>29</v>
      </c>
      <c r="F3" s="145">
        <v>41695</v>
      </c>
      <c r="G3" s="141" t="s">
        <v>30</v>
      </c>
      <c r="H3" s="25" t="s">
        <v>31</v>
      </c>
      <c r="I3" s="141" t="s">
        <v>32</v>
      </c>
      <c r="J3" s="141" t="s">
        <v>33</v>
      </c>
      <c r="K3" s="146">
        <v>0.6</v>
      </c>
      <c r="L3" s="146">
        <v>1</v>
      </c>
      <c r="M3" s="146">
        <v>1</v>
      </c>
      <c r="N3" s="146">
        <v>-0.5</v>
      </c>
      <c r="O3" s="146">
        <v>-0.75</v>
      </c>
      <c r="P3" s="147">
        <v>170</v>
      </c>
      <c r="Q3" s="148">
        <f t="shared" ref="Q3:Q66" si="0">N3+0.5*O3</f>
        <v>-0.875</v>
      </c>
      <c r="R3" s="149" t="s">
        <v>33</v>
      </c>
      <c r="S3" s="150">
        <v>23.68</v>
      </c>
      <c r="T3" s="150">
        <v>170</v>
      </c>
      <c r="U3" s="150">
        <v>170</v>
      </c>
      <c r="V3" s="150">
        <v>100</v>
      </c>
      <c r="W3" s="150">
        <v>6</v>
      </c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</row>
    <row r="4" spans="1:34">
      <c r="A4" s="58" t="s">
        <v>26</v>
      </c>
      <c r="B4" s="142">
        <v>45577.0069444445</v>
      </c>
      <c r="C4" s="58" t="s">
        <v>27</v>
      </c>
      <c r="D4" s="151"/>
      <c r="E4" s="152"/>
      <c r="F4" s="153"/>
      <c r="G4" s="58"/>
      <c r="H4" s="25" t="s">
        <v>31</v>
      </c>
      <c r="I4" s="58"/>
      <c r="J4" s="58" t="s">
        <v>34</v>
      </c>
      <c r="K4" s="154">
        <v>0.5</v>
      </c>
      <c r="L4" s="154">
        <v>1</v>
      </c>
      <c r="M4" s="146">
        <v>1</v>
      </c>
      <c r="N4" s="154">
        <v>-1.25</v>
      </c>
      <c r="O4" s="154">
        <v>-0.75</v>
      </c>
      <c r="P4" s="155">
        <v>180</v>
      </c>
      <c r="Q4" s="148">
        <f t="shared" si="0"/>
        <v>-1.625</v>
      </c>
      <c r="R4" s="156"/>
      <c r="S4" s="157">
        <v>23.8</v>
      </c>
      <c r="T4" s="157">
        <v>170</v>
      </c>
      <c r="U4" s="157">
        <v>120</v>
      </c>
      <c r="V4" s="157">
        <v>60</v>
      </c>
      <c r="W4" s="157">
        <v>6</v>
      </c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</row>
    <row r="5" spans="1:34">
      <c r="A5" s="58" t="s">
        <v>35</v>
      </c>
      <c r="B5" s="142">
        <v>45558.00625</v>
      </c>
      <c r="C5" s="58" t="s">
        <v>27</v>
      </c>
      <c r="D5" s="151" t="s">
        <v>36</v>
      </c>
      <c r="E5" s="152" t="s">
        <v>37</v>
      </c>
      <c r="F5" s="153">
        <v>42452</v>
      </c>
      <c r="G5" s="58" t="s">
        <v>38</v>
      </c>
      <c r="H5" s="25" t="s">
        <v>39</v>
      </c>
      <c r="I5" s="58" t="s">
        <v>32</v>
      </c>
      <c r="J5" s="58" t="s">
        <v>33</v>
      </c>
      <c r="K5" s="154">
        <v>0.4</v>
      </c>
      <c r="L5" s="154">
        <v>1</v>
      </c>
      <c r="M5" s="146">
        <v>1</v>
      </c>
      <c r="N5" s="154">
        <v>-0.75</v>
      </c>
      <c r="O5" s="154">
        <v>-0.5</v>
      </c>
      <c r="P5" s="155">
        <v>25</v>
      </c>
      <c r="Q5" s="148">
        <f t="shared" si="0"/>
        <v>-1</v>
      </c>
      <c r="R5" s="156" t="s">
        <v>33</v>
      </c>
      <c r="S5" s="157">
        <v>23.27</v>
      </c>
      <c r="T5" s="157">
        <v>170</v>
      </c>
      <c r="U5" s="157">
        <v>170</v>
      </c>
      <c r="V5" s="157">
        <v>100</v>
      </c>
      <c r="W5" s="157">
        <v>6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</row>
    <row r="6" spans="1:34">
      <c r="A6" s="58" t="s">
        <v>35</v>
      </c>
      <c r="B6" s="142">
        <v>45558.00625</v>
      </c>
      <c r="C6" s="58" t="s">
        <v>27</v>
      </c>
      <c r="D6" s="151"/>
      <c r="E6" s="152"/>
      <c r="F6" s="153"/>
      <c r="G6" s="58"/>
      <c r="H6" s="25" t="s">
        <v>39</v>
      </c>
      <c r="I6" s="58"/>
      <c r="J6" s="58" t="s">
        <v>34</v>
      </c>
      <c r="K6" s="154">
        <v>0.3</v>
      </c>
      <c r="L6" s="154">
        <v>1</v>
      </c>
      <c r="M6" s="146">
        <v>1</v>
      </c>
      <c r="N6" s="154">
        <v>-1.5</v>
      </c>
      <c r="O6" s="154">
        <v>0</v>
      </c>
      <c r="P6" s="155">
        <v>0</v>
      </c>
      <c r="Q6" s="148">
        <f t="shared" si="0"/>
        <v>-1.5</v>
      </c>
      <c r="R6" s="156"/>
      <c r="S6" s="157">
        <v>23.61</v>
      </c>
      <c r="T6" s="157">
        <v>170</v>
      </c>
      <c r="U6" s="157">
        <v>170</v>
      </c>
      <c r="V6" s="157">
        <v>80</v>
      </c>
      <c r="W6" s="157">
        <v>24</v>
      </c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</row>
    <row r="7" spans="1:34">
      <c r="A7" s="58" t="s">
        <v>40</v>
      </c>
      <c r="B7" s="142">
        <v>45570.0069444445</v>
      </c>
      <c r="C7" s="58" t="s">
        <v>27</v>
      </c>
      <c r="D7" s="151" t="s">
        <v>41</v>
      </c>
      <c r="E7" s="152" t="s">
        <v>37</v>
      </c>
      <c r="F7" s="153">
        <v>41383</v>
      </c>
      <c r="G7" s="58" t="s">
        <v>42</v>
      </c>
      <c r="H7" s="25" t="s">
        <v>31</v>
      </c>
      <c r="I7" s="58" t="s">
        <v>32</v>
      </c>
      <c r="J7" s="58" t="s">
        <v>33</v>
      </c>
      <c r="K7" s="154">
        <v>0.5</v>
      </c>
      <c r="L7" s="154">
        <v>1</v>
      </c>
      <c r="M7" s="146">
        <v>1</v>
      </c>
      <c r="N7" s="154">
        <v>-3.25</v>
      </c>
      <c r="O7" s="154">
        <v>-0.75</v>
      </c>
      <c r="P7" s="155">
        <v>160</v>
      </c>
      <c r="Q7" s="148">
        <f t="shared" si="0"/>
        <v>-3.625</v>
      </c>
      <c r="R7" s="156" t="s">
        <v>33</v>
      </c>
      <c r="S7" s="157">
        <v>24.57</v>
      </c>
      <c r="T7" s="157">
        <v>170</v>
      </c>
      <c r="U7" s="157">
        <v>170</v>
      </c>
      <c r="V7" s="157">
        <v>60</v>
      </c>
      <c r="W7" s="157">
        <v>15</v>
      </c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</row>
    <row r="8" spans="1:34">
      <c r="A8" s="58" t="s">
        <v>40</v>
      </c>
      <c r="B8" s="142">
        <v>45570.0069444445</v>
      </c>
      <c r="C8" s="58" t="s">
        <v>27</v>
      </c>
      <c r="D8" s="151"/>
      <c r="E8" s="152"/>
      <c r="F8" s="153"/>
      <c r="G8" s="58"/>
      <c r="H8" s="25" t="s">
        <v>31</v>
      </c>
      <c r="I8" s="58"/>
      <c r="J8" s="58" t="s">
        <v>34</v>
      </c>
      <c r="K8" s="154">
        <v>0.5</v>
      </c>
      <c r="L8" s="154">
        <v>1</v>
      </c>
      <c r="M8" s="146">
        <v>1</v>
      </c>
      <c r="N8" s="154">
        <v>-3.5</v>
      </c>
      <c r="O8" s="154">
        <v>-0.75</v>
      </c>
      <c r="P8" s="155">
        <v>10</v>
      </c>
      <c r="Q8" s="148">
        <f t="shared" si="0"/>
        <v>-3.875</v>
      </c>
      <c r="R8" s="156"/>
      <c r="S8" s="157">
        <v>24.69</v>
      </c>
      <c r="T8" s="157">
        <v>170</v>
      </c>
      <c r="U8" s="157">
        <v>170</v>
      </c>
      <c r="V8" s="157">
        <v>60</v>
      </c>
      <c r="W8" s="157">
        <v>6</v>
      </c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</row>
    <row r="9" spans="1:34">
      <c r="B9" s="158">
        <v>45604</v>
      </c>
      <c r="C9" s="58" t="s">
        <v>27</v>
      </c>
      <c r="D9" s="151" t="s">
        <v>43</v>
      </c>
      <c r="E9" s="159" t="s">
        <v>37</v>
      </c>
      <c r="F9" s="160">
        <v>41579</v>
      </c>
      <c r="G9" s="58" t="s">
        <v>44</v>
      </c>
      <c r="H9" s="25" t="s">
        <v>45</v>
      </c>
      <c r="I9" s="58" t="s">
        <v>32</v>
      </c>
      <c r="J9" s="58" t="s">
        <v>33</v>
      </c>
      <c r="K9" s="10">
        <v>0.2</v>
      </c>
      <c r="L9" s="161">
        <v>1</v>
      </c>
      <c r="M9" s="161">
        <v>1</v>
      </c>
      <c r="N9" s="10">
        <v>-2.5</v>
      </c>
      <c r="O9" s="10">
        <v>-0.5</v>
      </c>
      <c r="P9" s="162">
        <v>5</v>
      </c>
      <c r="Q9" s="148">
        <f t="shared" si="0"/>
        <v>-2.75</v>
      </c>
      <c r="R9" s="163" t="s">
        <v>33</v>
      </c>
      <c r="S9" s="11">
        <v>23.64</v>
      </c>
      <c r="T9" s="11">
        <v>170</v>
      </c>
      <c r="U9" s="11">
        <v>120</v>
      </c>
      <c r="V9" s="11">
        <v>80</v>
      </c>
      <c r="W9" s="11">
        <v>6</v>
      </c>
    </row>
    <row r="10" spans="1:34">
      <c r="B10" s="158"/>
      <c r="C10" s="58" t="s">
        <v>27</v>
      </c>
      <c r="D10" s="151"/>
      <c r="G10" s="58"/>
      <c r="H10" s="25" t="s">
        <v>45</v>
      </c>
      <c r="I10" s="58"/>
      <c r="J10" s="58" t="s">
        <v>34</v>
      </c>
      <c r="K10" s="10">
        <v>0.2</v>
      </c>
      <c r="L10" s="154">
        <v>1</v>
      </c>
      <c r="M10" s="146">
        <v>1</v>
      </c>
      <c r="N10" s="10">
        <v>-2.75</v>
      </c>
      <c r="O10" s="10">
        <v>-0.75</v>
      </c>
      <c r="P10" s="162">
        <v>150</v>
      </c>
      <c r="Q10" s="148">
        <f t="shared" si="0"/>
        <v>-3.125</v>
      </c>
      <c r="S10" s="11">
        <v>23.76</v>
      </c>
      <c r="T10" s="11">
        <v>170</v>
      </c>
      <c r="U10" s="11">
        <v>170</v>
      </c>
      <c r="V10" s="11">
        <v>120</v>
      </c>
      <c r="W10" s="11">
        <v>24</v>
      </c>
    </row>
    <row r="11" spans="1:34">
      <c r="B11" s="158">
        <v>45604</v>
      </c>
      <c r="C11" s="58" t="s">
        <v>27</v>
      </c>
      <c r="D11" s="151" t="s">
        <v>46</v>
      </c>
      <c r="E11" s="159" t="s">
        <v>37</v>
      </c>
      <c r="F11" s="160">
        <v>41504</v>
      </c>
      <c r="G11" s="58" t="s">
        <v>47</v>
      </c>
      <c r="H11" s="25" t="s">
        <v>48</v>
      </c>
      <c r="I11" s="58" t="s">
        <v>32</v>
      </c>
      <c r="J11" s="58" t="s">
        <v>33</v>
      </c>
      <c r="K11" s="10">
        <v>0.15</v>
      </c>
      <c r="L11" s="161">
        <v>1</v>
      </c>
      <c r="M11" s="161">
        <v>1</v>
      </c>
      <c r="N11" s="10">
        <v>-2.5</v>
      </c>
      <c r="O11" s="10">
        <v>-0.75</v>
      </c>
      <c r="P11" s="162">
        <v>165</v>
      </c>
      <c r="Q11" s="148">
        <f t="shared" si="0"/>
        <v>-2.875</v>
      </c>
      <c r="R11" s="164" t="s">
        <v>34</v>
      </c>
      <c r="S11" s="163">
        <v>25.29</v>
      </c>
      <c r="T11" s="163">
        <v>170</v>
      </c>
      <c r="U11" s="163">
        <v>170</v>
      </c>
      <c r="V11" s="163">
        <v>80</v>
      </c>
      <c r="W11" s="163">
        <v>24</v>
      </c>
      <c r="X11" s="42"/>
      <c r="Y11" s="42"/>
    </row>
    <row r="12" spans="1:34">
      <c r="C12" s="58" t="s">
        <v>27</v>
      </c>
      <c r="D12" s="151"/>
      <c r="G12" s="58"/>
      <c r="H12" s="25" t="s">
        <v>48</v>
      </c>
      <c r="I12" s="58"/>
      <c r="J12" s="58" t="s">
        <v>34</v>
      </c>
      <c r="K12" s="10">
        <v>0.25</v>
      </c>
      <c r="L12" s="161">
        <v>1</v>
      </c>
      <c r="M12" s="161">
        <v>1</v>
      </c>
      <c r="N12" s="10">
        <v>-2.75</v>
      </c>
      <c r="Q12" s="148">
        <f t="shared" si="0"/>
        <v>-2.75</v>
      </c>
      <c r="R12" s="165"/>
      <c r="S12" s="163">
        <v>25.48</v>
      </c>
      <c r="T12" s="163">
        <v>170</v>
      </c>
      <c r="U12" s="163">
        <v>170</v>
      </c>
      <c r="V12" s="163">
        <v>80</v>
      </c>
      <c r="W12" s="163">
        <v>6</v>
      </c>
      <c r="X12" s="42"/>
      <c r="Y12" s="42"/>
    </row>
    <row r="13" spans="1:34">
      <c r="B13" s="158">
        <v>45604</v>
      </c>
      <c r="C13" s="58" t="s">
        <v>27</v>
      </c>
      <c r="D13" s="151" t="s">
        <v>49</v>
      </c>
      <c r="E13" s="159" t="s">
        <v>37</v>
      </c>
      <c r="F13" s="166">
        <v>41504</v>
      </c>
      <c r="G13" s="58" t="s">
        <v>50</v>
      </c>
      <c r="H13" s="25" t="s">
        <v>45</v>
      </c>
      <c r="I13" s="58" t="s">
        <v>32</v>
      </c>
      <c r="J13" s="58" t="s">
        <v>33</v>
      </c>
      <c r="K13" s="161">
        <v>0.2</v>
      </c>
      <c r="L13" s="161">
        <v>1</v>
      </c>
      <c r="M13" s="161">
        <v>1</v>
      </c>
      <c r="N13" s="10">
        <v>-3</v>
      </c>
      <c r="O13" s="10">
        <v>-0.75</v>
      </c>
      <c r="P13" s="162">
        <v>170</v>
      </c>
      <c r="Q13" s="148">
        <f t="shared" si="0"/>
        <v>-3.375</v>
      </c>
      <c r="R13" s="164" t="s">
        <v>33</v>
      </c>
      <c r="S13" s="11">
        <v>25.43</v>
      </c>
      <c r="T13" s="11">
        <v>170</v>
      </c>
      <c r="U13" s="11">
        <v>170</v>
      </c>
      <c r="V13" s="11">
        <v>100</v>
      </c>
      <c r="W13" s="11">
        <v>24</v>
      </c>
      <c r="X13" s="42"/>
      <c r="Y13" s="42"/>
    </row>
    <row r="14" spans="1:34">
      <c r="C14" s="58" t="s">
        <v>27</v>
      </c>
      <c r="D14" s="151"/>
      <c r="G14" s="58"/>
      <c r="H14" s="25" t="s">
        <v>45</v>
      </c>
      <c r="I14" s="58"/>
      <c r="J14" s="58" t="s">
        <v>34</v>
      </c>
      <c r="K14" s="161">
        <v>0.2</v>
      </c>
      <c r="L14" s="161">
        <v>1</v>
      </c>
      <c r="M14" s="161">
        <v>1</v>
      </c>
      <c r="N14" s="10">
        <v>-2.75</v>
      </c>
      <c r="O14" s="10">
        <v>-0.5</v>
      </c>
      <c r="P14" s="162">
        <v>5</v>
      </c>
      <c r="Q14" s="148">
        <f t="shared" si="0"/>
        <v>-3</v>
      </c>
      <c r="R14" s="165"/>
      <c r="S14" s="11">
        <v>25.24</v>
      </c>
      <c r="T14" s="11">
        <v>170</v>
      </c>
      <c r="U14" s="11">
        <v>170</v>
      </c>
      <c r="V14" s="11">
        <v>80</v>
      </c>
      <c r="W14" s="11">
        <v>6</v>
      </c>
      <c r="X14" s="42"/>
      <c r="Y14" s="42"/>
    </row>
    <row r="15" spans="1:34">
      <c r="A15" s="58"/>
      <c r="B15" s="167">
        <v>45984</v>
      </c>
      <c r="C15" s="58" t="s">
        <v>27</v>
      </c>
      <c r="D15" s="151" t="s">
        <v>51</v>
      </c>
      <c r="E15" s="152" t="s">
        <v>37</v>
      </c>
      <c r="F15" s="153">
        <v>41966</v>
      </c>
      <c r="G15" s="58" t="s">
        <v>52</v>
      </c>
      <c r="H15" s="25" t="s">
        <v>39</v>
      </c>
      <c r="I15" s="58" t="s">
        <v>32</v>
      </c>
      <c r="J15" s="58" t="s">
        <v>33</v>
      </c>
      <c r="K15" s="154">
        <v>0.3</v>
      </c>
      <c r="L15" s="154">
        <v>1</v>
      </c>
      <c r="M15" s="154">
        <v>1</v>
      </c>
      <c r="N15" s="154">
        <v>-2</v>
      </c>
      <c r="O15" s="154">
        <v>0</v>
      </c>
      <c r="P15" s="155">
        <v>0</v>
      </c>
      <c r="Q15" s="148">
        <f t="shared" si="0"/>
        <v>-2</v>
      </c>
      <c r="R15" s="156" t="s">
        <v>33</v>
      </c>
      <c r="S15" s="157">
        <v>24.92</v>
      </c>
      <c r="T15" s="157">
        <v>170</v>
      </c>
      <c r="U15" s="11">
        <v>170</v>
      </c>
      <c r="V15" s="157">
        <v>45</v>
      </c>
      <c r="W15" s="157">
        <v>4</v>
      </c>
      <c r="X15" s="59"/>
      <c r="Y15" s="59"/>
      <c r="Z15" s="58"/>
      <c r="AA15" s="58"/>
      <c r="AB15" s="58"/>
      <c r="AC15" s="58"/>
      <c r="AD15" s="58"/>
      <c r="AE15" s="58"/>
      <c r="AF15" s="58"/>
      <c r="AG15" s="58"/>
      <c r="AH15" s="58"/>
    </row>
    <row r="16" spans="1:34">
      <c r="A16" s="58"/>
      <c r="B16" s="167"/>
      <c r="C16" s="58" t="s">
        <v>27</v>
      </c>
      <c r="D16" s="151"/>
      <c r="E16" s="152"/>
      <c r="F16" s="153"/>
      <c r="G16" s="58"/>
      <c r="H16" s="25" t="s">
        <v>39</v>
      </c>
      <c r="I16" s="58"/>
      <c r="J16" s="58" t="s">
        <v>34</v>
      </c>
      <c r="K16" s="154">
        <v>0.3</v>
      </c>
      <c r="L16" s="154">
        <v>1</v>
      </c>
      <c r="M16" s="154">
        <v>1</v>
      </c>
      <c r="N16" s="154">
        <v>-2</v>
      </c>
      <c r="O16" s="154">
        <v>-0.5</v>
      </c>
      <c r="P16" s="155">
        <v>155</v>
      </c>
      <c r="Q16" s="148">
        <f t="shared" si="0"/>
        <v>-2.25</v>
      </c>
      <c r="R16" s="156"/>
      <c r="S16" s="157">
        <v>25.2</v>
      </c>
      <c r="T16" s="163">
        <v>170</v>
      </c>
      <c r="U16" s="11">
        <v>170</v>
      </c>
      <c r="V16" s="157">
        <v>45</v>
      </c>
      <c r="W16" s="157">
        <v>6</v>
      </c>
      <c r="X16" s="59"/>
      <c r="Y16" s="59"/>
      <c r="Z16" s="58"/>
      <c r="AA16" s="58"/>
      <c r="AB16" s="58"/>
      <c r="AC16" s="58"/>
      <c r="AD16" s="58"/>
      <c r="AE16" s="58"/>
      <c r="AF16" s="58"/>
      <c r="AG16" s="58"/>
      <c r="AH16" s="58"/>
    </row>
    <row r="17" spans="1:47">
      <c r="A17" s="58"/>
      <c r="B17" s="167">
        <v>45619</v>
      </c>
      <c r="C17" s="58" t="s">
        <v>27</v>
      </c>
      <c r="D17" s="151" t="s">
        <v>53</v>
      </c>
      <c r="E17" s="152" t="s">
        <v>37</v>
      </c>
      <c r="F17" s="153">
        <v>41306</v>
      </c>
      <c r="G17" s="58" t="s">
        <v>54</v>
      </c>
      <c r="H17" s="25" t="s">
        <v>39</v>
      </c>
      <c r="I17" s="58" t="s">
        <v>32</v>
      </c>
      <c r="J17" s="58" t="s">
        <v>33</v>
      </c>
      <c r="K17" s="154">
        <v>0.8</v>
      </c>
      <c r="L17" s="154">
        <v>1</v>
      </c>
      <c r="M17" s="154">
        <v>1</v>
      </c>
      <c r="N17" s="154">
        <v>-0.5</v>
      </c>
      <c r="O17" s="154">
        <v>-1.25</v>
      </c>
      <c r="P17" s="155">
        <v>170</v>
      </c>
      <c r="Q17" s="148">
        <f t="shared" si="0"/>
        <v>-1.125</v>
      </c>
      <c r="R17" s="156" t="s">
        <v>33</v>
      </c>
      <c r="S17" s="157">
        <v>23.42</v>
      </c>
      <c r="T17" s="11">
        <v>170</v>
      </c>
      <c r="U17" s="11">
        <v>170</v>
      </c>
      <c r="V17" s="157">
        <v>80</v>
      </c>
      <c r="W17" s="157">
        <v>6</v>
      </c>
      <c r="X17" s="59"/>
      <c r="Y17" s="59"/>
      <c r="Z17" s="58"/>
      <c r="AA17" s="58"/>
      <c r="AB17" s="58"/>
      <c r="AC17" s="58"/>
      <c r="AD17" s="58"/>
      <c r="AE17" s="58"/>
      <c r="AF17" s="58"/>
      <c r="AG17" s="58"/>
      <c r="AH17" s="58"/>
    </row>
    <row r="18" spans="1:47">
      <c r="A18" s="58"/>
      <c r="B18" s="167"/>
      <c r="C18" s="58" t="s">
        <v>27</v>
      </c>
      <c r="D18" s="151"/>
      <c r="E18" s="152"/>
      <c r="F18" s="153"/>
      <c r="G18" s="58"/>
      <c r="H18" s="25" t="s">
        <v>39</v>
      </c>
      <c r="I18" s="58"/>
      <c r="J18" s="58" t="s">
        <v>34</v>
      </c>
      <c r="K18" s="154">
        <v>0.8</v>
      </c>
      <c r="L18" s="154">
        <v>1</v>
      </c>
      <c r="M18" s="154">
        <v>1</v>
      </c>
      <c r="N18" s="154">
        <v>-0.25</v>
      </c>
      <c r="O18" s="154">
        <v>-1.25</v>
      </c>
      <c r="P18" s="155">
        <v>5</v>
      </c>
      <c r="Q18" s="148">
        <f t="shared" si="0"/>
        <v>-0.875</v>
      </c>
      <c r="R18" s="156"/>
      <c r="S18" s="157">
        <v>23.21</v>
      </c>
      <c r="T18" s="11">
        <v>170</v>
      </c>
      <c r="U18" s="11">
        <v>170</v>
      </c>
      <c r="V18" s="157">
        <v>60</v>
      </c>
      <c r="W18" s="157">
        <v>4</v>
      </c>
      <c r="X18" s="59"/>
      <c r="Y18" s="59"/>
      <c r="Z18" s="58"/>
      <c r="AA18" s="58"/>
      <c r="AB18" s="58"/>
      <c r="AC18" s="58"/>
      <c r="AD18" s="58"/>
      <c r="AE18" s="58"/>
      <c r="AF18" s="58"/>
      <c r="AG18" s="58"/>
      <c r="AH18" s="58"/>
    </row>
    <row r="19" spans="1:47">
      <c r="A19" s="81"/>
      <c r="B19" s="158">
        <v>45634</v>
      </c>
      <c r="C19" s="58" t="s">
        <v>27</v>
      </c>
      <c r="D19" s="151" t="s">
        <v>55</v>
      </c>
      <c r="E19" s="159" t="s">
        <v>29</v>
      </c>
      <c r="F19" s="160">
        <v>42299</v>
      </c>
      <c r="G19" s="58" t="s">
        <v>56</v>
      </c>
      <c r="H19" s="25" t="s">
        <v>48</v>
      </c>
      <c r="I19" s="58" t="s">
        <v>32</v>
      </c>
      <c r="J19" s="58" t="s">
        <v>33</v>
      </c>
      <c r="K19" s="10">
        <v>0.5</v>
      </c>
      <c r="L19" s="10">
        <v>1</v>
      </c>
      <c r="M19" s="10">
        <v>1</v>
      </c>
      <c r="N19" s="10">
        <v>-1.25</v>
      </c>
      <c r="O19" s="10">
        <v>-0.25</v>
      </c>
      <c r="P19" s="115">
        <v>170</v>
      </c>
      <c r="Q19" s="148">
        <f t="shared" si="0"/>
        <v>-1.375</v>
      </c>
      <c r="R19" s="163" t="s">
        <v>33</v>
      </c>
      <c r="S19" s="11">
        <v>24.03</v>
      </c>
      <c r="T19" s="157">
        <v>170</v>
      </c>
      <c r="U19" s="11">
        <v>170</v>
      </c>
      <c r="V19" s="11">
        <v>60</v>
      </c>
      <c r="W19" s="11">
        <v>6</v>
      </c>
    </row>
    <row r="20" spans="1:47">
      <c r="C20" s="58" t="s">
        <v>27</v>
      </c>
      <c r="D20" s="151"/>
      <c r="E20" s="159"/>
      <c r="G20" s="58"/>
      <c r="H20" s="25" t="s">
        <v>48</v>
      </c>
      <c r="I20" s="58"/>
      <c r="J20" s="58" t="s">
        <v>34</v>
      </c>
      <c r="K20" s="10">
        <v>0.6</v>
      </c>
      <c r="L20" s="10">
        <v>1</v>
      </c>
      <c r="M20" s="10">
        <v>1</v>
      </c>
      <c r="N20" s="10">
        <v>-0.75</v>
      </c>
      <c r="O20" s="10">
        <v>-0.25</v>
      </c>
      <c r="P20" s="115">
        <v>165</v>
      </c>
      <c r="Q20" s="148">
        <f t="shared" si="0"/>
        <v>-0.875</v>
      </c>
      <c r="S20" s="11">
        <v>23.99</v>
      </c>
      <c r="T20" s="163">
        <v>170</v>
      </c>
      <c r="U20" s="11">
        <v>170</v>
      </c>
      <c r="V20" s="11">
        <v>45</v>
      </c>
      <c r="W20" s="11">
        <v>6</v>
      </c>
    </row>
    <row r="21" spans="1:47">
      <c r="B21" s="158">
        <v>45626</v>
      </c>
      <c r="C21" s="58" t="s">
        <v>27</v>
      </c>
      <c r="D21" s="151" t="s">
        <v>57</v>
      </c>
      <c r="E21" s="159" t="s">
        <v>29</v>
      </c>
      <c r="F21" s="160">
        <v>40620</v>
      </c>
      <c r="G21" s="58" t="s">
        <v>58</v>
      </c>
      <c r="H21" s="25" t="s">
        <v>39</v>
      </c>
      <c r="I21" s="58" t="s">
        <v>32</v>
      </c>
      <c r="J21" s="58" t="s">
        <v>33</v>
      </c>
      <c r="K21" s="10">
        <v>0.12</v>
      </c>
      <c r="L21" s="10">
        <v>1</v>
      </c>
      <c r="M21" s="10">
        <v>1</v>
      </c>
      <c r="N21" s="10">
        <v>-3</v>
      </c>
      <c r="O21" s="10">
        <v>-0.5</v>
      </c>
      <c r="P21" s="115">
        <v>170</v>
      </c>
      <c r="Q21" s="148">
        <f t="shared" si="0"/>
        <v>-3.25</v>
      </c>
      <c r="R21" s="163" t="s">
        <v>33</v>
      </c>
      <c r="S21" s="11">
        <v>25.34</v>
      </c>
      <c r="T21" s="11">
        <v>170</v>
      </c>
      <c r="U21" s="11">
        <v>170</v>
      </c>
      <c r="V21" s="11">
        <v>60</v>
      </c>
      <c r="W21" s="11">
        <v>24</v>
      </c>
    </row>
    <row r="22" spans="1:47">
      <c r="C22" s="58" t="s">
        <v>27</v>
      </c>
      <c r="D22" s="151"/>
      <c r="E22" s="159"/>
      <c r="G22" s="58"/>
      <c r="H22" s="25" t="s">
        <v>39</v>
      </c>
      <c r="I22" s="58"/>
      <c r="J22" s="58" t="s">
        <v>34</v>
      </c>
      <c r="K22" s="10">
        <v>0.12</v>
      </c>
      <c r="L22" s="10">
        <v>1</v>
      </c>
      <c r="M22" s="10">
        <v>1</v>
      </c>
      <c r="N22" s="10">
        <v>-3</v>
      </c>
      <c r="O22" s="10">
        <v>-0.5</v>
      </c>
      <c r="P22" s="115">
        <v>175</v>
      </c>
      <c r="Q22" s="148">
        <f t="shared" si="0"/>
        <v>-3.25</v>
      </c>
      <c r="S22" s="11">
        <v>25.12</v>
      </c>
      <c r="T22" s="11">
        <v>170</v>
      </c>
      <c r="U22" s="11">
        <v>170</v>
      </c>
      <c r="V22" s="11">
        <v>80</v>
      </c>
      <c r="W22" s="11">
        <v>6</v>
      </c>
    </row>
    <row r="23" spans="1:47">
      <c r="B23" s="158">
        <v>45626</v>
      </c>
      <c r="C23" s="58" t="s">
        <v>27</v>
      </c>
      <c r="D23" s="151" t="s">
        <v>59</v>
      </c>
      <c r="E23" s="159" t="s">
        <v>37</v>
      </c>
      <c r="F23" s="160">
        <v>42553</v>
      </c>
      <c r="G23" s="58" t="s">
        <v>60</v>
      </c>
      <c r="H23" s="25" t="s">
        <v>39</v>
      </c>
      <c r="I23" s="58" t="s">
        <v>32</v>
      </c>
      <c r="J23" s="58" t="s">
        <v>33</v>
      </c>
      <c r="K23" s="10">
        <v>0.6</v>
      </c>
      <c r="L23" s="161">
        <v>1</v>
      </c>
      <c r="M23" s="161">
        <v>1</v>
      </c>
      <c r="N23" s="10">
        <v>-1.5</v>
      </c>
      <c r="O23" s="10">
        <v>-1.5</v>
      </c>
      <c r="P23" s="162">
        <v>180</v>
      </c>
      <c r="Q23" s="148">
        <f t="shared" si="0"/>
        <v>-2.25</v>
      </c>
      <c r="R23" s="163" t="s">
        <v>33</v>
      </c>
      <c r="S23" s="11">
        <v>24.6</v>
      </c>
      <c r="T23" s="157">
        <v>170</v>
      </c>
      <c r="U23" s="11">
        <v>170</v>
      </c>
      <c r="V23" s="11">
        <v>80</v>
      </c>
      <c r="W23" s="11">
        <v>6</v>
      </c>
    </row>
    <row r="24" spans="1:47">
      <c r="C24" s="58" t="s">
        <v>27</v>
      </c>
      <c r="D24" s="151"/>
      <c r="E24" s="159"/>
      <c r="G24" s="58"/>
      <c r="H24" s="25" t="s">
        <v>39</v>
      </c>
      <c r="J24" s="58" t="s">
        <v>34</v>
      </c>
      <c r="K24" s="10">
        <v>0.4</v>
      </c>
      <c r="L24" s="161">
        <v>1</v>
      </c>
      <c r="M24" s="161">
        <v>1</v>
      </c>
      <c r="N24" s="10">
        <v>-1.5</v>
      </c>
      <c r="O24" s="10">
        <v>-1.5</v>
      </c>
      <c r="P24" s="162">
        <v>5</v>
      </c>
      <c r="Q24" s="148">
        <f t="shared" si="0"/>
        <v>-2.25</v>
      </c>
      <c r="S24" s="11">
        <v>24.75</v>
      </c>
      <c r="T24" s="163">
        <v>170</v>
      </c>
      <c r="U24" s="11">
        <v>170</v>
      </c>
      <c r="V24" s="11">
        <v>80</v>
      </c>
      <c r="W24" s="11">
        <v>6</v>
      </c>
    </row>
    <row r="25" spans="1:47">
      <c r="A25" s="58"/>
      <c r="B25" s="167">
        <v>45626</v>
      </c>
      <c r="C25" s="58" t="s">
        <v>27</v>
      </c>
      <c r="D25" s="151" t="s">
        <v>61</v>
      </c>
      <c r="E25" s="152" t="s">
        <v>37</v>
      </c>
      <c r="F25" s="153">
        <v>42755</v>
      </c>
      <c r="G25" s="58" t="s">
        <v>62</v>
      </c>
      <c r="H25" s="25" t="s">
        <v>31</v>
      </c>
      <c r="I25" s="58" t="s">
        <v>32</v>
      </c>
      <c r="J25" s="58" t="s">
        <v>33</v>
      </c>
      <c r="K25" s="154">
        <v>0.5</v>
      </c>
      <c r="L25" s="154">
        <v>1</v>
      </c>
      <c r="M25" s="154">
        <v>1</v>
      </c>
      <c r="N25" s="154">
        <v>-1.75</v>
      </c>
      <c r="O25" s="154">
        <v>-0.25</v>
      </c>
      <c r="P25" s="155">
        <v>175</v>
      </c>
      <c r="Q25" s="148">
        <f t="shared" si="0"/>
        <v>-1.875</v>
      </c>
      <c r="R25" s="156" t="s">
        <v>34</v>
      </c>
      <c r="S25" s="157">
        <v>24.09</v>
      </c>
      <c r="T25" s="11">
        <v>170</v>
      </c>
      <c r="U25" s="11">
        <v>170</v>
      </c>
      <c r="V25" s="157">
        <v>60</v>
      </c>
      <c r="W25" s="157">
        <v>8</v>
      </c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</row>
    <row r="26" spans="1:47">
      <c r="A26" s="58"/>
      <c r="B26" s="142"/>
      <c r="C26" s="58" t="s">
        <v>27</v>
      </c>
      <c r="D26" s="151"/>
      <c r="E26" s="152"/>
      <c r="F26" s="153"/>
      <c r="G26" s="58"/>
      <c r="H26" s="25" t="s">
        <v>31</v>
      </c>
      <c r="J26" s="58" t="s">
        <v>34</v>
      </c>
      <c r="K26" s="154">
        <v>0.5</v>
      </c>
      <c r="L26" s="154">
        <v>1</v>
      </c>
      <c r="M26" s="154">
        <v>1</v>
      </c>
      <c r="N26" s="154">
        <v>-1.75</v>
      </c>
      <c r="O26" s="154">
        <v>-0.5</v>
      </c>
      <c r="P26" s="155">
        <v>165</v>
      </c>
      <c r="Q26" s="148">
        <f t="shared" si="0"/>
        <v>-2</v>
      </c>
      <c r="R26" s="156"/>
      <c r="S26" s="157">
        <v>24.24</v>
      </c>
      <c r="T26" s="11">
        <v>170</v>
      </c>
      <c r="U26" s="11">
        <v>170</v>
      </c>
      <c r="V26" s="157">
        <v>60</v>
      </c>
      <c r="W26" s="157">
        <v>6</v>
      </c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</row>
    <row r="27" spans="1:47">
      <c r="B27" s="158">
        <v>45647</v>
      </c>
      <c r="C27" s="58" t="s">
        <v>27</v>
      </c>
      <c r="D27" s="151" t="s">
        <v>63</v>
      </c>
      <c r="E27" s="159" t="s">
        <v>29</v>
      </c>
      <c r="F27" s="160">
        <v>43135</v>
      </c>
      <c r="G27" s="58" t="s">
        <v>64</v>
      </c>
      <c r="H27" s="25" t="s">
        <v>31</v>
      </c>
      <c r="I27" s="58" t="s">
        <v>32</v>
      </c>
      <c r="J27" s="58" t="s">
        <v>33</v>
      </c>
      <c r="K27" s="161">
        <v>0.6</v>
      </c>
      <c r="L27" s="161">
        <v>1</v>
      </c>
      <c r="M27" s="161">
        <v>1</v>
      </c>
      <c r="N27" s="10">
        <v>-1</v>
      </c>
      <c r="Q27" s="148">
        <f t="shared" si="0"/>
        <v>-1</v>
      </c>
      <c r="R27" s="163" t="s">
        <v>33</v>
      </c>
      <c r="S27" s="11">
        <v>23.24</v>
      </c>
      <c r="T27" s="157">
        <v>170</v>
      </c>
      <c r="U27" s="11">
        <v>170</v>
      </c>
      <c r="V27" s="11">
        <v>80</v>
      </c>
      <c r="W27" s="11">
        <v>6</v>
      </c>
    </row>
    <row r="28" spans="1:47">
      <c r="C28" s="58" t="s">
        <v>27</v>
      </c>
      <c r="D28" s="151"/>
      <c r="E28" s="159"/>
      <c r="G28" s="58"/>
      <c r="H28" s="25" t="s">
        <v>31</v>
      </c>
      <c r="J28" s="58" t="s">
        <v>34</v>
      </c>
      <c r="K28" s="161">
        <v>0.6</v>
      </c>
      <c r="L28" s="161">
        <v>1</v>
      </c>
      <c r="M28" s="161">
        <v>1</v>
      </c>
      <c r="N28" s="10">
        <v>-0.5</v>
      </c>
      <c r="O28" s="10">
        <v>-0.5</v>
      </c>
      <c r="P28" s="162">
        <v>180</v>
      </c>
      <c r="Q28" s="148">
        <f t="shared" si="0"/>
        <v>-0.75</v>
      </c>
      <c r="S28" s="11">
        <v>23.22</v>
      </c>
      <c r="T28" s="163">
        <v>170</v>
      </c>
      <c r="U28" s="11">
        <v>170</v>
      </c>
      <c r="V28" s="11">
        <v>80</v>
      </c>
      <c r="W28" s="11">
        <v>6</v>
      </c>
    </row>
    <row r="29" spans="1:47">
      <c r="A29" s="58"/>
      <c r="B29" s="167">
        <v>45638</v>
      </c>
      <c r="C29" s="58" t="s">
        <v>27</v>
      </c>
      <c r="D29" s="151" t="s">
        <v>65</v>
      </c>
      <c r="E29" s="152" t="s">
        <v>29</v>
      </c>
      <c r="F29" s="153">
        <v>42825</v>
      </c>
      <c r="G29" s="58" t="s">
        <v>66</v>
      </c>
      <c r="H29" s="25" t="s">
        <v>39</v>
      </c>
      <c r="I29" s="58" t="s">
        <v>32</v>
      </c>
      <c r="J29" s="58" t="s">
        <v>33</v>
      </c>
      <c r="K29" s="154">
        <v>0.5</v>
      </c>
      <c r="L29" s="154">
        <v>1</v>
      </c>
      <c r="M29" s="154">
        <v>1</v>
      </c>
      <c r="N29" s="154">
        <v>-0.5</v>
      </c>
      <c r="O29" s="154">
        <v>-0.5</v>
      </c>
      <c r="P29" s="155">
        <v>175</v>
      </c>
      <c r="Q29" s="148">
        <f t="shared" si="0"/>
        <v>-0.75</v>
      </c>
      <c r="R29" s="156" t="s">
        <v>33</v>
      </c>
      <c r="S29" s="157">
        <v>24.79</v>
      </c>
      <c r="T29" s="11">
        <v>170</v>
      </c>
      <c r="U29" s="11">
        <v>170</v>
      </c>
      <c r="V29" s="157">
        <v>80</v>
      </c>
      <c r="W29" s="157">
        <v>6</v>
      </c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</row>
    <row r="30" spans="1:47">
      <c r="A30" s="58"/>
      <c r="B30" s="167"/>
      <c r="C30" s="58" t="s">
        <v>27</v>
      </c>
      <c r="D30" s="151"/>
      <c r="E30" s="152"/>
      <c r="F30" s="153"/>
      <c r="G30" s="58"/>
      <c r="H30" s="25" t="s">
        <v>39</v>
      </c>
      <c r="J30" s="58" t="s">
        <v>34</v>
      </c>
      <c r="K30" s="154">
        <v>0.6</v>
      </c>
      <c r="L30" s="154">
        <v>1</v>
      </c>
      <c r="M30" s="154">
        <v>1</v>
      </c>
      <c r="N30" s="154">
        <v>-0.5</v>
      </c>
      <c r="O30" s="154">
        <v>-0.75</v>
      </c>
      <c r="P30" s="155">
        <v>170</v>
      </c>
      <c r="Q30" s="148">
        <f t="shared" si="0"/>
        <v>-0.875</v>
      </c>
      <c r="R30" s="156"/>
      <c r="S30" s="157">
        <v>24.73</v>
      </c>
      <c r="T30" s="11">
        <v>170</v>
      </c>
      <c r="U30" s="11">
        <v>170</v>
      </c>
      <c r="V30" s="157">
        <v>60</v>
      </c>
      <c r="W30" s="157">
        <v>4</v>
      </c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168"/>
      <c r="AJ30" s="168"/>
    </row>
    <row r="31" s="11" customFormat="1" spans="1:47">
      <c r="A31" s="168"/>
      <c r="B31" s="158">
        <v>45626</v>
      </c>
      <c r="C31" s="169" t="s">
        <v>27</v>
      </c>
      <c r="D31" s="151" t="s">
        <v>67</v>
      </c>
      <c r="E31" s="159" t="s">
        <v>37</v>
      </c>
      <c r="F31" s="160">
        <v>42004</v>
      </c>
      <c r="G31" s="169" t="s">
        <v>68</v>
      </c>
      <c r="H31" s="25" t="s">
        <v>45</v>
      </c>
      <c r="I31" s="169" t="s">
        <v>32</v>
      </c>
      <c r="J31" s="169" t="s">
        <v>33</v>
      </c>
      <c r="K31" s="10">
        <v>0.4</v>
      </c>
      <c r="L31" s="10">
        <v>1</v>
      </c>
      <c r="M31" s="10">
        <v>1</v>
      </c>
      <c r="N31" s="10">
        <v>-1.75</v>
      </c>
      <c r="O31" s="10">
        <v>-0.25</v>
      </c>
      <c r="P31" s="115">
        <v>150</v>
      </c>
      <c r="Q31" s="148">
        <f t="shared" si="0"/>
        <v>-1.875</v>
      </c>
      <c r="R31" s="163" t="s">
        <v>33</v>
      </c>
      <c r="S31" s="11">
        <v>25.03</v>
      </c>
      <c r="T31" s="157">
        <v>170</v>
      </c>
      <c r="U31" s="11">
        <v>170</v>
      </c>
      <c r="V31" s="11">
        <v>80</v>
      </c>
      <c r="W31" s="11">
        <v>24</v>
      </c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1"/>
    </row>
    <row r="32" spans="1:47">
      <c r="C32" s="58" t="s">
        <v>27</v>
      </c>
      <c r="D32" s="151"/>
      <c r="E32" s="159"/>
      <c r="G32" s="58"/>
      <c r="H32" s="25" t="s">
        <v>45</v>
      </c>
      <c r="J32" s="58" t="s">
        <v>34</v>
      </c>
      <c r="K32" s="10">
        <v>0.4</v>
      </c>
      <c r="L32" s="10">
        <v>1</v>
      </c>
      <c r="M32" s="10">
        <v>1</v>
      </c>
      <c r="N32" s="10">
        <v>-2.5</v>
      </c>
      <c r="O32" s="10">
        <v>-0.75</v>
      </c>
      <c r="P32" s="115">
        <v>165</v>
      </c>
      <c r="Q32" s="148">
        <f t="shared" si="0"/>
        <v>-2.875</v>
      </c>
      <c r="S32" s="11">
        <v>25.41</v>
      </c>
      <c r="T32" s="163">
        <v>170</v>
      </c>
      <c r="U32" s="11">
        <v>170</v>
      </c>
      <c r="V32" s="11">
        <v>20</v>
      </c>
      <c r="W32" s="11">
        <v>65</v>
      </c>
    </row>
    <row r="33" spans="1:34">
      <c r="B33" s="158">
        <v>45635</v>
      </c>
      <c r="C33" s="58" t="s">
        <v>27</v>
      </c>
      <c r="D33" s="151" t="s">
        <v>69</v>
      </c>
      <c r="E33" s="159" t="s">
        <v>29</v>
      </c>
      <c r="F33" s="160">
        <v>42616</v>
      </c>
      <c r="G33" s="58" t="s">
        <v>70</v>
      </c>
      <c r="H33" s="25" t="s">
        <v>48</v>
      </c>
      <c r="I33" s="58" t="s">
        <v>32</v>
      </c>
      <c r="J33" s="58" t="s">
        <v>33</v>
      </c>
      <c r="K33" s="161">
        <v>0.4</v>
      </c>
      <c r="L33" s="161">
        <v>1</v>
      </c>
      <c r="M33" s="161">
        <v>1</v>
      </c>
      <c r="N33" s="172"/>
      <c r="O33" s="172"/>
      <c r="P33" s="173"/>
      <c r="Q33" s="148">
        <f t="shared" si="0"/>
        <v>0</v>
      </c>
      <c r="R33" s="163" t="s">
        <v>33</v>
      </c>
      <c r="S33" s="11">
        <v>23.72</v>
      </c>
      <c r="T33" s="11">
        <v>170</v>
      </c>
      <c r="U33" s="11">
        <v>120</v>
      </c>
      <c r="V33" s="11">
        <v>0</v>
      </c>
      <c r="W33" s="11">
        <v>0</v>
      </c>
    </row>
    <row r="34" spans="1:34">
      <c r="C34" s="58" t="s">
        <v>27</v>
      </c>
      <c r="D34" s="151"/>
      <c r="E34" s="159"/>
      <c r="G34" s="58"/>
      <c r="H34" s="25" t="s">
        <v>48</v>
      </c>
      <c r="J34" s="58" t="s">
        <v>34</v>
      </c>
      <c r="K34" s="10">
        <v>0.4</v>
      </c>
      <c r="L34" s="161">
        <v>1</v>
      </c>
      <c r="M34" s="161">
        <v>1</v>
      </c>
      <c r="N34" s="172"/>
      <c r="O34" s="172"/>
      <c r="P34" s="173"/>
      <c r="Q34" s="148">
        <f t="shared" si="0"/>
        <v>0</v>
      </c>
      <c r="S34" s="11">
        <v>23.89</v>
      </c>
      <c r="T34" s="11">
        <v>170</v>
      </c>
      <c r="U34" s="11">
        <v>170</v>
      </c>
      <c r="V34" s="11">
        <v>120</v>
      </c>
      <c r="W34" s="11">
        <v>0</v>
      </c>
    </row>
    <row r="35" spans="1:34">
      <c r="A35" s="58"/>
      <c r="B35" s="167">
        <v>45643</v>
      </c>
      <c r="C35" s="58" t="s">
        <v>27</v>
      </c>
      <c r="D35" s="151" t="s">
        <v>71</v>
      </c>
      <c r="E35" s="152" t="s">
        <v>29</v>
      </c>
      <c r="F35" s="153">
        <v>42811</v>
      </c>
      <c r="G35" s="58" t="s">
        <v>72</v>
      </c>
      <c r="H35" s="25" t="s">
        <v>39</v>
      </c>
      <c r="I35" s="58" t="s">
        <v>32</v>
      </c>
      <c r="J35" s="58" t="s">
        <v>33</v>
      </c>
      <c r="K35" s="154">
        <v>0.4</v>
      </c>
      <c r="L35" s="154">
        <v>1</v>
      </c>
      <c r="M35" s="154">
        <v>1</v>
      </c>
      <c r="N35" s="154">
        <v>-0.75</v>
      </c>
      <c r="O35" s="154">
        <v>-0.25</v>
      </c>
      <c r="P35" s="155">
        <v>170</v>
      </c>
      <c r="Q35" s="148">
        <f t="shared" si="0"/>
        <v>-0.875</v>
      </c>
      <c r="R35" s="156" t="s">
        <v>33</v>
      </c>
      <c r="S35" s="157">
        <v>23.68</v>
      </c>
      <c r="T35" s="157">
        <v>170</v>
      </c>
      <c r="U35" s="11">
        <v>170</v>
      </c>
      <c r="V35" s="157">
        <v>45</v>
      </c>
      <c r="W35" s="157">
        <v>4</v>
      </c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</row>
    <row r="36" spans="1:34">
      <c r="A36" s="58"/>
      <c r="B36" s="142"/>
      <c r="C36" s="58" t="s">
        <v>27</v>
      </c>
      <c r="D36" s="151"/>
      <c r="E36" s="152"/>
      <c r="F36" s="153"/>
      <c r="G36" s="58"/>
      <c r="H36" s="25" t="s">
        <v>39</v>
      </c>
      <c r="J36" s="58" t="s">
        <v>34</v>
      </c>
      <c r="K36" s="154">
        <v>0.15</v>
      </c>
      <c r="L36" s="154">
        <v>1</v>
      </c>
      <c r="M36" s="154">
        <v>1</v>
      </c>
      <c r="N36" s="154">
        <v>-1.25</v>
      </c>
      <c r="O36" s="154"/>
      <c r="P36" s="155"/>
      <c r="Q36" s="148">
        <f t="shared" si="0"/>
        <v>-1.25</v>
      </c>
      <c r="R36" s="156"/>
      <c r="S36" s="157">
        <v>23.89</v>
      </c>
      <c r="T36" s="163">
        <v>170</v>
      </c>
      <c r="U36" s="11">
        <v>170</v>
      </c>
      <c r="V36" s="157">
        <v>80</v>
      </c>
      <c r="W36" s="157">
        <v>6</v>
      </c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</row>
    <row r="37" spans="1:34">
      <c r="A37" s="58"/>
      <c r="B37" s="167">
        <v>45647</v>
      </c>
      <c r="C37" s="58" t="s">
        <v>27</v>
      </c>
      <c r="D37" s="151" t="s">
        <v>73</v>
      </c>
      <c r="E37" s="152" t="s">
        <v>37</v>
      </c>
      <c r="F37" s="153">
        <v>41944</v>
      </c>
      <c r="G37" s="58" t="s">
        <v>74</v>
      </c>
      <c r="H37" s="25" t="s">
        <v>39</v>
      </c>
      <c r="I37" s="58" t="s">
        <v>32</v>
      </c>
      <c r="J37" s="58" t="s">
        <v>33</v>
      </c>
      <c r="K37" s="154">
        <v>0.2</v>
      </c>
      <c r="L37" s="154">
        <v>1</v>
      </c>
      <c r="M37" s="154">
        <v>1</v>
      </c>
      <c r="N37" s="154">
        <v>-2.75</v>
      </c>
      <c r="O37" s="154">
        <v>-0.75</v>
      </c>
      <c r="P37" s="155">
        <v>175</v>
      </c>
      <c r="Q37" s="148">
        <f t="shared" si="0"/>
        <v>-3.125</v>
      </c>
      <c r="R37" s="156" t="s">
        <v>33</v>
      </c>
      <c r="S37" s="157">
        <v>25.32</v>
      </c>
      <c r="T37" s="11">
        <v>170</v>
      </c>
      <c r="U37" s="11">
        <v>100</v>
      </c>
      <c r="V37" s="157">
        <v>60</v>
      </c>
      <c r="W37" s="157">
        <v>24</v>
      </c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</row>
    <row r="38" spans="1:34">
      <c r="A38" s="58"/>
      <c r="B38" s="142"/>
      <c r="C38" s="58" t="s">
        <v>27</v>
      </c>
      <c r="D38" s="151"/>
      <c r="E38" s="152"/>
      <c r="F38" s="153"/>
      <c r="G38" s="58"/>
      <c r="H38" s="25" t="s">
        <v>39</v>
      </c>
      <c r="J38" s="58" t="s">
        <v>34</v>
      </c>
      <c r="K38" s="154">
        <v>0.3</v>
      </c>
      <c r="L38" s="154">
        <v>1</v>
      </c>
      <c r="M38" s="154">
        <v>1</v>
      </c>
      <c r="N38" s="154">
        <v>-1.75</v>
      </c>
      <c r="O38" s="154">
        <v>-1.5</v>
      </c>
      <c r="P38" s="155">
        <v>170</v>
      </c>
      <c r="Q38" s="148">
        <f t="shared" si="0"/>
        <v>-2.5</v>
      </c>
      <c r="R38" s="156"/>
      <c r="S38" s="157">
        <v>25.03</v>
      </c>
      <c r="T38" s="11">
        <v>170</v>
      </c>
      <c r="U38" s="11">
        <v>170</v>
      </c>
      <c r="V38" s="157">
        <v>30</v>
      </c>
      <c r="W38" s="157">
        <v>6</v>
      </c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</row>
    <row r="39" spans="1:34">
      <c r="A39" s="58"/>
      <c r="B39" s="167">
        <v>45647</v>
      </c>
      <c r="C39" s="58" t="s">
        <v>27</v>
      </c>
      <c r="D39" s="151" t="s">
        <v>75</v>
      </c>
      <c r="E39" s="152" t="s">
        <v>37</v>
      </c>
      <c r="F39" s="153">
        <v>40870</v>
      </c>
      <c r="G39" s="58" t="s">
        <v>76</v>
      </c>
      <c r="H39" s="25" t="s">
        <v>45</v>
      </c>
      <c r="I39" s="58" t="s">
        <v>32</v>
      </c>
      <c r="J39" s="58" t="s">
        <v>33</v>
      </c>
      <c r="K39" s="154">
        <v>0.3</v>
      </c>
      <c r="L39" s="154">
        <v>1</v>
      </c>
      <c r="M39" s="154">
        <v>1</v>
      </c>
      <c r="N39" s="154">
        <v>-2</v>
      </c>
      <c r="O39" s="154">
        <v>-0.75</v>
      </c>
      <c r="P39" s="155">
        <v>170</v>
      </c>
      <c r="Q39" s="148">
        <f t="shared" si="0"/>
        <v>-2.375</v>
      </c>
      <c r="R39" s="156" t="s">
        <v>33</v>
      </c>
      <c r="S39" s="157">
        <v>24.97</v>
      </c>
      <c r="T39" s="157">
        <v>170</v>
      </c>
      <c r="U39" s="11">
        <v>170</v>
      </c>
      <c r="V39" s="157">
        <v>45</v>
      </c>
      <c r="W39" s="157">
        <v>6</v>
      </c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>
      <c r="A40" s="58"/>
      <c r="B40" s="142"/>
      <c r="C40" s="58" t="s">
        <v>27</v>
      </c>
      <c r="D40" s="151"/>
      <c r="E40" s="152"/>
      <c r="F40" s="153"/>
      <c r="G40" s="58"/>
      <c r="H40" s="25" t="s">
        <v>45</v>
      </c>
      <c r="J40" s="58" t="s">
        <v>34</v>
      </c>
      <c r="K40" s="154">
        <v>0.5</v>
      </c>
      <c r="L40" s="154">
        <v>1</v>
      </c>
      <c r="M40" s="154">
        <v>1</v>
      </c>
      <c r="N40" s="154">
        <v>-0.75</v>
      </c>
      <c r="O40" s="154">
        <v>-1</v>
      </c>
      <c r="P40" s="155">
        <v>165</v>
      </c>
      <c r="Q40" s="148">
        <f t="shared" si="0"/>
        <v>-1.25</v>
      </c>
      <c r="R40" s="156"/>
      <c r="S40" s="157">
        <v>24.47</v>
      </c>
      <c r="T40" s="163">
        <v>170</v>
      </c>
      <c r="U40" s="11">
        <v>170</v>
      </c>
      <c r="V40" s="157">
        <v>60</v>
      </c>
      <c r="W40" s="157">
        <v>6</v>
      </c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</row>
    <row r="41" spans="1:34">
      <c r="B41" s="158">
        <v>45645</v>
      </c>
      <c r="C41" s="58" t="s">
        <v>27</v>
      </c>
      <c r="D41" s="151" t="s">
        <v>77</v>
      </c>
      <c r="E41" s="159" t="s">
        <v>37</v>
      </c>
      <c r="F41" s="160">
        <v>42875</v>
      </c>
      <c r="G41" s="58" t="s">
        <v>78</v>
      </c>
      <c r="H41" s="25" t="s">
        <v>45</v>
      </c>
      <c r="I41" s="58" t="s">
        <v>32</v>
      </c>
      <c r="J41" s="58" t="s">
        <v>33</v>
      </c>
      <c r="K41" s="10">
        <v>0.5</v>
      </c>
      <c r="L41" s="10">
        <v>1</v>
      </c>
      <c r="M41" s="10">
        <v>1</v>
      </c>
      <c r="N41" s="10">
        <v>-1.75</v>
      </c>
      <c r="O41" s="10">
        <v>-0.5</v>
      </c>
      <c r="P41" s="115">
        <v>90</v>
      </c>
      <c r="Q41" s="148">
        <f t="shared" si="0"/>
        <v>-2</v>
      </c>
      <c r="R41" s="163" t="s">
        <v>33</v>
      </c>
      <c r="S41" s="11">
        <v>24.38</v>
      </c>
      <c r="T41" s="11">
        <v>170</v>
      </c>
      <c r="U41" s="11">
        <v>170</v>
      </c>
      <c r="V41" s="11">
        <v>45</v>
      </c>
      <c r="W41" s="11">
        <v>6</v>
      </c>
    </row>
    <row r="42" spans="1:34">
      <c r="C42" s="58" t="s">
        <v>27</v>
      </c>
      <c r="D42" s="151"/>
      <c r="G42" s="58"/>
      <c r="H42" s="25" t="s">
        <v>45</v>
      </c>
      <c r="J42" s="58" t="s">
        <v>34</v>
      </c>
      <c r="K42" s="10">
        <v>0.5</v>
      </c>
      <c r="L42" s="10">
        <v>1</v>
      </c>
      <c r="M42" s="10">
        <v>1</v>
      </c>
      <c r="N42" s="10">
        <v>1.5</v>
      </c>
      <c r="O42" s="10">
        <v>0</v>
      </c>
      <c r="P42" s="115">
        <v>0</v>
      </c>
      <c r="Q42" s="148">
        <f t="shared" si="0"/>
        <v>1.5</v>
      </c>
      <c r="S42" s="11">
        <v>24.33</v>
      </c>
      <c r="T42" s="11">
        <v>170</v>
      </c>
      <c r="U42" s="11">
        <v>170</v>
      </c>
      <c r="V42" s="11">
        <v>35</v>
      </c>
      <c r="W42" s="11">
        <v>4</v>
      </c>
    </row>
    <row r="43" spans="1:34">
      <c r="B43" s="158">
        <v>45647</v>
      </c>
      <c r="C43" s="58" t="s">
        <v>27</v>
      </c>
      <c r="D43" s="151" t="s">
        <v>79</v>
      </c>
      <c r="E43" s="159" t="s">
        <v>37</v>
      </c>
      <c r="F43" s="160">
        <v>42028</v>
      </c>
      <c r="G43" s="58" t="s">
        <v>80</v>
      </c>
      <c r="H43" s="25" t="s">
        <v>31</v>
      </c>
      <c r="I43" s="58" t="s">
        <v>32</v>
      </c>
      <c r="J43" s="58" t="s">
        <v>33</v>
      </c>
      <c r="K43" s="10">
        <v>0.6</v>
      </c>
      <c r="L43" s="10">
        <v>1</v>
      </c>
      <c r="M43" s="10">
        <v>1</v>
      </c>
      <c r="N43" s="10">
        <v>-1</v>
      </c>
      <c r="O43" s="10">
        <v>-0.5</v>
      </c>
      <c r="P43" s="115">
        <v>85</v>
      </c>
      <c r="Q43" s="148">
        <f t="shared" si="0"/>
        <v>-1.25</v>
      </c>
      <c r="R43" s="163" t="s">
        <v>33</v>
      </c>
      <c r="S43" s="11">
        <v>24.52</v>
      </c>
      <c r="T43" s="157">
        <v>170</v>
      </c>
      <c r="U43" s="11">
        <v>100</v>
      </c>
      <c r="V43" s="11">
        <v>60</v>
      </c>
      <c r="W43" s="11">
        <v>24</v>
      </c>
    </row>
    <row r="44" spans="1:34">
      <c r="C44" s="58" t="s">
        <v>27</v>
      </c>
      <c r="D44" s="151"/>
      <c r="G44" s="58"/>
      <c r="H44" s="25" t="s">
        <v>31</v>
      </c>
      <c r="J44" s="58" t="s">
        <v>34</v>
      </c>
      <c r="K44" s="10">
        <v>0.8</v>
      </c>
      <c r="L44" s="10">
        <v>1</v>
      </c>
      <c r="M44" s="10">
        <v>1</v>
      </c>
      <c r="N44" s="10">
        <v>-1.5</v>
      </c>
      <c r="O44" s="10">
        <v>-0.25</v>
      </c>
      <c r="P44" s="115">
        <v>115</v>
      </c>
      <c r="Q44" s="148">
        <f t="shared" si="0"/>
        <v>-1.625</v>
      </c>
      <c r="S44" s="11">
        <v>24.6</v>
      </c>
      <c r="T44" s="163">
        <v>170</v>
      </c>
      <c r="U44" s="11">
        <v>170</v>
      </c>
      <c r="V44" s="11">
        <v>45</v>
      </c>
      <c r="W44" s="11">
        <v>6</v>
      </c>
    </row>
    <row r="45" spans="1:34">
      <c r="B45" s="158">
        <v>45646</v>
      </c>
      <c r="C45" s="58" t="s">
        <v>27</v>
      </c>
      <c r="D45" s="151" t="s">
        <v>81</v>
      </c>
      <c r="E45" s="159" t="s">
        <v>29</v>
      </c>
      <c r="F45" s="160">
        <v>41132</v>
      </c>
      <c r="G45" s="58" t="s">
        <v>82</v>
      </c>
      <c r="H45" s="25" t="s">
        <v>48</v>
      </c>
      <c r="I45" s="58" t="s">
        <v>32</v>
      </c>
      <c r="J45" s="58" t="s">
        <v>33</v>
      </c>
      <c r="K45" s="10">
        <v>0.25</v>
      </c>
      <c r="L45" s="10">
        <v>1</v>
      </c>
      <c r="M45" s="10">
        <v>1</v>
      </c>
      <c r="N45" s="10">
        <v>-3.25</v>
      </c>
      <c r="O45" s="10">
        <v>-0.5</v>
      </c>
      <c r="P45" s="115">
        <v>10</v>
      </c>
      <c r="Q45" s="148">
        <f t="shared" si="0"/>
        <v>-3.5</v>
      </c>
      <c r="R45" s="163" t="s">
        <v>33</v>
      </c>
      <c r="S45" s="11">
        <v>25.51</v>
      </c>
      <c r="T45" s="11">
        <v>170</v>
      </c>
      <c r="U45" s="11">
        <v>170</v>
      </c>
      <c r="V45" s="11">
        <v>80</v>
      </c>
      <c r="W45" s="11">
        <v>24</v>
      </c>
    </row>
    <row r="46" spans="1:34">
      <c r="C46" s="58" t="s">
        <v>27</v>
      </c>
      <c r="D46" s="151"/>
      <c r="G46" s="58"/>
      <c r="H46" s="25" t="s">
        <v>48</v>
      </c>
      <c r="J46" s="58" t="s">
        <v>34</v>
      </c>
      <c r="K46" s="10">
        <v>0.25</v>
      </c>
      <c r="L46" s="10">
        <v>1</v>
      </c>
      <c r="M46" s="10">
        <v>1</v>
      </c>
      <c r="N46" s="10">
        <v>-1.75</v>
      </c>
      <c r="O46" s="10">
        <v>-1.25</v>
      </c>
      <c r="P46" s="115">
        <v>180</v>
      </c>
      <c r="Q46" s="148">
        <f t="shared" si="0"/>
        <v>-2.375</v>
      </c>
      <c r="S46" s="11">
        <v>24.98</v>
      </c>
      <c r="T46" s="11">
        <v>170</v>
      </c>
      <c r="U46" s="11">
        <v>170</v>
      </c>
      <c r="V46" s="11">
        <v>80</v>
      </c>
      <c r="W46" s="11">
        <v>6</v>
      </c>
    </row>
    <row r="47" spans="1:34">
      <c r="B47" s="158">
        <v>45707</v>
      </c>
      <c r="C47" s="58" t="s">
        <v>27</v>
      </c>
      <c r="D47" s="151" t="s">
        <v>83</v>
      </c>
      <c r="E47" s="159" t="s">
        <v>29</v>
      </c>
      <c r="F47" s="160">
        <v>42892</v>
      </c>
      <c r="G47" s="58" t="s">
        <v>84</v>
      </c>
      <c r="H47" s="25" t="s">
        <v>48</v>
      </c>
      <c r="I47" s="58" t="s">
        <v>32</v>
      </c>
      <c r="J47" s="58" t="s">
        <v>33</v>
      </c>
      <c r="K47" s="10">
        <v>0.4</v>
      </c>
      <c r="L47" s="10">
        <v>1</v>
      </c>
      <c r="M47" s="10">
        <v>1</v>
      </c>
      <c r="N47" s="10">
        <v>-2</v>
      </c>
      <c r="O47" s="10">
        <v>-0.25</v>
      </c>
      <c r="P47" s="115">
        <v>160</v>
      </c>
      <c r="Q47" s="148">
        <f t="shared" si="0"/>
        <v>-2.125</v>
      </c>
      <c r="R47" s="163" t="s">
        <v>33</v>
      </c>
      <c r="S47" s="11">
        <v>25.03</v>
      </c>
      <c r="T47" s="157">
        <v>170</v>
      </c>
      <c r="U47" s="11">
        <v>100</v>
      </c>
      <c r="V47" s="11">
        <v>60</v>
      </c>
      <c r="W47" s="11">
        <v>8</v>
      </c>
    </row>
    <row r="48" spans="1:34">
      <c r="C48" s="58" t="s">
        <v>27</v>
      </c>
      <c r="D48" s="151"/>
      <c r="G48" s="58"/>
      <c r="H48" s="25" t="s">
        <v>48</v>
      </c>
      <c r="J48" s="58" t="s">
        <v>34</v>
      </c>
      <c r="K48" s="10">
        <v>0.5</v>
      </c>
      <c r="L48" s="10">
        <v>1</v>
      </c>
      <c r="M48" s="10">
        <v>1</v>
      </c>
      <c r="N48" s="10">
        <v>-1.75</v>
      </c>
      <c r="O48" s="10">
        <v>-0.25</v>
      </c>
      <c r="P48" s="115">
        <v>175</v>
      </c>
      <c r="Q48" s="148">
        <f t="shared" si="0"/>
        <v>-1.875</v>
      </c>
      <c r="S48" s="11">
        <v>25</v>
      </c>
      <c r="T48" s="163">
        <v>170</v>
      </c>
      <c r="U48" s="11">
        <v>170</v>
      </c>
      <c r="V48" s="11">
        <v>45</v>
      </c>
      <c r="W48" s="11">
        <v>4</v>
      </c>
    </row>
    <row r="49" spans="2:23">
      <c r="B49" s="158">
        <v>45682</v>
      </c>
      <c r="C49" s="58" t="s">
        <v>27</v>
      </c>
      <c r="D49" s="151" t="s">
        <v>85</v>
      </c>
      <c r="E49" s="159" t="s">
        <v>37</v>
      </c>
      <c r="F49" s="160">
        <v>41586</v>
      </c>
      <c r="G49" s="58" t="s">
        <v>86</v>
      </c>
      <c r="H49" s="25" t="s">
        <v>31</v>
      </c>
      <c r="I49" s="58" t="s">
        <v>32</v>
      </c>
      <c r="J49" s="58" t="s">
        <v>33</v>
      </c>
      <c r="K49" s="10">
        <v>0.25</v>
      </c>
      <c r="L49" s="10">
        <v>1</v>
      </c>
      <c r="M49" s="10">
        <v>1</v>
      </c>
      <c r="N49" s="10">
        <v>-4</v>
      </c>
      <c r="O49" s="10">
        <v>-0.25</v>
      </c>
      <c r="P49" s="115">
        <v>50</v>
      </c>
      <c r="Q49" s="148">
        <f t="shared" si="0"/>
        <v>-4.125</v>
      </c>
      <c r="R49" s="163" t="s">
        <v>33</v>
      </c>
      <c r="S49" s="11">
        <v>26.07</v>
      </c>
      <c r="T49" s="11">
        <v>170</v>
      </c>
      <c r="U49" s="11">
        <v>100</v>
      </c>
      <c r="V49" s="11">
        <v>80</v>
      </c>
      <c r="W49" s="11">
        <v>8</v>
      </c>
    </row>
    <row r="50" spans="2:23">
      <c r="C50" s="58" t="s">
        <v>27</v>
      </c>
      <c r="D50" s="151"/>
      <c r="G50" s="58"/>
      <c r="H50" s="25" t="s">
        <v>31</v>
      </c>
      <c r="J50" s="58" t="s">
        <v>34</v>
      </c>
      <c r="K50" s="10">
        <v>0.25</v>
      </c>
      <c r="L50" s="10">
        <v>1</v>
      </c>
      <c r="M50" s="10">
        <v>1</v>
      </c>
      <c r="N50" s="10">
        <v>-3.75</v>
      </c>
      <c r="O50" s="10">
        <v>-0.75</v>
      </c>
      <c r="P50" s="115">
        <v>165</v>
      </c>
      <c r="Q50" s="148">
        <f t="shared" si="0"/>
        <v>-4.125</v>
      </c>
      <c r="S50" s="11">
        <v>26.16</v>
      </c>
      <c r="T50" s="11">
        <v>170</v>
      </c>
      <c r="U50" s="11">
        <v>170</v>
      </c>
      <c r="V50" s="11">
        <v>60</v>
      </c>
      <c r="W50" s="11">
        <v>6</v>
      </c>
    </row>
    <row r="51" spans="2:23">
      <c r="B51" s="174">
        <v>45680</v>
      </c>
      <c r="C51" s="58" t="s">
        <v>27</v>
      </c>
      <c r="D51" s="151" t="s">
        <v>87</v>
      </c>
      <c r="E51" s="159" t="s">
        <v>37</v>
      </c>
      <c r="F51" s="160">
        <v>42193</v>
      </c>
      <c r="G51" s="58" t="s">
        <v>88</v>
      </c>
      <c r="H51" s="25" t="s">
        <v>31</v>
      </c>
      <c r="I51" s="58" t="s">
        <v>32</v>
      </c>
      <c r="J51" s="58" t="s">
        <v>33</v>
      </c>
      <c r="K51" s="10">
        <v>0.6</v>
      </c>
      <c r="L51" s="10">
        <v>1</v>
      </c>
      <c r="M51" s="10">
        <v>1</v>
      </c>
      <c r="N51" s="10">
        <v>-1.5</v>
      </c>
      <c r="O51" s="10">
        <v>-1.25</v>
      </c>
      <c r="P51" s="115">
        <v>5</v>
      </c>
      <c r="Q51" s="148">
        <f t="shared" si="0"/>
        <v>-2.125</v>
      </c>
      <c r="R51" s="163" t="s">
        <v>33</v>
      </c>
      <c r="S51" s="11">
        <v>24.44</v>
      </c>
      <c r="T51" s="157">
        <v>170</v>
      </c>
      <c r="U51" s="11">
        <v>100</v>
      </c>
      <c r="V51" s="11">
        <v>45</v>
      </c>
      <c r="W51" s="11">
        <v>6</v>
      </c>
    </row>
    <row r="52" spans="2:23">
      <c r="C52" s="58" t="s">
        <v>27</v>
      </c>
      <c r="D52" s="151"/>
      <c r="G52" s="58"/>
      <c r="H52" s="25" t="s">
        <v>31</v>
      </c>
      <c r="J52" s="58" t="s">
        <v>34</v>
      </c>
      <c r="K52" s="10">
        <v>0.4</v>
      </c>
      <c r="L52" s="10">
        <v>1</v>
      </c>
      <c r="M52" s="10">
        <v>1</v>
      </c>
      <c r="N52" s="10">
        <v>-2</v>
      </c>
      <c r="O52" s="10">
        <v>-1.25</v>
      </c>
      <c r="P52" s="115">
        <v>10</v>
      </c>
      <c r="Q52" s="148">
        <f t="shared" si="0"/>
        <v>-2.625</v>
      </c>
      <c r="S52" s="11">
        <v>24.54</v>
      </c>
      <c r="T52" s="163">
        <v>170</v>
      </c>
      <c r="U52" s="11">
        <v>170</v>
      </c>
      <c r="V52" s="11">
        <v>45</v>
      </c>
      <c r="W52" s="11">
        <v>6</v>
      </c>
    </row>
    <row r="53" spans="2:23">
      <c r="B53" s="158">
        <v>45680</v>
      </c>
      <c r="C53" s="58" t="s">
        <v>27</v>
      </c>
      <c r="D53" s="151" t="s">
        <v>89</v>
      </c>
      <c r="E53" s="159" t="s">
        <v>37</v>
      </c>
      <c r="F53" s="160">
        <v>42730</v>
      </c>
      <c r="G53" s="58" t="s">
        <v>90</v>
      </c>
      <c r="H53" s="25" t="s">
        <v>48</v>
      </c>
      <c r="I53" s="58" t="s">
        <v>32</v>
      </c>
      <c r="J53" s="58" t="s">
        <v>33</v>
      </c>
      <c r="K53" s="10">
        <v>0.6</v>
      </c>
      <c r="L53" s="10">
        <v>1</v>
      </c>
      <c r="M53" s="10">
        <v>1</v>
      </c>
      <c r="N53" s="10">
        <v>-0.75</v>
      </c>
      <c r="O53" s="10">
        <v>-0.5</v>
      </c>
      <c r="P53" s="115">
        <v>60</v>
      </c>
      <c r="Q53" s="148">
        <f t="shared" si="0"/>
        <v>-1</v>
      </c>
      <c r="R53" s="163" t="s">
        <v>33</v>
      </c>
      <c r="S53" s="11">
        <v>24.51</v>
      </c>
      <c r="T53" s="11">
        <v>170</v>
      </c>
      <c r="U53" s="11">
        <v>120</v>
      </c>
      <c r="V53" s="11">
        <v>80</v>
      </c>
      <c r="W53" s="11">
        <v>24</v>
      </c>
    </row>
    <row r="54" spans="2:23">
      <c r="C54" s="58" t="s">
        <v>27</v>
      </c>
      <c r="D54" s="151"/>
      <c r="G54" s="58"/>
      <c r="H54" s="25" t="s">
        <v>48</v>
      </c>
      <c r="J54" s="58" t="s">
        <v>34</v>
      </c>
      <c r="K54" s="10">
        <v>0.6</v>
      </c>
      <c r="L54" s="10">
        <v>1</v>
      </c>
      <c r="M54" s="10">
        <v>1</v>
      </c>
      <c r="N54" s="10">
        <v>-0.75</v>
      </c>
      <c r="O54" s="10">
        <v>-0.5</v>
      </c>
      <c r="P54" s="115">
        <v>115</v>
      </c>
      <c r="Q54" s="148">
        <f t="shared" si="0"/>
        <v>-1</v>
      </c>
      <c r="S54" s="11">
        <v>24.55</v>
      </c>
      <c r="T54" s="11">
        <v>170</v>
      </c>
      <c r="U54" s="11">
        <v>170</v>
      </c>
      <c r="V54" s="11">
        <v>80</v>
      </c>
      <c r="W54" s="11">
        <v>6</v>
      </c>
    </row>
    <row r="55" spans="2:23">
      <c r="B55" s="158">
        <v>45694</v>
      </c>
      <c r="C55" s="58" t="s">
        <v>27</v>
      </c>
      <c r="D55" s="151" t="s">
        <v>91</v>
      </c>
      <c r="E55" s="159" t="s">
        <v>29</v>
      </c>
      <c r="F55" s="160">
        <v>42583</v>
      </c>
      <c r="G55" s="58" t="s">
        <v>92</v>
      </c>
      <c r="H55" s="25" t="s">
        <v>45</v>
      </c>
      <c r="I55" s="58" t="s">
        <v>32</v>
      </c>
      <c r="J55" s="58" t="s">
        <v>33</v>
      </c>
      <c r="K55" s="10">
        <v>0.6</v>
      </c>
      <c r="L55" s="10">
        <v>1</v>
      </c>
      <c r="M55" s="10">
        <v>1</v>
      </c>
      <c r="N55" s="10">
        <v>-0.75</v>
      </c>
      <c r="O55" s="10">
        <v>-0.25</v>
      </c>
      <c r="P55" s="115">
        <v>125</v>
      </c>
      <c r="Q55" s="148">
        <f t="shared" si="0"/>
        <v>-0.875</v>
      </c>
      <c r="R55" s="163" t="s">
        <v>93</v>
      </c>
      <c r="S55" s="11">
        <v>24.49</v>
      </c>
      <c r="T55" s="157">
        <v>170</v>
      </c>
      <c r="U55" s="11">
        <v>170</v>
      </c>
      <c r="V55" s="11">
        <v>80</v>
      </c>
      <c r="W55" s="11">
        <v>6</v>
      </c>
    </row>
    <row r="56" spans="2:23">
      <c r="C56" s="58" t="s">
        <v>27</v>
      </c>
      <c r="D56" s="151"/>
      <c r="G56" s="58"/>
      <c r="H56" s="25" t="s">
        <v>45</v>
      </c>
      <c r="J56" s="58" t="s">
        <v>34</v>
      </c>
      <c r="K56" s="10">
        <v>0.6</v>
      </c>
      <c r="L56" s="10">
        <v>1</v>
      </c>
      <c r="M56" s="10">
        <v>1</v>
      </c>
      <c r="N56" s="10">
        <v>-1</v>
      </c>
      <c r="O56" s="10">
        <v>-0.25</v>
      </c>
      <c r="P56" s="115">
        <v>30</v>
      </c>
      <c r="Q56" s="148">
        <f t="shared" si="0"/>
        <v>-1.125</v>
      </c>
      <c r="S56" s="11">
        <v>24.66</v>
      </c>
      <c r="T56" s="163">
        <v>170</v>
      </c>
      <c r="U56" s="11">
        <v>170</v>
      </c>
      <c r="V56" s="11">
        <v>60</v>
      </c>
      <c r="W56" s="11">
        <v>4</v>
      </c>
    </row>
    <row r="57" spans="2:23">
      <c r="B57" s="158">
        <v>45682</v>
      </c>
      <c r="C57" s="58" t="s">
        <v>27</v>
      </c>
      <c r="D57" s="151" t="s">
        <v>94</v>
      </c>
      <c r="E57" s="159" t="s">
        <v>37</v>
      </c>
      <c r="F57" s="160">
        <v>41709</v>
      </c>
      <c r="G57" s="58" t="s">
        <v>95</v>
      </c>
      <c r="H57" s="25" t="s">
        <v>39</v>
      </c>
      <c r="I57" s="58" t="s">
        <v>32</v>
      </c>
      <c r="J57" s="58" t="s">
        <v>33</v>
      </c>
      <c r="K57" s="10">
        <v>0.9</v>
      </c>
      <c r="L57" s="10">
        <v>1</v>
      </c>
      <c r="M57" s="10">
        <v>1</v>
      </c>
      <c r="N57" s="10">
        <v>-0.25</v>
      </c>
      <c r="O57" s="10">
        <v>-0.5</v>
      </c>
      <c r="P57" s="115">
        <v>165</v>
      </c>
      <c r="Q57" s="148">
        <f t="shared" si="0"/>
        <v>-0.5</v>
      </c>
      <c r="R57" s="163" t="s">
        <v>34</v>
      </c>
      <c r="S57" s="11">
        <v>23.12</v>
      </c>
      <c r="T57" s="11">
        <v>170</v>
      </c>
      <c r="U57" s="11">
        <v>170</v>
      </c>
      <c r="V57" s="11">
        <v>60</v>
      </c>
      <c r="W57" s="11">
        <v>8</v>
      </c>
    </row>
    <row r="58" spans="2:23">
      <c r="C58" s="58" t="s">
        <v>27</v>
      </c>
      <c r="D58" s="151"/>
      <c r="G58" s="58"/>
      <c r="H58" s="25" t="s">
        <v>39</v>
      </c>
      <c r="J58" s="58" t="s">
        <v>34</v>
      </c>
      <c r="K58" s="10">
        <v>0.2</v>
      </c>
      <c r="L58" s="10">
        <v>1</v>
      </c>
      <c r="M58" s="10">
        <v>1</v>
      </c>
      <c r="N58" s="10">
        <v>-1</v>
      </c>
      <c r="O58" s="10">
        <v>-0.5</v>
      </c>
      <c r="P58" s="115">
        <v>180</v>
      </c>
      <c r="Q58" s="148">
        <f t="shared" si="0"/>
        <v>-1.25</v>
      </c>
      <c r="S58" s="11">
        <v>23.58</v>
      </c>
      <c r="T58" s="11">
        <v>170</v>
      </c>
      <c r="U58" s="11">
        <v>170</v>
      </c>
      <c r="V58" s="11">
        <v>45</v>
      </c>
      <c r="W58" s="11">
        <v>6</v>
      </c>
    </row>
    <row r="59" spans="2:23">
      <c r="B59" s="158">
        <v>45695</v>
      </c>
      <c r="C59" s="58" t="s">
        <v>27</v>
      </c>
      <c r="D59" s="151" t="s">
        <v>96</v>
      </c>
      <c r="E59" s="159" t="s">
        <v>37</v>
      </c>
      <c r="F59" s="160">
        <v>40929</v>
      </c>
      <c r="G59" s="58" t="s">
        <v>97</v>
      </c>
      <c r="H59" s="25" t="s">
        <v>45</v>
      </c>
      <c r="I59" s="58" t="s">
        <v>32</v>
      </c>
      <c r="J59" s="58" t="s">
        <v>33</v>
      </c>
      <c r="K59" s="10">
        <v>0.3</v>
      </c>
      <c r="L59" s="10">
        <v>1</v>
      </c>
      <c r="M59" s="10">
        <v>1</v>
      </c>
      <c r="N59" s="10">
        <v>-2</v>
      </c>
      <c r="Q59" s="148">
        <f t="shared" si="0"/>
        <v>-2</v>
      </c>
      <c r="R59" s="163" t="s">
        <v>34</v>
      </c>
      <c r="S59" s="11">
        <v>24.74</v>
      </c>
      <c r="T59" s="157">
        <v>170</v>
      </c>
      <c r="U59" s="11">
        <v>170</v>
      </c>
      <c r="V59" s="11">
        <v>60</v>
      </c>
      <c r="W59" s="11">
        <v>8</v>
      </c>
    </row>
    <row r="60" spans="2:23">
      <c r="C60" s="58" t="s">
        <v>27</v>
      </c>
      <c r="D60" s="151"/>
      <c r="G60" s="58"/>
      <c r="H60" s="25" t="s">
        <v>45</v>
      </c>
      <c r="J60" s="58" t="s">
        <v>34</v>
      </c>
      <c r="K60" s="10">
        <v>0.6</v>
      </c>
      <c r="L60" s="10">
        <v>1</v>
      </c>
      <c r="M60" s="10">
        <v>1</v>
      </c>
      <c r="N60" s="10">
        <v>-1.25</v>
      </c>
      <c r="O60" s="10">
        <v>-0.5</v>
      </c>
      <c r="P60" s="115">
        <v>175</v>
      </c>
      <c r="Q60" s="148">
        <f t="shared" si="0"/>
        <v>-1.5</v>
      </c>
      <c r="S60" s="11">
        <v>24.47</v>
      </c>
      <c r="T60" s="163">
        <v>170</v>
      </c>
      <c r="U60" s="11">
        <v>100</v>
      </c>
      <c r="V60" s="11">
        <v>60</v>
      </c>
      <c r="W60" s="11">
        <v>6</v>
      </c>
    </row>
    <row r="61" spans="2:23">
      <c r="B61" s="158">
        <v>45683</v>
      </c>
      <c r="C61" s="58" t="s">
        <v>27</v>
      </c>
      <c r="D61" s="151" t="s">
        <v>98</v>
      </c>
      <c r="E61" s="159" t="s">
        <v>29</v>
      </c>
      <c r="F61" s="160">
        <v>41915</v>
      </c>
      <c r="G61" s="58" t="s">
        <v>99</v>
      </c>
      <c r="H61" s="25" t="s">
        <v>45</v>
      </c>
      <c r="I61" s="58" t="s">
        <v>32</v>
      </c>
      <c r="J61" s="58" t="s">
        <v>33</v>
      </c>
      <c r="K61" s="10">
        <v>0.3</v>
      </c>
      <c r="L61" s="10">
        <v>1</v>
      </c>
      <c r="M61" s="10">
        <v>1</v>
      </c>
      <c r="N61" s="10">
        <v>-3</v>
      </c>
      <c r="O61" s="10">
        <v>-0.25</v>
      </c>
      <c r="P61" s="115">
        <v>175</v>
      </c>
      <c r="Q61" s="148">
        <f t="shared" si="0"/>
        <v>-3.125</v>
      </c>
      <c r="R61" s="163" t="s">
        <v>33</v>
      </c>
      <c r="S61" s="175"/>
      <c r="T61" s="11">
        <v>170</v>
      </c>
      <c r="U61" s="11">
        <v>170</v>
      </c>
      <c r="V61" s="11">
        <v>100</v>
      </c>
      <c r="W61" s="11">
        <v>6</v>
      </c>
    </row>
    <row r="62" spans="2:23">
      <c r="C62" s="58" t="s">
        <v>27</v>
      </c>
      <c r="D62" s="151"/>
      <c r="G62" s="58"/>
      <c r="H62" s="25" t="s">
        <v>45</v>
      </c>
      <c r="J62" s="58" t="s">
        <v>34</v>
      </c>
      <c r="K62" s="10">
        <v>0.3</v>
      </c>
      <c r="L62" s="10">
        <v>1</v>
      </c>
      <c r="M62" s="10">
        <v>1</v>
      </c>
      <c r="N62" s="10">
        <v>-3</v>
      </c>
      <c r="O62" s="10">
        <v>-0.25</v>
      </c>
      <c r="P62" s="115">
        <v>170</v>
      </c>
      <c r="Q62" s="148">
        <f t="shared" si="0"/>
        <v>-3.125</v>
      </c>
      <c r="R62" s="163"/>
      <c r="S62" s="175"/>
      <c r="T62" s="11">
        <v>170</v>
      </c>
      <c r="U62" s="11">
        <v>170</v>
      </c>
      <c r="V62" s="11">
        <v>120</v>
      </c>
      <c r="W62" s="11">
        <v>6</v>
      </c>
    </row>
    <row r="63" spans="2:23">
      <c r="B63" s="158">
        <v>45700</v>
      </c>
      <c r="C63" s="58" t="s">
        <v>27</v>
      </c>
      <c r="D63" s="151" t="s">
        <v>100</v>
      </c>
      <c r="E63" s="159" t="s">
        <v>37</v>
      </c>
      <c r="F63" s="160">
        <v>42256</v>
      </c>
      <c r="G63" s="58" t="s">
        <v>101</v>
      </c>
      <c r="H63" s="25" t="s">
        <v>39</v>
      </c>
      <c r="I63" s="58" t="s">
        <v>32</v>
      </c>
      <c r="J63" s="58" t="s">
        <v>33</v>
      </c>
      <c r="K63" s="10">
        <v>0.4</v>
      </c>
      <c r="L63" s="10">
        <v>1</v>
      </c>
      <c r="M63" s="10">
        <v>1</v>
      </c>
      <c r="N63" s="10">
        <v>-1.75</v>
      </c>
      <c r="O63" s="10">
        <v>-0.5</v>
      </c>
      <c r="P63" s="115">
        <v>90</v>
      </c>
      <c r="Q63" s="148">
        <f t="shared" si="0"/>
        <v>-2</v>
      </c>
      <c r="R63" s="163" t="s">
        <v>33</v>
      </c>
      <c r="S63" s="175"/>
      <c r="T63" s="11">
        <v>170</v>
      </c>
      <c r="U63" s="11">
        <v>100</v>
      </c>
      <c r="V63" s="11">
        <v>60</v>
      </c>
      <c r="W63" s="11">
        <v>24</v>
      </c>
    </row>
    <row r="64" spans="2:23">
      <c r="C64" s="58" t="s">
        <v>27</v>
      </c>
      <c r="D64" s="151"/>
      <c r="G64" s="58"/>
      <c r="H64" s="25" t="s">
        <v>39</v>
      </c>
      <c r="J64" s="58" t="s">
        <v>34</v>
      </c>
      <c r="K64" s="10">
        <v>0.4</v>
      </c>
      <c r="L64" s="10">
        <v>1</v>
      </c>
      <c r="M64" s="10">
        <v>1</v>
      </c>
      <c r="N64" s="10">
        <v>-1.75</v>
      </c>
      <c r="O64" s="10">
        <v>0</v>
      </c>
      <c r="P64" s="115">
        <v>0</v>
      </c>
      <c r="Q64" s="148">
        <f t="shared" si="0"/>
        <v>-1.75</v>
      </c>
      <c r="S64" s="175"/>
      <c r="T64" s="11">
        <v>170</v>
      </c>
      <c r="U64" s="11">
        <v>100</v>
      </c>
      <c r="V64" s="11">
        <v>60</v>
      </c>
      <c r="W64" s="11">
        <v>24</v>
      </c>
    </row>
    <row r="65" spans="2:23">
      <c r="B65" s="158">
        <v>45700</v>
      </c>
      <c r="C65" s="58" t="s">
        <v>27</v>
      </c>
      <c r="D65" s="151" t="s">
        <v>102</v>
      </c>
      <c r="E65" s="159" t="s">
        <v>37</v>
      </c>
      <c r="F65" s="160">
        <v>42044</v>
      </c>
      <c r="G65" s="58" t="s">
        <v>103</v>
      </c>
      <c r="H65" s="25" t="s">
        <v>45</v>
      </c>
      <c r="I65" s="58" t="s">
        <v>32</v>
      </c>
      <c r="J65" s="58" t="s">
        <v>33</v>
      </c>
      <c r="K65" s="10">
        <v>0.5</v>
      </c>
      <c r="L65" s="10">
        <v>1</v>
      </c>
      <c r="M65" s="10">
        <v>1</v>
      </c>
      <c r="N65" s="10">
        <v>-1.25</v>
      </c>
      <c r="O65" s="10">
        <v>-0.75</v>
      </c>
      <c r="P65" s="115">
        <v>165</v>
      </c>
      <c r="Q65" s="148">
        <f t="shared" si="0"/>
        <v>-1.625</v>
      </c>
      <c r="R65" s="163" t="s">
        <v>33</v>
      </c>
      <c r="S65" s="11">
        <v>24.44</v>
      </c>
      <c r="T65" s="157">
        <v>170</v>
      </c>
      <c r="U65" s="11">
        <v>100</v>
      </c>
      <c r="V65" s="11">
        <v>60</v>
      </c>
      <c r="W65" s="11">
        <v>8</v>
      </c>
    </row>
    <row r="66" spans="2:23">
      <c r="C66" s="58" t="s">
        <v>27</v>
      </c>
      <c r="G66" s="58"/>
      <c r="H66" s="25" t="s">
        <v>45</v>
      </c>
      <c r="J66" s="58" t="s">
        <v>34</v>
      </c>
      <c r="K66" s="10">
        <v>0.5</v>
      </c>
      <c r="L66" s="10">
        <v>1</v>
      </c>
      <c r="M66" s="10">
        <v>1</v>
      </c>
      <c r="N66" s="10">
        <v>-1.25</v>
      </c>
      <c r="O66" s="10">
        <v>-0.75</v>
      </c>
      <c r="P66" s="115">
        <v>5</v>
      </c>
      <c r="Q66" s="148">
        <f t="shared" si="0"/>
        <v>-1.625</v>
      </c>
      <c r="S66" s="11">
        <v>24.37</v>
      </c>
      <c r="T66" s="163">
        <v>170</v>
      </c>
      <c r="U66" s="11">
        <v>170</v>
      </c>
      <c r="V66" s="11">
        <v>80</v>
      </c>
      <c r="W66" s="11">
        <v>6</v>
      </c>
    </row>
    <row r="67" spans="2:23">
      <c r="B67" s="158">
        <v>45700</v>
      </c>
      <c r="C67" s="58" t="s">
        <v>27</v>
      </c>
      <c r="D67" s="151" t="s">
        <v>104</v>
      </c>
      <c r="E67" s="159" t="s">
        <v>29</v>
      </c>
      <c r="F67" s="160">
        <v>42084</v>
      </c>
      <c r="G67" s="58" t="s">
        <v>105</v>
      </c>
      <c r="H67" s="25" t="s">
        <v>45</v>
      </c>
      <c r="I67" s="58" t="s">
        <v>32</v>
      </c>
      <c r="J67" s="58" t="s">
        <v>33</v>
      </c>
      <c r="K67" s="10">
        <v>0.4</v>
      </c>
      <c r="L67" s="10">
        <v>1</v>
      </c>
      <c r="M67" s="10">
        <v>1</v>
      </c>
      <c r="N67" s="10">
        <v>-2</v>
      </c>
      <c r="O67" s="10">
        <v>0</v>
      </c>
      <c r="P67" s="115">
        <v>0</v>
      </c>
      <c r="Q67" s="148">
        <f t="shared" ref="Q67:Q130" si="1">N67+0.5*O67</f>
        <v>-2</v>
      </c>
      <c r="R67" s="163" t="s">
        <v>33</v>
      </c>
      <c r="S67" s="11">
        <v>23.57</v>
      </c>
      <c r="T67" s="11">
        <v>170</v>
      </c>
      <c r="U67" s="11">
        <v>170</v>
      </c>
      <c r="V67" s="11">
        <v>80</v>
      </c>
      <c r="W67" s="11">
        <v>24</v>
      </c>
    </row>
    <row r="68" spans="2:23">
      <c r="C68" s="58" t="s">
        <v>27</v>
      </c>
      <c r="G68" s="58"/>
      <c r="H68" s="25" t="s">
        <v>45</v>
      </c>
      <c r="J68" s="58" t="s">
        <v>34</v>
      </c>
      <c r="K68" s="10">
        <v>0.5</v>
      </c>
      <c r="L68" s="10">
        <v>1</v>
      </c>
      <c r="M68" s="10">
        <v>1</v>
      </c>
      <c r="N68" s="10">
        <v>-1.5</v>
      </c>
      <c r="O68" s="10">
        <v>-0.5</v>
      </c>
      <c r="P68" s="115">
        <v>175</v>
      </c>
      <c r="Q68" s="148">
        <f t="shared" si="1"/>
        <v>-1.75</v>
      </c>
      <c r="S68" s="11">
        <v>23.38</v>
      </c>
      <c r="T68" s="11">
        <v>170</v>
      </c>
      <c r="U68" s="11">
        <v>170</v>
      </c>
      <c r="V68" s="11">
        <v>60</v>
      </c>
      <c r="W68" s="11">
        <v>6</v>
      </c>
    </row>
    <row r="69" spans="2:23">
      <c r="B69" s="158">
        <v>45700</v>
      </c>
      <c r="C69" s="58" t="s">
        <v>27</v>
      </c>
      <c r="D69" s="176" t="s">
        <v>106</v>
      </c>
      <c r="E69" s="159" t="s">
        <v>37</v>
      </c>
      <c r="F69" s="160">
        <v>41533</v>
      </c>
      <c r="G69" s="58" t="s">
        <v>107</v>
      </c>
      <c r="H69" s="25" t="s">
        <v>31</v>
      </c>
      <c r="I69" s="58" t="s">
        <v>32</v>
      </c>
      <c r="J69" s="58" t="s">
        <v>33</v>
      </c>
      <c r="K69" s="10">
        <v>0.6</v>
      </c>
      <c r="L69" s="10">
        <v>1</v>
      </c>
      <c r="M69" s="10">
        <v>1</v>
      </c>
      <c r="N69" s="10">
        <v>-1.75</v>
      </c>
      <c r="O69" s="10">
        <v>0</v>
      </c>
      <c r="P69" s="115">
        <v>0</v>
      </c>
      <c r="Q69" s="148">
        <f t="shared" si="1"/>
        <v>-1.75</v>
      </c>
      <c r="R69" s="163" t="s">
        <v>33</v>
      </c>
      <c r="S69" s="11">
        <v>23.92</v>
      </c>
      <c r="T69" s="157">
        <v>170</v>
      </c>
      <c r="U69" s="11">
        <v>100</v>
      </c>
      <c r="V69" s="11">
        <v>60</v>
      </c>
      <c r="W69" s="11">
        <v>8</v>
      </c>
    </row>
    <row r="70" spans="2:23">
      <c r="C70" s="58" t="s">
        <v>27</v>
      </c>
      <c r="D70" s="176"/>
      <c r="G70" s="58"/>
      <c r="H70" s="25" t="s">
        <v>31</v>
      </c>
      <c r="J70" s="58" t="s">
        <v>34</v>
      </c>
      <c r="K70" s="10">
        <v>0.6</v>
      </c>
      <c r="L70" s="10">
        <v>1</v>
      </c>
      <c r="M70" s="10">
        <v>1</v>
      </c>
      <c r="N70" s="10">
        <v>-1.75</v>
      </c>
      <c r="O70" s="10">
        <v>0</v>
      </c>
      <c r="P70" s="115">
        <v>0</v>
      </c>
      <c r="Q70" s="148">
        <f t="shared" si="1"/>
        <v>-1.75</v>
      </c>
      <c r="S70" s="11">
        <v>23.89</v>
      </c>
      <c r="T70" s="163">
        <v>170</v>
      </c>
      <c r="U70" s="11">
        <v>170</v>
      </c>
      <c r="V70" s="11">
        <v>45</v>
      </c>
      <c r="W70" s="11">
        <v>6</v>
      </c>
    </row>
    <row r="71" spans="2:23">
      <c r="B71" s="158">
        <v>45726</v>
      </c>
      <c r="C71" s="58" t="s">
        <v>27</v>
      </c>
      <c r="D71" s="176" t="s">
        <v>108</v>
      </c>
      <c r="E71" s="159" t="s">
        <v>37</v>
      </c>
      <c r="F71" s="160">
        <v>42827</v>
      </c>
      <c r="G71" s="58" t="s">
        <v>109</v>
      </c>
      <c r="H71" s="25" t="s">
        <v>31</v>
      </c>
      <c r="I71" s="58" t="s">
        <v>32</v>
      </c>
      <c r="J71" s="58" t="s">
        <v>33</v>
      </c>
      <c r="K71" s="10">
        <v>0.6</v>
      </c>
      <c r="L71" s="10">
        <v>1</v>
      </c>
      <c r="M71" s="10">
        <v>1</v>
      </c>
      <c r="N71" s="10">
        <v>-0.75</v>
      </c>
      <c r="O71" s="10">
        <v>-0.5</v>
      </c>
      <c r="P71" s="115">
        <v>5</v>
      </c>
      <c r="Q71" s="148">
        <f t="shared" si="1"/>
        <v>-1</v>
      </c>
      <c r="R71" s="163" t="s">
        <v>33</v>
      </c>
      <c r="S71" s="11">
        <v>24.34</v>
      </c>
      <c r="T71" s="11">
        <v>170</v>
      </c>
      <c r="U71" s="11">
        <v>170</v>
      </c>
      <c r="V71" s="11">
        <v>45</v>
      </c>
      <c r="W71" s="11">
        <v>6</v>
      </c>
    </row>
    <row r="72" spans="2:23">
      <c r="C72" s="58" t="s">
        <v>27</v>
      </c>
      <c r="D72" s="176"/>
      <c r="G72" s="58"/>
      <c r="H72" s="25" t="s">
        <v>31</v>
      </c>
      <c r="J72" s="58" t="s">
        <v>34</v>
      </c>
      <c r="K72" s="10">
        <v>0.5</v>
      </c>
      <c r="L72" s="10">
        <v>1</v>
      </c>
      <c r="M72" s="10">
        <v>1</v>
      </c>
      <c r="N72" s="10">
        <v>-1.25</v>
      </c>
      <c r="O72" s="10">
        <v>-0.25</v>
      </c>
      <c r="P72" s="115">
        <v>15</v>
      </c>
      <c r="Q72" s="148">
        <f t="shared" si="1"/>
        <v>-1.375</v>
      </c>
      <c r="S72" s="11">
        <v>24.57</v>
      </c>
      <c r="T72" s="11">
        <v>170</v>
      </c>
      <c r="U72" s="11">
        <v>170</v>
      </c>
      <c r="V72" s="11">
        <v>35</v>
      </c>
      <c r="W72" s="11">
        <v>4</v>
      </c>
    </row>
    <row r="73" spans="2:23">
      <c r="B73" s="158">
        <v>45712</v>
      </c>
      <c r="C73" s="58" t="s">
        <v>27</v>
      </c>
      <c r="D73" s="176" t="s">
        <v>110</v>
      </c>
      <c r="E73" s="159" t="s">
        <v>29</v>
      </c>
      <c r="F73" s="160">
        <v>41932</v>
      </c>
      <c r="G73" s="58" t="s">
        <v>111</v>
      </c>
      <c r="H73" s="25" t="s">
        <v>31</v>
      </c>
      <c r="I73" s="58" t="s">
        <v>32</v>
      </c>
      <c r="J73" s="58" t="s">
        <v>33</v>
      </c>
      <c r="K73" s="10">
        <v>0.3</v>
      </c>
      <c r="L73" s="10">
        <v>1</v>
      </c>
      <c r="M73" s="10">
        <v>1</v>
      </c>
      <c r="N73" s="10">
        <v>-1.5</v>
      </c>
      <c r="O73" s="10">
        <v>-1.25</v>
      </c>
      <c r="P73" s="115">
        <v>180</v>
      </c>
      <c r="Q73" s="148">
        <f t="shared" si="1"/>
        <v>-2.125</v>
      </c>
      <c r="R73" s="163" t="s">
        <v>33</v>
      </c>
      <c r="S73" s="11">
        <v>23.29</v>
      </c>
      <c r="T73" s="157">
        <v>170</v>
      </c>
      <c r="U73" s="11">
        <v>170</v>
      </c>
      <c r="V73" s="11">
        <v>35</v>
      </c>
      <c r="W73" s="11">
        <v>4</v>
      </c>
    </row>
    <row r="74" spans="2:23">
      <c r="C74" s="58" t="s">
        <v>27</v>
      </c>
      <c r="D74" s="176"/>
      <c r="G74" s="58"/>
      <c r="H74" s="25" t="s">
        <v>31</v>
      </c>
      <c r="J74" s="58" t="s">
        <v>34</v>
      </c>
      <c r="K74" s="10">
        <v>0.3</v>
      </c>
      <c r="L74" s="10">
        <v>1</v>
      </c>
      <c r="M74" s="10">
        <v>1</v>
      </c>
      <c r="N74" s="10">
        <v>-1</v>
      </c>
      <c r="O74" s="10">
        <v>-1.25</v>
      </c>
      <c r="P74" s="115">
        <v>175</v>
      </c>
      <c r="Q74" s="148">
        <f t="shared" si="1"/>
        <v>-1.625</v>
      </c>
      <c r="S74" s="11">
        <v>23.09</v>
      </c>
      <c r="T74" s="163">
        <v>170</v>
      </c>
      <c r="U74" s="11">
        <v>170</v>
      </c>
      <c r="V74" s="11">
        <v>35</v>
      </c>
      <c r="W74" s="11">
        <v>3</v>
      </c>
    </row>
    <row r="75" spans="2:23">
      <c r="B75" s="158">
        <v>45710</v>
      </c>
      <c r="C75" s="58" t="s">
        <v>27</v>
      </c>
      <c r="D75" s="176" t="s">
        <v>112</v>
      </c>
      <c r="E75" s="159" t="s">
        <v>29</v>
      </c>
      <c r="F75" s="160">
        <v>42562</v>
      </c>
      <c r="G75" s="58" t="s">
        <v>113</v>
      </c>
      <c r="H75" s="25" t="s">
        <v>31</v>
      </c>
      <c r="I75" s="58" t="s">
        <v>32</v>
      </c>
      <c r="J75" s="58" t="s">
        <v>33</v>
      </c>
      <c r="K75" s="10">
        <v>0.6</v>
      </c>
      <c r="L75" s="10">
        <v>1</v>
      </c>
      <c r="M75" s="10">
        <v>1</v>
      </c>
      <c r="N75" s="10">
        <v>-1</v>
      </c>
      <c r="O75" s="10">
        <v>-0.25</v>
      </c>
      <c r="P75" s="115">
        <v>105</v>
      </c>
      <c r="Q75" s="148">
        <f t="shared" si="1"/>
        <v>-1.125</v>
      </c>
      <c r="R75" s="163" t="s">
        <v>33</v>
      </c>
      <c r="S75" s="11">
        <v>24.23</v>
      </c>
      <c r="T75" s="11">
        <v>170</v>
      </c>
      <c r="U75" s="11">
        <v>170</v>
      </c>
      <c r="V75" s="11">
        <v>35</v>
      </c>
      <c r="W75" s="11">
        <v>4</v>
      </c>
    </row>
    <row r="76" spans="2:23">
      <c r="C76" s="58" t="s">
        <v>27</v>
      </c>
      <c r="D76" s="176"/>
      <c r="G76" s="58"/>
      <c r="H76" s="25" t="s">
        <v>31</v>
      </c>
      <c r="J76" s="58" t="s">
        <v>34</v>
      </c>
      <c r="K76" s="10">
        <v>0.7</v>
      </c>
      <c r="L76" s="10">
        <v>1</v>
      </c>
      <c r="M76" s="10">
        <v>1</v>
      </c>
      <c r="N76" s="10">
        <v>-0.5</v>
      </c>
      <c r="O76" s="10">
        <v>0</v>
      </c>
      <c r="P76" s="115">
        <v>0</v>
      </c>
      <c r="Q76" s="148">
        <f t="shared" si="1"/>
        <v>-0.5</v>
      </c>
      <c r="S76" s="11">
        <v>24.18</v>
      </c>
      <c r="T76" s="11">
        <v>170</v>
      </c>
      <c r="U76" s="11">
        <v>170</v>
      </c>
      <c r="V76" s="11">
        <v>60</v>
      </c>
      <c r="W76" s="11">
        <v>6</v>
      </c>
    </row>
    <row r="77" spans="2:23">
      <c r="B77" s="158">
        <v>45711</v>
      </c>
      <c r="C77" s="58" t="s">
        <v>27</v>
      </c>
      <c r="D77" s="176" t="s">
        <v>114</v>
      </c>
      <c r="E77" s="159" t="s">
        <v>37</v>
      </c>
      <c r="F77" s="159" t="s">
        <v>115</v>
      </c>
      <c r="G77" s="58" t="s">
        <v>116</v>
      </c>
      <c r="H77" s="25" t="s">
        <v>39</v>
      </c>
      <c r="I77" s="58" t="s">
        <v>32</v>
      </c>
      <c r="J77" s="58" t="s">
        <v>33</v>
      </c>
      <c r="K77" s="10">
        <v>0.25</v>
      </c>
      <c r="L77" s="10">
        <v>1</v>
      </c>
      <c r="M77" s="10">
        <v>1</v>
      </c>
      <c r="N77" s="10">
        <v>-2.25</v>
      </c>
      <c r="O77" s="10">
        <v>-0.25</v>
      </c>
      <c r="P77" s="115">
        <v>160</v>
      </c>
      <c r="Q77" s="148">
        <f t="shared" si="1"/>
        <v>-2.375</v>
      </c>
      <c r="R77" s="163" t="s">
        <v>33</v>
      </c>
      <c r="S77" s="11">
        <v>23.28</v>
      </c>
      <c r="T77" s="157">
        <v>170</v>
      </c>
      <c r="U77" s="11">
        <v>100</v>
      </c>
      <c r="V77" s="11">
        <v>60</v>
      </c>
      <c r="W77" s="11">
        <v>24</v>
      </c>
    </row>
    <row r="78" spans="2:23">
      <c r="C78" s="58" t="s">
        <v>27</v>
      </c>
      <c r="D78" s="176"/>
      <c r="G78" s="58"/>
      <c r="H78" s="25" t="s">
        <v>39</v>
      </c>
      <c r="J78" s="58" t="s">
        <v>34</v>
      </c>
      <c r="K78" s="10">
        <v>0.3</v>
      </c>
      <c r="L78" s="10">
        <v>1</v>
      </c>
      <c r="M78" s="10">
        <v>1</v>
      </c>
      <c r="N78" s="10">
        <v>-1</v>
      </c>
      <c r="O78" s="10">
        <v>-1</v>
      </c>
      <c r="P78" s="115">
        <v>5</v>
      </c>
      <c r="Q78" s="148">
        <f t="shared" si="1"/>
        <v>-1.5</v>
      </c>
      <c r="S78" s="11">
        <v>22.94</v>
      </c>
      <c r="T78" s="163">
        <v>170</v>
      </c>
      <c r="U78" s="11">
        <v>170</v>
      </c>
      <c r="V78" s="11">
        <v>45</v>
      </c>
      <c r="W78" s="11">
        <v>8</v>
      </c>
    </row>
    <row r="79" spans="2:23">
      <c r="B79" s="158">
        <v>45711</v>
      </c>
      <c r="C79" s="58" t="s">
        <v>27</v>
      </c>
      <c r="D79" s="176" t="s">
        <v>117</v>
      </c>
      <c r="E79" s="159" t="s">
        <v>29</v>
      </c>
      <c r="F79" s="160">
        <v>41184</v>
      </c>
      <c r="G79" s="58" t="s">
        <v>118</v>
      </c>
      <c r="H79" s="25" t="s">
        <v>39</v>
      </c>
      <c r="I79" s="58" t="s">
        <v>32</v>
      </c>
      <c r="J79" s="58" t="s">
        <v>33</v>
      </c>
      <c r="K79" s="10">
        <v>0.3</v>
      </c>
      <c r="L79" s="10">
        <v>1</v>
      </c>
      <c r="M79" s="10">
        <v>1</v>
      </c>
      <c r="N79" s="10">
        <v>-2.75</v>
      </c>
      <c r="O79" s="10">
        <v>-1</v>
      </c>
      <c r="P79" s="115">
        <v>175</v>
      </c>
      <c r="Q79" s="148">
        <f t="shared" si="1"/>
        <v>-3.25</v>
      </c>
      <c r="R79" s="163" t="s">
        <v>33</v>
      </c>
      <c r="S79" s="11">
        <v>24.83</v>
      </c>
      <c r="T79" s="11">
        <v>170</v>
      </c>
      <c r="U79" s="11">
        <v>170</v>
      </c>
      <c r="V79" s="11">
        <v>80</v>
      </c>
      <c r="W79" s="11">
        <v>6</v>
      </c>
    </row>
    <row r="80" spans="2:23">
      <c r="C80" s="58" t="s">
        <v>27</v>
      </c>
      <c r="D80" s="176"/>
      <c r="G80" s="58"/>
      <c r="H80" s="25" t="s">
        <v>39</v>
      </c>
      <c r="J80" s="58" t="s">
        <v>34</v>
      </c>
      <c r="K80" s="10">
        <v>0.3</v>
      </c>
      <c r="L80" s="10">
        <v>1</v>
      </c>
      <c r="M80" s="10">
        <v>1</v>
      </c>
      <c r="N80" s="10">
        <v>-2</v>
      </c>
      <c r="O80" s="10">
        <v>-1</v>
      </c>
      <c r="P80" s="115">
        <v>180</v>
      </c>
      <c r="Q80" s="148">
        <f t="shared" si="1"/>
        <v>-2.5</v>
      </c>
      <c r="S80" s="11">
        <v>24.52</v>
      </c>
      <c r="T80" s="11">
        <v>170</v>
      </c>
      <c r="U80" s="11">
        <v>170</v>
      </c>
      <c r="V80" s="11">
        <v>60</v>
      </c>
      <c r="W80" s="11">
        <v>4</v>
      </c>
    </row>
    <row r="81" spans="2:23">
      <c r="B81" s="158">
        <v>45718</v>
      </c>
      <c r="C81" s="58" t="s">
        <v>27</v>
      </c>
      <c r="D81" s="176" t="s">
        <v>119</v>
      </c>
      <c r="E81" s="159" t="s">
        <v>29</v>
      </c>
      <c r="F81" s="153">
        <v>41432</v>
      </c>
      <c r="G81" s="58" t="s">
        <v>120</v>
      </c>
      <c r="H81" s="25" t="s">
        <v>31</v>
      </c>
      <c r="I81" s="58" t="s">
        <v>32</v>
      </c>
      <c r="J81" s="58" t="s">
        <v>33</v>
      </c>
      <c r="K81" s="10">
        <v>0.6</v>
      </c>
      <c r="L81" s="10">
        <v>1</v>
      </c>
      <c r="M81" s="10">
        <v>1</v>
      </c>
      <c r="N81" s="10">
        <v>-1.25</v>
      </c>
      <c r="O81" s="10">
        <v>-0.5</v>
      </c>
      <c r="P81" s="115">
        <v>175</v>
      </c>
      <c r="Q81" s="148">
        <f t="shared" si="1"/>
        <v>-1.5</v>
      </c>
      <c r="R81" s="163" t="s">
        <v>34</v>
      </c>
      <c r="S81" s="11">
        <v>23.7</v>
      </c>
      <c r="T81" s="157">
        <v>170</v>
      </c>
      <c r="U81" s="11">
        <v>170</v>
      </c>
      <c r="V81" s="11">
        <v>60</v>
      </c>
      <c r="W81" s="11">
        <v>6</v>
      </c>
    </row>
    <row r="82" spans="2:23">
      <c r="C82" s="58" t="s">
        <v>27</v>
      </c>
      <c r="D82" s="176"/>
      <c r="H82" s="25" t="s">
        <v>31</v>
      </c>
      <c r="J82" s="58" t="s">
        <v>34</v>
      </c>
      <c r="K82" s="10">
        <v>0.25</v>
      </c>
      <c r="L82" s="10">
        <v>1</v>
      </c>
      <c r="M82" s="10">
        <v>1</v>
      </c>
      <c r="N82" s="10">
        <v>-1.25</v>
      </c>
      <c r="O82" s="10">
        <v>-1</v>
      </c>
      <c r="P82" s="115">
        <v>5</v>
      </c>
      <c r="Q82" s="148">
        <f t="shared" si="1"/>
        <v>-1.75</v>
      </c>
      <c r="S82" s="11">
        <v>23.86</v>
      </c>
      <c r="T82" s="163">
        <v>170</v>
      </c>
      <c r="U82" s="11">
        <v>170</v>
      </c>
      <c r="V82" s="11">
        <v>45</v>
      </c>
      <c r="W82" s="11">
        <v>4</v>
      </c>
    </row>
    <row r="83" spans="2:23">
      <c r="B83" s="174">
        <v>45726</v>
      </c>
      <c r="C83" s="58" t="s">
        <v>27</v>
      </c>
      <c r="D83" s="111" t="s">
        <v>121</v>
      </c>
      <c r="E83" s="159" t="s">
        <v>29</v>
      </c>
      <c r="F83" s="153">
        <v>40945</v>
      </c>
      <c r="G83" s="58" t="s">
        <v>122</v>
      </c>
      <c r="H83" s="25" t="s">
        <v>48</v>
      </c>
      <c r="I83" s="58" t="s">
        <v>32</v>
      </c>
      <c r="J83" s="58" t="s">
        <v>33</v>
      </c>
      <c r="K83" s="10">
        <v>0.6</v>
      </c>
      <c r="L83" s="10">
        <v>1</v>
      </c>
      <c r="M83" s="10">
        <v>0.6</v>
      </c>
      <c r="N83" s="10">
        <v>-0.75</v>
      </c>
      <c r="O83" s="10">
        <v>0</v>
      </c>
      <c r="P83" s="115">
        <v>0</v>
      </c>
      <c r="Q83" s="148">
        <f t="shared" si="1"/>
        <v>-0.75</v>
      </c>
      <c r="R83" s="163" t="s">
        <v>33</v>
      </c>
      <c r="S83" s="11">
        <v>24.89</v>
      </c>
      <c r="T83" s="11">
        <v>170</v>
      </c>
      <c r="U83" s="11">
        <v>170</v>
      </c>
      <c r="V83" s="11">
        <v>100</v>
      </c>
      <c r="W83" s="11">
        <v>6</v>
      </c>
    </row>
    <row r="84" spans="2:23">
      <c r="C84" s="58" t="s">
        <v>27</v>
      </c>
      <c r="H84" s="25" t="s">
        <v>48</v>
      </c>
      <c r="J84" s="58" t="s">
        <v>34</v>
      </c>
      <c r="K84" s="10">
        <v>0.6</v>
      </c>
      <c r="L84" s="10">
        <v>1</v>
      </c>
      <c r="M84" s="10">
        <v>0.6</v>
      </c>
      <c r="N84" s="10">
        <v>-1</v>
      </c>
      <c r="O84" s="10">
        <v>0</v>
      </c>
      <c r="P84" s="115">
        <v>0</v>
      </c>
      <c r="Q84" s="148">
        <f t="shared" si="1"/>
        <v>-1</v>
      </c>
      <c r="S84" s="11">
        <v>25.1</v>
      </c>
      <c r="T84" s="11">
        <v>170</v>
      </c>
      <c r="U84" s="11">
        <v>170</v>
      </c>
      <c r="V84" s="11">
        <v>60</v>
      </c>
      <c r="W84" s="11">
        <v>4</v>
      </c>
    </row>
    <row r="85" spans="2:23">
      <c r="B85" s="174">
        <v>45717</v>
      </c>
      <c r="C85" s="58" t="s">
        <v>27</v>
      </c>
      <c r="D85" s="151" t="s">
        <v>123</v>
      </c>
      <c r="E85" s="159" t="s">
        <v>37</v>
      </c>
      <c r="F85" s="153">
        <v>42013</v>
      </c>
      <c r="G85" s="58" t="s">
        <v>124</v>
      </c>
      <c r="H85" s="25" t="s">
        <v>31</v>
      </c>
      <c r="I85" s="114" t="s">
        <v>32</v>
      </c>
      <c r="J85" s="58" t="s">
        <v>33</v>
      </c>
      <c r="K85" s="10">
        <v>0.5</v>
      </c>
      <c r="L85" s="10">
        <v>1</v>
      </c>
      <c r="M85" s="10">
        <v>0.8</v>
      </c>
      <c r="N85" s="10">
        <v>-1.75</v>
      </c>
      <c r="O85" s="10">
        <v>-0.5</v>
      </c>
      <c r="P85" s="115">
        <v>165</v>
      </c>
      <c r="Q85" s="148">
        <f t="shared" si="1"/>
        <v>-2</v>
      </c>
      <c r="R85" s="163" t="s">
        <v>33</v>
      </c>
      <c r="S85" s="11">
        <v>23.28</v>
      </c>
      <c r="T85" s="11">
        <v>170</v>
      </c>
      <c r="U85" s="11">
        <v>170</v>
      </c>
      <c r="V85" s="11">
        <v>80</v>
      </c>
      <c r="W85" s="11">
        <v>24</v>
      </c>
    </row>
    <row r="86" spans="2:23">
      <c r="C86" s="58" t="s">
        <v>27</v>
      </c>
      <c r="H86" s="25" t="s">
        <v>31</v>
      </c>
      <c r="J86" s="58" t="s">
        <v>34</v>
      </c>
      <c r="K86" s="10">
        <v>0.8</v>
      </c>
      <c r="L86" s="10">
        <v>1</v>
      </c>
      <c r="M86" s="10">
        <v>0.8</v>
      </c>
      <c r="N86" s="10">
        <v>-1.75</v>
      </c>
      <c r="O86" s="10">
        <v>-0.75</v>
      </c>
      <c r="P86" s="115">
        <v>165</v>
      </c>
      <c r="Q86" s="148">
        <f t="shared" si="1"/>
        <v>-2.125</v>
      </c>
      <c r="S86" s="11">
        <v>23.33</v>
      </c>
      <c r="T86" s="11">
        <v>170</v>
      </c>
      <c r="U86" s="11">
        <v>170</v>
      </c>
      <c r="V86" s="11">
        <v>60</v>
      </c>
      <c r="W86" s="11">
        <v>24</v>
      </c>
    </row>
    <row r="87" spans="2:23">
      <c r="B87" s="174">
        <v>45738</v>
      </c>
      <c r="C87" s="58" t="s">
        <v>27</v>
      </c>
      <c r="D87" s="151" t="s">
        <v>125</v>
      </c>
      <c r="E87" s="159" t="s">
        <v>29</v>
      </c>
      <c r="F87" s="153">
        <v>42787</v>
      </c>
      <c r="G87" s="58" t="s">
        <v>126</v>
      </c>
      <c r="H87" s="25" t="s">
        <v>48</v>
      </c>
      <c r="I87" s="177" t="s">
        <v>32</v>
      </c>
      <c r="J87" s="58" t="s">
        <v>33</v>
      </c>
      <c r="K87" s="10">
        <v>0.5</v>
      </c>
      <c r="L87" s="10">
        <v>1</v>
      </c>
      <c r="M87" s="10">
        <v>0.6</v>
      </c>
      <c r="N87" s="10">
        <v>-1</v>
      </c>
      <c r="O87" s="10">
        <v>-0.25</v>
      </c>
      <c r="P87" s="115">
        <v>160</v>
      </c>
      <c r="Q87" s="148">
        <f t="shared" si="1"/>
        <v>-1.125</v>
      </c>
      <c r="R87" s="163" t="s">
        <v>33</v>
      </c>
      <c r="S87" s="11">
        <v>24.72</v>
      </c>
      <c r="T87" s="11">
        <v>170</v>
      </c>
      <c r="U87" s="11">
        <v>170</v>
      </c>
      <c r="V87" s="11">
        <v>60</v>
      </c>
      <c r="W87" s="11">
        <v>6</v>
      </c>
    </row>
    <row r="88" spans="2:23">
      <c r="C88" s="58" t="s">
        <v>27</v>
      </c>
      <c r="H88" s="25" t="s">
        <v>48</v>
      </c>
      <c r="J88" s="58" t="s">
        <v>34</v>
      </c>
      <c r="K88" s="10">
        <v>0.5</v>
      </c>
      <c r="L88" s="10">
        <v>1</v>
      </c>
      <c r="M88" s="10">
        <v>0.6</v>
      </c>
      <c r="N88" s="10">
        <v>-1.5</v>
      </c>
      <c r="O88" s="10">
        <v>-0.5</v>
      </c>
      <c r="P88" s="115">
        <v>170</v>
      </c>
      <c r="Q88" s="148">
        <f t="shared" si="1"/>
        <v>-1.75</v>
      </c>
      <c r="S88" s="11">
        <v>24.64</v>
      </c>
      <c r="T88" s="11">
        <v>170</v>
      </c>
      <c r="U88" s="11">
        <v>170</v>
      </c>
      <c r="V88" s="11">
        <v>80</v>
      </c>
      <c r="W88" s="11">
        <v>6</v>
      </c>
    </row>
    <row r="89" spans="2:23">
      <c r="B89" s="174">
        <v>45721</v>
      </c>
      <c r="C89" s="58" t="s">
        <v>27</v>
      </c>
      <c r="D89" s="151" t="s">
        <v>127</v>
      </c>
      <c r="E89" s="159" t="s">
        <v>37</v>
      </c>
      <c r="F89" s="153">
        <v>41618</v>
      </c>
      <c r="G89" s="58" t="s">
        <v>128</v>
      </c>
      <c r="H89" s="25" t="s">
        <v>48</v>
      </c>
      <c r="I89" s="177" t="s">
        <v>32</v>
      </c>
      <c r="J89" s="58" t="s">
        <v>33</v>
      </c>
      <c r="K89" s="10">
        <v>0.5</v>
      </c>
      <c r="L89" s="10">
        <v>1</v>
      </c>
      <c r="M89" s="10">
        <v>0.6</v>
      </c>
      <c r="N89" s="10">
        <v>-1.5</v>
      </c>
      <c r="O89" s="10">
        <v>-0.75</v>
      </c>
      <c r="P89" s="115">
        <v>180</v>
      </c>
      <c r="Q89" s="148">
        <f t="shared" si="1"/>
        <v>-1.875</v>
      </c>
      <c r="R89" s="163" t="s">
        <v>34</v>
      </c>
      <c r="S89" s="11">
        <v>24</v>
      </c>
      <c r="T89" s="11">
        <v>170</v>
      </c>
      <c r="U89" s="11">
        <v>170</v>
      </c>
      <c r="V89" s="11">
        <v>60</v>
      </c>
      <c r="W89" s="11">
        <v>4</v>
      </c>
    </row>
    <row r="90" spans="2:23">
      <c r="C90" s="58" t="s">
        <v>27</v>
      </c>
      <c r="H90" s="25" t="s">
        <v>48</v>
      </c>
      <c r="J90" s="58" t="s">
        <v>34</v>
      </c>
      <c r="K90" s="10">
        <v>0.4</v>
      </c>
      <c r="L90" s="161">
        <v>1</v>
      </c>
      <c r="M90" s="10">
        <v>0.5</v>
      </c>
      <c r="N90" s="10">
        <v>-2</v>
      </c>
      <c r="O90" s="10">
        <v>-0.75</v>
      </c>
      <c r="P90" s="115">
        <v>170</v>
      </c>
      <c r="Q90" s="148">
        <f t="shared" si="1"/>
        <v>-2.375</v>
      </c>
      <c r="S90" s="11">
        <v>24.25</v>
      </c>
      <c r="T90" s="11">
        <v>170</v>
      </c>
      <c r="U90" s="11">
        <v>170</v>
      </c>
      <c r="V90" s="11">
        <v>80</v>
      </c>
      <c r="W90" s="11">
        <v>6</v>
      </c>
    </row>
    <row r="91" spans="2:23">
      <c r="B91" s="174">
        <v>45718</v>
      </c>
      <c r="C91" s="58" t="s">
        <v>27</v>
      </c>
      <c r="D91" s="151" t="s">
        <v>129</v>
      </c>
      <c r="E91" s="159" t="s">
        <v>37</v>
      </c>
      <c r="F91" s="153">
        <v>43301</v>
      </c>
      <c r="G91" s="58" t="s">
        <v>130</v>
      </c>
      <c r="H91" s="25" t="s">
        <v>45</v>
      </c>
      <c r="I91" s="177" t="s">
        <v>32</v>
      </c>
      <c r="J91" s="58" t="s">
        <v>33</v>
      </c>
      <c r="K91" s="10">
        <v>0.6</v>
      </c>
      <c r="L91" s="10">
        <v>1</v>
      </c>
      <c r="M91" s="10">
        <v>0.7</v>
      </c>
      <c r="N91" s="10">
        <v>-0.5</v>
      </c>
      <c r="O91" s="10">
        <v>0</v>
      </c>
      <c r="P91" s="115">
        <v>0</v>
      </c>
      <c r="Q91" s="148">
        <f t="shared" si="1"/>
        <v>-0.5</v>
      </c>
      <c r="R91" s="163" t="s">
        <v>33</v>
      </c>
      <c r="S91" s="11">
        <v>23.4</v>
      </c>
      <c r="T91" s="11">
        <v>170</v>
      </c>
      <c r="U91" s="11">
        <v>170</v>
      </c>
      <c r="V91" s="11">
        <v>45</v>
      </c>
      <c r="W91" s="11">
        <v>4</v>
      </c>
    </row>
    <row r="92" spans="2:23">
      <c r="C92" s="58" t="s">
        <v>27</v>
      </c>
      <c r="H92" s="25" t="s">
        <v>45</v>
      </c>
      <c r="J92" s="58" t="s">
        <v>34</v>
      </c>
      <c r="K92" s="10">
        <v>0.6</v>
      </c>
      <c r="L92" s="10">
        <v>1</v>
      </c>
      <c r="M92" s="10">
        <v>0.7</v>
      </c>
      <c r="N92" s="10">
        <v>-0.25</v>
      </c>
      <c r="O92" s="10">
        <v>0</v>
      </c>
      <c r="P92" s="115">
        <v>0</v>
      </c>
      <c r="Q92" s="148">
        <f t="shared" si="1"/>
        <v>-0.25</v>
      </c>
      <c r="S92" s="11">
        <v>23.28</v>
      </c>
      <c r="T92" s="11">
        <v>170</v>
      </c>
      <c r="U92" s="11">
        <v>170</v>
      </c>
      <c r="V92" s="11">
        <v>60</v>
      </c>
      <c r="W92" s="11">
        <v>6</v>
      </c>
    </row>
    <row r="93" spans="2:23">
      <c r="B93" s="174">
        <v>45724</v>
      </c>
      <c r="C93" s="58" t="s">
        <v>27</v>
      </c>
      <c r="D93" s="151" t="s">
        <v>131</v>
      </c>
      <c r="E93" s="159" t="s">
        <v>37</v>
      </c>
      <c r="F93" s="153">
        <v>41263</v>
      </c>
      <c r="G93" s="58" t="s">
        <v>132</v>
      </c>
      <c r="H93" s="25" t="s">
        <v>45</v>
      </c>
      <c r="I93" s="177" t="s">
        <v>32</v>
      </c>
      <c r="J93" s="58" t="s">
        <v>33</v>
      </c>
      <c r="K93" s="10">
        <v>0.6</v>
      </c>
      <c r="L93" s="10">
        <v>1</v>
      </c>
      <c r="M93" s="10">
        <v>0.7</v>
      </c>
      <c r="N93" s="10">
        <v>-1</v>
      </c>
      <c r="O93" s="10">
        <v>-0.5</v>
      </c>
      <c r="P93" s="115">
        <v>165</v>
      </c>
      <c r="Q93" s="148">
        <f t="shared" si="1"/>
        <v>-1.25</v>
      </c>
      <c r="R93" s="163" t="s">
        <v>33</v>
      </c>
      <c r="S93" s="11">
        <v>24.92</v>
      </c>
      <c r="T93" s="11">
        <v>170</v>
      </c>
      <c r="U93" s="11">
        <v>170</v>
      </c>
      <c r="V93" s="11">
        <v>60</v>
      </c>
      <c r="W93" s="11">
        <v>4</v>
      </c>
    </row>
    <row r="94" spans="2:23">
      <c r="C94" s="58" t="s">
        <v>27</v>
      </c>
      <c r="H94" s="25" t="s">
        <v>45</v>
      </c>
      <c r="J94" s="58" t="s">
        <v>34</v>
      </c>
      <c r="K94" s="10">
        <v>0.6</v>
      </c>
      <c r="L94" s="10">
        <v>1</v>
      </c>
      <c r="M94" s="10">
        <v>0.7</v>
      </c>
      <c r="N94" s="10">
        <v>-1.5</v>
      </c>
      <c r="O94" s="10">
        <v>-0.25</v>
      </c>
      <c r="P94" s="115">
        <v>175</v>
      </c>
      <c r="Q94" s="148">
        <f t="shared" si="1"/>
        <v>-1.625</v>
      </c>
      <c r="S94" s="11">
        <v>24.86</v>
      </c>
      <c r="T94" s="11">
        <v>170</v>
      </c>
      <c r="U94" s="11">
        <v>170</v>
      </c>
      <c r="V94" s="11">
        <v>80</v>
      </c>
      <c r="W94" s="11">
        <v>6</v>
      </c>
    </row>
    <row r="95" spans="2:23">
      <c r="B95" s="174">
        <v>45725</v>
      </c>
      <c r="C95" s="58" t="s">
        <v>27</v>
      </c>
      <c r="D95" s="151" t="s">
        <v>133</v>
      </c>
      <c r="E95" s="159" t="s">
        <v>29</v>
      </c>
      <c r="F95" s="153">
        <v>42453</v>
      </c>
      <c r="G95" s="58" t="s">
        <v>134</v>
      </c>
      <c r="H95" s="25" t="s">
        <v>45</v>
      </c>
      <c r="I95" s="177" t="s">
        <v>32</v>
      </c>
      <c r="J95" s="58" t="s">
        <v>33</v>
      </c>
      <c r="K95" s="10">
        <v>0.4</v>
      </c>
      <c r="L95" s="10">
        <v>1</v>
      </c>
      <c r="M95" s="10">
        <v>0.6</v>
      </c>
      <c r="N95" s="10">
        <v>-0.75</v>
      </c>
      <c r="O95" s="10">
        <v>-0.5</v>
      </c>
      <c r="P95" s="115">
        <v>5</v>
      </c>
      <c r="Q95" s="148">
        <f t="shared" si="1"/>
        <v>-1</v>
      </c>
      <c r="R95" s="163" t="s">
        <v>33</v>
      </c>
      <c r="S95" s="11">
        <v>23.02</v>
      </c>
      <c r="T95" s="11">
        <v>170</v>
      </c>
      <c r="U95" s="11">
        <v>170</v>
      </c>
      <c r="V95" s="11">
        <v>80</v>
      </c>
      <c r="W95" s="11">
        <v>6</v>
      </c>
    </row>
    <row r="96" spans="2:23">
      <c r="C96" s="58" t="s">
        <v>27</v>
      </c>
      <c r="H96" s="25" t="s">
        <v>45</v>
      </c>
      <c r="J96" s="58" t="s">
        <v>34</v>
      </c>
      <c r="K96" s="10">
        <v>0.6</v>
      </c>
      <c r="L96" s="10">
        <v>1</v>
      </c>
      <c r="M96" s="10">
        <v>0.7</v>
      </c>
      <c r="N96" s="10">
        <v>-0.5</v>
      </c>
      <c r="O96" s="10">
        <v>-0.75</v>
      </c>
      <c r="P96" s="115">
        <v>175</v>
      </c>
      <c r="Q96" s="148">
        <f t="shared" si="1"/>
        <v>-0.875</v>
      </c>
      <c r="S96" s="11">
        <v>22.95</v>
      </c>
      <c r="T96" s="11">
        <v>170</v>
      </c>
      <c r="U96" s="11">
        <v>170</v>
      </c>
      <c r="V96" s="11">
        <v>60</v>
      </c>
      <c r="W96" s="11">
        <v>4</v>
      </c>
    </row>
    <row r="97" spans="1:23">
      <c r="B97" s="174">
        <v>45731</v>
      </c>
      <c r="C97" s="58" t="s">
        <v>27</v>
      </c>
      <c r="D97" s="151" t="s">
        <v>135</v>
      </c>
      <c r="E97" s="159" t="s">
        <v>37</v>
      </c>
      <c r="F97" s="153">
        <v>42621</v>
      </c>
      <c r="G97" s="58" t="s">
        <v>136</v>
      </c>
      <c r="H97" s="25" t="s">
        <v>31</v>
      </c>
      <c r="I97" s="177" t="s">
        <v>32</v>
      </c>
      <c r="J97" s="58" t="s">
        <v>33</v>
      </c>
      <c r="K97" s="10">
        <v>0.5</v>
      </c>
      <c r="L97" s="10">
        <v>1</v>
      </c>
      <c r="M97" s="10">
        <v>0.7</v>
      </c>
      <c r="N97" s="10">
        <v>-1.5</v>
      </c>
      <c r="O97" s="10">
        <v>0</v>
      </c>
      <c r="P97" s="115">
        <v>0</v>
      </c>
      <c r="Q97" s="148">
        <f t="shared" si="1"/>
        <v>-1.5</v>
      </c>
      <c r="R97" s="163" t="s">
        <v>33</v>
      </c>
      <c r="S97" s="11">
        <v>23.29</v>
      </c>
      <c r="T97" s="11">
        <v>170</v>
      </c>
      <c r="U97" s="11">
        <v>170</v>
      </c>
      <c r="V97" s="11">
        <v>45</v>
      </c>
      <c r="W97" s="11">
        <v>6</v>
      </c>
    </row>
    <row r="98" spans="1:23">
      <c r="C98" s="58" t="s">
        <v>27</v>
      </c>
      <c r="H98" s="25" t="s">
        <v>31</v>
      </c>
      <c r="I98" s="177"/>
      <c r="J98" s="58" t="s">
        <v>34</v>
      </c>
      <c r="K98" s="10">
        <v>0.5</v>
      </c>
      <c r="L98" s="10">
        <v>1</v>
      </c>
      <c r="M98" s="10">
        <v>0.7</v>
      </c>
      <c r="N98" s="10">
        <v>-1.25</v>
      </c>
      <c r="O98" s="10">
        <v>-0.5</v>
      </c>
      <c r="P98" s="115">
        <v>150</v>
      </c>
      <c r="Q98" s="148">
        <f t="shared" si="1"/>
        <v>-1.5</v>
      </c>
      <c r="S98" s="11">
        <v>23.26</v>
      </c>
      <c r="T98" s="11">
        <v>170</v>
      </c>
      <c r="U98" s="11">
        <v>170</v>
      </c>
      <c r="V98" s="11">
        <v>45</v>
      </c>
      <c r="W98" s="11">
        <v>4</v>
      </c>
    </row>
    <row r="99" spans="1:23">
      <c r="B99" s="174">
        <v>45731</v>
      </c>
      <c r="C99" s="58" t="s">
        <v>27</v>
      </c>
      <c r="D99" s="151" t="s">
        <v>137</v>
      </c>
      <c r="E99" s="159" t="s">
        <v>37</v>
      </c>
      <c r="F99" s="153">
        <v>41977</v>
      </c>
      <c r="G99" s="58" t="s">
        <v>138</v>
      </c>
      <c r="H99" s="25" t="s">
        <v>39</v>
      </c>
      <c r="I99" s="177" t="s">
        <v>32</v>
      </c>
      <c r="J99" s="58" t="s">
        <v>33</v>
      </c>
      <c r="K99" s="10">
        <v>0.7</v>
      </c>
      <c r="L99" s="10">
        <v>1</v>
      </c>
      <c r="M99" s="10">
        <v>0.8</v>
      </c>
      <c r="N99" s="10">
        <v>-1</v>
      </c>
      <c r="O99" s="10">
        <v>-1</v>
      </c>
      <c r="P99" s="115">
        <v>170</v>
      </c>
      <c r="Q99" s="148">
        <f t="shared" si="1"/>
        <v>-1.5</v>
      </c>
      <c r="R99" s="163" t="s">
        <v>34</v>
      </c>
      <c r="S99" s="11">
        <v>23.87</v>
      </c>
      <c r="T99" s="11">
        <v>170</v>
      </c>
      <c r="U99" s="11">
        <v>170</v>
      </c>
      <c r="V99" s="11">
        <v>60</v>
      </c>
      <c r="W99" s="11">
        <v>6</v>
      </c>
    </row>
    <row r="100" spans="1:23">
      <c r="C100" s="58" t="s">
        <v>27</v>
      </c>
      <c r="H100" s="25" t="s">
        <v>39</v>
      </c>
      <c r="J100" s="58" t="s">
        <v>34</v>
      </c>
      <c r="K100" s="10">
        <v>0.6</v>
      </c>
      <c r="L100" s="10">
        <v>1</v>
      </c>
      <c r="M100" s="10">
        <v>0.8</v>
      </c>
      <c r="N100" s="10">
        <v>-1.75</v>
      </c>
      <c r="O100" s="10">
        <v>-1</v>
      </c>
      <c r="P100" s="115">
        <v>5</v>
      </c>
      <c r="Q100" s="148">
        <f t="shared" si="1"/>
        <v>-2.25</v>
      </c>
      <c r="S100" s="11">
        <v>24.12</v>
      </c>
      <c r="T100" s="11">
        <v>170</v>
      </c>
      <c r="U100" s="11">
        <v>100</v>
      </c>
      <c r="V100" s="11">
        <v>60</v>
      </c>
      <c r="W100" s="11">
        <v>6</v>
      </c>
    </row>
    <row r="101" spans="1:23">
      <c r="B101" s="174">
        <v>45725</v>
      </c>
      <c r="C101" s="58" t="s">
        <v>139</v>
      </c>
      <c r="D101" s="151" t="s">
        <v>140</v>
      </c>
      <c r="E101" s="159" t="s">
        <v>29</v>
      </c>
      <c r="F101" s="153">
        <v>40944</v>
      </c>
      <c r="G101" s="58" t="s">
        <v>141</v>
      </c>
      <c r="H101" s="25" t="s">
        <v>45</v>
      </c>
      <c r="I101" s="177" t="s">
        <v>32</v>
      </c>
      <c r="J101" s="58" t="s">
        <v>33</v>
      </c>
      <c r="K101" s="10">
        <v>0.8</v>
      </c>
      <c r="L101" s="10">
        <v>1</v>
      </c>
      <c r="M101" s="172"/>
      <c r="N101" s="10">
        <v>-0.75</v>
      </c>
      <c r="O101" s="10">
        <v>-0.5</v>
      </c>
      <c r="P101" s="115">
        <v>115</v>
      </c>
      <c r="Q101" s="148">
        <f t="shared" si="1"/>
        <v>-1</v>
      </c>
      <c r="R101" s="163" t="s">
        <v>33</v>
      </c>
      <c r="S101" s="11">
        <v>24.25</v>
      </c>
      <c r="T101" s="11">
        <v>6</v>
      </c>
      <c r="U101" s="11">
        <v>3</v>
      </c>
      <c r="V101" s="11">
        <v>2</v>
      </c>
      <c r="W101" s="11">
        <v>4</v>
      </c>
    </row>
    <row r="102" spans="1:23">
      <c r="C102" s="58" t="s">
        <v>139</v>
      </c>
      <c r="H102" s="25" t="s">
        <v>45</v>
      </c>
      <c r="J102" s="58" t="s">
        <v>34</v>
      </c>
      <c r="K102" s="10">
        <v>0.6</v>
      </c>
      <c r="L102" s="10">
        <v>1</v>
      </c>
      <c r="M102" s="172"/>
      <c r="N102" s="10">
        <v>-0.5</v>
      </c>
      <c r="O102" s="10">
        <v>-0.5</v>
      </c>
      <c r="P102" s="115">
        <v>80</v>
      </c>
      <c r="Q102" s="148">
        <f t="shared" si="1"/>
        <v>-0.75</v>
      </c>
      <c r="S102" s="11">
        <v>24.33</v>
      </c>
      <c r="T102" s="11">
        <v>7</v>
      </c>
      <c r="U102" s="11">
        <v>3</v>
      </c>
      <c r="V102" s="11">
        <v>2</v>
      </c>
      <c r="W102" s="11">
        <v>6</v>
      </c>
    </row>
    <row r="103" spans="1:23">
      <c r="A103" s="81"/>
      <c r="B103" s="174">
        <v>45739</v>
      </c>
      <c r="C103" s="58" t="s">
        <v>27</v>
      </c>
      <c r="D103" s="151" t="s">
        <v>142</v>
      </c>
      <c r="E103" s="159" t="s">
        <v>37</v>
      </c>
      <c r="F103" s="153">
        <v>42329</v>
      </c>
      <c r="G103" s="58" t="s">
        <v>143</v>
      </c>
      <c r="H103" s="25" t="s">
        <v>48</v>
      </c>
      <c r="I103" s="177" t="s">
        <v>32</v>
      </c>
      <c r="J103" s="58" t="s">
        <v>33</v>
      </c>
      <c r="K103" s="10">
        <v>0.4</v>
      </c>
      <c r="L103" s="10">
        <v>1</v>
      </c>
      <c r="M103" s="10">
        <v>0.6</v>
      </c>
      <c r="N103" s="10">
        <v>-0.75</v>
      </c>
      <c r="O103" s="10">
        <v>0</v>
      </c>
      <c r="P103" s="115">
        <v>0</v>
      </c>
      <c r="Q103" s="148">
        <f t="shared" si="1"/>
        <v>-0.75</v>
      </c>
      <c r="R103" s="163" t="s">
        <v>33</v>
      </c>
      <c r="S103" s="11">
        <v>24.57</v>
      </c>
      <c r="T103" s="11">
        <v>170</v>
      </c>
      <c r="U103" s="11">
        <v>170</v>
      </c>
      <c r="V103" s="11">
        <v>60</v>
      </c>
      <c r="W103" s="11">
        <v>8</v>
      </c>
    </row>
    <row r="104" spans="1:23">
      <c r="C104" s="58" t="s">
        <v>27</v>
      </c>
      <c r="H104" s="25" t="s">
        <v>48</v>
      </c>
      <c r="J104" s="58" t="s">
        <v>34</v>
      </c>
      <c r="K104" s="10">
        <v>0.5</v>
      </c>
      <c r="L104" s="10">
        <v>1</v>
      </c>
      <c r="M104" s="10">
        <v>0.6</v>
      </c>
      <c r="N104" s="10">
        <v>-1</v>
      </c>
      <c r="O104" s="10">
        <v>-0.25</v>
      </c>
      <c r="P104" s="115">
        <v>150</v>
      </c>
      <c r="Q104" s="148">
        <f t="shared" si="1"/>
        <v>-1.125</v>
      </c>
      <c r="S104" s="11">
        <v>24.7</v>
      </c>
      <c r="T104" s="11">
        <v>170</v>
      </c>
      <c r="U104" s="11">
        <v>170</v>
      </c>
      <c r="V104" s="11">
        <v>80</v>
      </c>
      <c r="W104" s="11">
        <v>8</v>
      </c>
    </row>
    <row r="105" spans="1:23">
      <c r="B105" s="174">
        <v>45738</v>
      </c>
      <c r="C105" s="58" t="s">
        <v>27</v>
      </c>
      <c r="D105" s="151" t="s">
        <v>144</v>
      </c>
      <c r="E105" s="159" t="s">
        <v>29</v>
      </c>
      <c r="F105" s="153">
        <v>41941</v>
      </c>
      <c r="G105" s="58" t="s">
        <v>145</v>
      </c>
      <c r="H105" s="25" t="s">
        <v>39</v>
      </c>
      <c r="I105" s="177" t="s">
        <v>32</v>
      </c>
      <c r="J105" s="58" t="s">
        <v>33</v>
      </c>
      <c r="K105" s="10">
        <v>0.3</v>
      </c>
      <c r="L105" s="10">
        <v>1</v>
      </c>
      <c r="M105" s="10">
        <v>0.4</v>
      </c>
      <c r="N105" s="10">
        <v>-1.75</v>
      </c>
      <c r="O105" s="10">
        <v>-0.25</v>
      </c>
      <c r="P105" s="115">
        <v>175</v>
      </c>
      <c r="Q105" s="148">
        <f t="shared" si="1"/>
        <v>-1.875</v>
      </c>
      <c r="R105" s="163" t="s">
        <v>33</v>
      </c>
      <c r="S105" s="11">
        <v>25.35</v>
      </c>
      <c r="T105" s="11">
        <v>170</v>
      </c>
      <c r="U105" s="11">
        <v>170</v>
      </c>
      <c r="V105" s="11">
        <v>80</v>
      </c>
      <c r="W105" s="11">
        <v>6</v>
      </c>
    </row>
    <row r="106" spans="1:23">
      <c r="C106" s="58" t="s">
        <v>27</v>
      </c>
      <c r="H106" s="25" t="s">
        <v>39</v>
      </c>
      <c r="J106" s="58" t="s">
        <v>34</v>
      </c>
      <c r="K106" s="10">
        <v>0.5</v>
      </c>
      <c r="L106" s="10">
        <v>1</v>
      </c>
      <c r="M106" s="10">
        <v>0.5</v>
      </c>
      <c r="N106" s="10">
        <v>-1.75</v>
      </c>
      <c r="O106" s="10">
        <v>-0.5</v>
      </c>
      <c r="P106" s="115">
        <v>170</v>
      </c>
      <c r="Q106" s="148">
        <f t="shared" si="1"/>
        <v>-2</v>
      </c>
      <c r="S106" s="11">
        <v>25.54</v>
      </c>
      <c r="T106" s="11">
        <v>170</v>
      </c>
      <c r="U106" s="11">
        <v>170</v>
      </c>
      <c r="V106" s="11">
        <v>80</v>
      </c>
      <c r="W106" s="11">
        <v>6</v>
      </c>
    </row>
    <row r="107" spans="1:23">
      <c r="B107" s="174">
        <v>45732</v>
      </c>
      <c r="C107" s="58" t="s">
        <v>27</v>
      </c>
      <c r="D107" s="151" t="s">
        <v>146</v>
      </c>
      <c r="E107" s="159" t="s">
        <v>37</v>
      </c>
      <c r="F107" s="153">
        <v>42265</v>
      </c>
      <c r="G107" s="58" t="s">
        <v>147</v>
      </c>
      <c r="H107" s="25" t="s">
        <v>39</v>
      </c>
      <c r="I107" s="177" t="s">
        <v>32</v>
      </c>
      <c r="J107" s="58" t="s">
        <v>33</v>
      </c>
      <c r="K107" s="10">
        <v>0.6</v>
      </c>
      <c r="L107" s="10">
        <v>1</v>
      </c>
      <c r="M107" s="10">
        <v>0.7</v>
      </c>
      <c r="N107" s="10">
        <v>-1</v>
      </c>
      <c r="O107" s="10">
        <v>0</v>
      </c>
      <c r="P107" s="115">
        <v>0</v>
      </c>
      <c r="Q107" s="148">
        <f t="shared" si="1"/>
        <v>-1</v>
      </c>
      <c r="R107" s="163" t="s">
        <v>33</v>
      </c>
      <c r="S107" s="11">
        <v>24.2</v>
      </c>
      <c r="T107" s="11">
        <v>170</v>
      </c>
      <c r="U107" s="11">
        <v>170</v>
      </c>
      <c r="V107" s="11">
        <v>80</v>
      </c>
      <c r="W107" s="11">
        <v>6</v>
      </c>
    </row>
    <row r="108" spans="1:23">
      <c r="C108" s="58" t="s">
        <v>27</v>
      </c>
      <c r="H108" s="25" t="s">
        <v>39</v>
      </c>
      <c r="J108" s="58" t="s">
        <v>34</v>
      </c>
      <c r="K108" s="10">
        <v>0.7</v>
      </c>
      <c r="L108" s="10">
        <v>1</v>
      </c>
      <c r="M108" s="10">
        <v>0.8</v>
      </c>
      <c r="N108" s="10">
        <v>-0.75</v>
      </c>
      <c r="O108" s="10">
        <v>0</v>
      </c>
      <c r="P108" s="115">
        <v>0</v>
      </c>
      <c r="Q108" s="148">
        <f t="shared" si="1"/>
        <v>-0.75</v>
      </c>
      <c r="S108" s="11">
        <v>23.93</v>
      </c>
      <c r="T108" s="11">
        <v>170</v>
      </c>
      <c r="U108" s="11">
        <v>170</v>
      </c>
      <c r="V108" s="11">
        <v>60</v>
      </c>
      <c r="W108" s="11">
        <v>4</v>
      </c>
    </row>
    <row r="109" spans="1:23">
      <c r="B109" s="174">
        <v>45743</v>
      </c>
      <c r="C109" s="58" t="s">
        <v>27</v>
      </c>
      <c r="D109" s="151" t="s">
        <v>148</v>
      </c>
      <c r="E109" s="159" t="s">
        <v>37</v>
      </c>
      <c r="F109" s="153">
        <v>42319</v>
      </c>
      <c r="G109" s="58" t="s">
        <v>149</v>
      </c>
      <c r="H109" s="25" t="s">
        <v>48</v>
      </c>
      <c r="I109" s="177" t="s">
        <v>32</v>
      </c>
      <c r="J109" s="58" t="s">
        <v>33</v>
      </c>
      <c r="K109" s="10">
        <v>0.3</v>
      </c>
      <c r="L109" s="10">
        <v>1</v>
      </c>
      <c r="M109" s="10">
        <v>0.4</v>
      </c>
      <c r="N109" s="10">
        <v>-1.75</v>
      </c>
      <c r="O109" s="10">
        <v>-1</v>
      </c>
      <c r="P109" s="115">
        <v>10</v>
      </c>
      <c r="Q109" s="148">
        <f t="shared" si="1"/>
        <v>-2.25</v>
      </c>
      <c r="R109" s="163" t="s">
        <v>34</v>
      </c>
      <c r="S109" s="11">
        <v>25.89</v>
      </c>
      <c r="T109" s="11">
        <v>170</v>
      </c>
      <c r="U109" s="11">
        <v>170</v>
      </c>
      <c r="V109" s="11">
        <v>80</v>
      </c>
      <c r="W109" s="11">
        <v>6</v>
      </c>
    </row>
    <row r="110" spans="1:23">
      <c r="C110" s="58" t="s">
        <v>27</v>
      </c>
      <c r="H110" s="25" t="s">
        <v>48</v>
      </c>
      <c r="J110" s="58" t="s">
        <v>34</v>
      </c>
      <c r="K110" s="10">
        <v>0.2</v>
      </c>
      <c r="L110" s="10">
        <v>1</v>
      </c>
      <c r="M110" s="10">
        <v>0.3</v>
      </c>
      <c r="N110" s="10">
        <v>-2.75</v>
      </c>
      <c r="O110" s="10">
        <v>0</v>
      </c>
      <c r="P110" s="115">
        <v>0</v>
      </c>
      <c r="Q110" s="148">
        <f t="shared" si="1"/>
        <v>-2.75</v>
      </c>
      <c r="S110" s="11">
        <v>26.2</v>
      </c>
      <c r="T110" s="11">
        <v>170</v>
      </c>
      <c r="U110" s="11">
        <v>170</v>
      </c>
      <c r="V110" s="11">
        <v>60</v>
      </c>
      <c r="W110" s="11">
        <v>4</v>
      </c>
    </row>
    <row r="111" spans="1:23">
      <c r="B111" s="174">
        <v>45745</v>
      </c>
      <c r="C111" s="58" t="s">
        <v>27</v>
      </c>
      <c r="D111" s="151" t="s">
        <v>150</v>
      </c>
      <c r="E111" s="159" t="s">
        <v>37</v>
      </c>
      <c r="F111" s="153">
        <v>41130</v>
      </c>
      <c r="G111" s="58" t="s">
        <v>151</v>
      </c>
      <c r="H111" s="25" t="s">
        <v>45</v>
      </c>
      <c r="I111" s="177" t="s">
        <v>32</v>
      </c>
      <c r="J111" s="58" t="s">
        <v>33</v>
      </c>
      <c r="K111" s="10">
        <v>0.4</v>
      </c>
      <c r="L111" s="10">
        <v>1</v>
      </c>
      <c r="M111" s="10">
        <v>0.4</v>
      </c>
      <c r="N111" s="10">
        <v>-1.25</v>
      </c>
      <c r="O111" s="10">
        <v>-0.5</v>
      </c>
      <c r="P111" s="115">
        <v>165</v>
      </c>
      <c r="Q111" s="148">
        <f t="shared" si="1"/>
        <v>-1.5</v>
      </c>
      <c r="R111" s="163" t="s">
        <v>33</v>
      </c>
      <c r="S111" s="11">
        <v>24.25</v>
      </c>
      <c r="T111" s="11">
        <v>170</v>
      </c>
      <c r="U111" s="11">
        <v>170</v>
      </c>
      <c r="V111" s="11">
        <v>80</v>
      </c>
      <c r="W111" s="11">
        <v>6</v>
      </c>
    </row>
    <row r="112" spans="1:23">
      <c r="C112" s="58" t="s">
        <v>27</v>
      </c>
      <c r="H112" s="25" t="s">
        <v>45</v>
      </c>
      <c r="J112" s="58" t="s">
        <v>34</v>
      </c>
      <c r="K112" s="10">
        <v>0.4</v>
      </c>
      <c r="L112" s="10">
        <v>1</v>
      </c>
      <c r="M112" s="10">
        <v>0.4</v>
      </c>
      <c r="N112" s="10">
        <v>-1.25</v>
      </c>
      <c r="O112" s="10">
        <v>-0.75</v>
      </c>
      <c r="P112" s="115">
        <v>175</v>
      </c>
      <c r="Q112" s="148">
        <f t="shared" si="1"/>
        <v>-1.625</v>
      </c>
      <c r="S112" s="11">
        <v>24.26</v>
      </c>
      <c r="T112" s="11">
        <v>170</v>
      </c>
      <c r="U112" s="11">
        <v>170</v>
      </c>
      <c r="V112" s="11">
        <v>60</v>
      </c>
      <c r="W112" s="11">
        <v>4</v>
      </c>
    </row>
    <row r="113" spans="2:23">
      <c r="B113" s="174">
        <v>45745</v>
      </c>
      <c r="C113" s="58" t="s">
        <v>27</v>
      </c>
      <c r="D113" s="151" t="s">
        <v>152</v>
      </c>
      <c r="E113" s="159" t="s">
        <v>37</v>
      </c>
      <c r="F113" s="153">
        <v>43350</v>
      </c>
      <c r="G113" s="58" t="s">
        <v>153</v>
      </c>
      <c r="H113" s="25" t="s">
        <v>39</v>
      </c>
      <c r="I113" s="177" t="s">
        <v>32</v>
      </c>
      <c r="J113" s="58" t="s">
        <v>33</v>
      </c>
      <c r="K113" s="10">
        <v>0.3</v>
      </c>
      <c r="L113" s="10">
        <v>1</v>
      </c>
      <c r="M113" s="10">
        <v>0.4</v>
      </c>
      <c r="N113" s="10">
        <v>-1</v>
      </c>
      <c r="O113" s="10">
        <v>-0.75</v>
      </c>
      <c r="P113" s="115">
        <v>180</v>
      </c>
      <c r="Q113" s="148">
        <f t="shared" si="1"/>
        <v>-1.375</v>
      </c>
      <c r="R113" s="163" t="s">
        <v>33</v>
      </c>
      <c r="S113" s="11">
        <v>24.76</v>
      </c>
      <c r="T113" s="11">
        <v>170</v>
      </c>
      <c r="U113" s="11">
        <v>170</v>
      </c>
      <c r="V113" s="11">
        <v>60</v>
      </c>
      <c r="W113" s="11">
        <v>6</v>
      </c>
    </row>
    <row r="114" spans="2:23">
      <c r="C114" s="58" t="s">
        <v>27</v>
      </c>
      <c r="H114" s="25" t="s">
        <v>39</v>
      </c>
      <c r="J114" s="58" t="s">
        <v>34</v>
      </c>
      <c r="K114" s="10">
        <v>0.3</v>
      </c>
      <c r="L114" s="10">
        <v>1</v>
      </c>
      <c r="M114" s="10">
        <v>0.4</v>
      </c>
      <c r="N114" s="10">
        <v>-1.25</v>
      </c>
      <c r="O114" s="10">
        <v>-0.5</v>
      </c>
      <c r="P114" s="115">
        <v>165</v>
      </c>
      <c r="Q114" s="148">
        <f t="shared" si="1"/>
        <v>-1.5</v>
      </c>
      <c r="S114" s="11">
        <v>24.74</v>
      </c>
      <c r="T114" s="11">
        <v>170</v>
      </c>
      <c r="U114" s="11">
        <v>170</v>
      </c>
      <c r="V114" s="11">
        <v>60</v>
      </c>
      <c r="W114" s="11">
        <v>6</v>
      </c>
    </row>
    <row r="115" spans="2:23">
      <c r="B115" s="158">
        <v>45745</v>
      </c>
      <c r="C115" s="58" t="s">
        <v>27</v>
      </c>
      <c r="D115" s="151" t="s">
        <v>154</v>
      </c>
      <c r="E115" s="159" t="s">
        <v>37</v>
      </c>
      <c r="F115" s="153">
        <v>42591</v>
      </c>
      <c r="G115" s="58" t="s">
        <v>155</v>
      </c>
      <c r="H115" s="25" t="s">
        <v>39</v>
      </c>
      <c r="I115" s="177" t="s">
        <v>32</v>
      </c>
      <c r="J115" s="58" t="s">
        <v>33</v>
      </c>
      <c r="K115" s="10">
        <v>0.3</v>
      </c>
      <c r="L115" s="10">
        <v>1</v>
      </c>
      <c r="N115" s="10">
        <v>-0.5</v>
      </c>
      <c r="O115" s="10">
        <v>-0.75</v>
      </c>
      <c r="P115" s="115">
        <v>160</v>
      </c>
      <c r="Q115" s="148">
        <f t="shared" si="1"/>
        <v>-0.875</v>
      </c>
      <c r="R115" s="163" t="s">
        <v>33</v>
      </c>
      <c r="S115" s="11">
        <v>23.81</v>
      </c>
      <c r="T115" s="11">
        <v>170</v>
      </c>
      <c r="U115" s="11">
        <v>170</v>
      </c>
      <c r="V115" s="11">
        <v>80</v>
      </c>
      <c r="W115" s="11">
        <v>6</v>
      </c>
    </row>
    <row r="116" spans="2:23">
      <c r="C116" s="58" t="s">
        <v>27</v>
      </c>
      <c r="H116" s="25" t="s">
        <v>39</v>
      </c>
      <c r="J116" s="58" t="s">
        <v>34</v>
      </c>
      <c r="K116" s="10">
        <v>0.6</v>
      </c>
      <c r="L116" s="10">
        <v>1</v>
      </c>
      <c r="N116" s="10">
        <v>-0.25</v>
      </c>
      <c r="O116" s="10">
        <v>-1.25</v>
      </c>
      <c r="P116" s="115">
        <v>180</v>
      </c>
      <c r="Q116" s="148">
        <f t="shared" si="1"/>
        <v>-0.875</v>
      </c>
      <c r="S116" s="11">
        <v>23.96</v>
      </c>
      <c r="T116" s="11">
        <v>170</v>
      </c>
      <c r="U116" s="11">
        <v>170</v>
      </c>
      <c r="V116" s="11">
        <v>80</v>
      </c>
      <c r="W116" s="11">
        <v>6</v>
      </c>
    </row>
    <row r="117" spans="2:23">
      <c r="B117" s="158">
        <v>45732</v>
      </c>
      <c r="C117" s="58" t="s">
        <v>139</v>
      </c>
      <c r="D117" s="151" t="s">
        <v>156</v>
      </c>
      <c r="G117" s="58" t="s">
        <v>157</v>
      </c>
      <c r="H117" s="25" t="s">
        <v>48</v>
      </c>
      <c r="I117" s="177" t="s">
        <v>32</v>
      </c>
      <c r="J117" s="58" t="s">
        <v>33</v>
      </c>
      <c r="K117" s="10">
        <v>0.6</v>
      </c>
      <c r="L117" s="10">
        <v>1</v>
      </c>
      <c r="M117" s="172"/>
      <c r="N117" s="10">
        <v>-3.25</v>
      </c>
      <c r="O117" s="10">
        <v>-1</v>
      </c>
      <c r="P117" s="115">
        <v>170</v>
      </c>
      <c r="Q117" s="148">
        <f t="shared" si="1"/>
        <v>-3.75</v>
      </c>
      <c r="R117" s="163" t="s">
        <v>33</v>
      </c>
      <c r="S117" s="11">
        <v>26.3</v>
      </c>
      <c r="T117" s="11">
        <v>6</v>
      </c>
      <c r="U117" s="11">
        <v>5</v>
      </c>
      <c r="V117" s="11">
        <v>5</v>
      </c>
      <c r="W117" s="11">
        <v>5</v>
      </c>
    </row>
    <row r="118" spans="2:23">
      <c r="C118" s="58" t="s">
        <v>139</v>
      </c>
      <c r="H118" s="25" t="s">
        <v>48</v>
      </c>
      <c r="J118" s="58" t="s">
        <v>34</v>
      </c>
      <c r="K118" s="10">
        <v>0.8</v>
      </c>
      <c r="L118" s="10">
        <v>1</v>
      </c>
      <c r="M118" s="172"/>
      <c r="N118" s="10">
        <v>-3</v>
      </c>
      <c r="O118" s="10">
        <v>-1.5</v>
      </c>
      <c r="P118" s="115">
        <v>180</v>
      </c>
      <c r="Q118" s="148">
        <f t="shared" si="1"/>
        <v>-3.75</v>
      </c>
      <c r="S118" s="11">
        <v>26.15</v>
      </c>
      <c r="T118" s="11">
        <v>5</v>
      </c>
      <c r="U118" s="11">
        <v>5</v>
      </c>
      <c r="V118" s="11">
        <v>4</v>
      </c>
      <c r="W118" s="11">
        <v>5</v>
      </c>
    </row>
    <row r="119" spans="2:23">
      <c r="B119" s="178" t="s">
        <v>158</v>
      </c>
      <c r="C119" s="58" t="s">
        <v>27</v>
      </c>
      <c r="D119" s="151" t="s">
        <v>159</v>
      </c>
      <c r="E119" s="159" t="s">
        <v>29</v>
      </c>
      <c r="F119" s="153">
        <v>41911</v>
      </c>
      <c r="G119" s="58" t="s">
        <v>160</v>
      </c>
      <c r="H119" s="25" t="s">
        <v>45</v>
      </c>
      <c r="I119" s="177" t="s">
        <v>32</v>
      </c>
      <c r="J119" s="58" t="s">
        <v>33</v>
      </c>
      <c r="K119" s="10">
        <v>0.6</v>
      </c>
      <c r="L119" s="10">
        <v>1</v>
      </c>
      <c r="M119" s="10">
        <v>0.7</v>
      </c>
      <c r="N119" s="10">
        <v>-1</v>
      </c>
      <c r="O119" s="10">
        <v>-0.5</v>
      </c>
      <c r="P119" s="115">
        <v>155</v>
      </c>
      <c r="Q119" s="148">
        <f t="shared" si="1"/>
        <v>-1.25</v>
      </c>
      <c r="R119" s="163" t="s">
        <v>33</v>
      </c>
      <c r="S119" s="11">
        <v>24.39</v>
      </c>
      <c r="T119" s="11">
        <v>170</v>
      </c>
      <c r="U119" s="11">
        <v>170</v>
      </c>
      <c r="V119" s="11">
        <v>80</v>
      </c>
      <c r="W119" s="11">
        <v>6</v>
      </c>
    </row>
    <row r="120" spans="2:23">
      <c r="C120" s="58" t="s">
        <v>27</v>
      </c>
      <c r="H120" s="25" t="s">
        <v>45</v>
      </c>
      <c r="J120" s="58" t="s">
        <v>34</v>
      </c>
      <c r="K120" s="10">
        <v>0.6</v>
      </c>
      <c r="L120" s="10">
        <v>1</v>
      </c>
      <c r="M120" s="10">
        <v>0.7</v>
      </c>
      <c r="N120" s="10">
        <v>-0.75</v>
      </c>
      <c r="O120" s="10">
        <v>-0.5</v>
      </c>
      <c r="P120" s="115">
        <v>15</v>
      </c>
      <c r="Q120" s="148">
        <f t="shared" si="1"/>
        <v>-1</v>
      </c>
      <c r="S120" s="11">
        <v>24.39</v>
      </c>
      <c r="T120" s="11">
        <v>170</v>
      </c>
      <c r="U120" s="11">
        <v>170</v>
      </c>
      <c r="V120" s="11">
        <v>80</v>
      </c>
      <c r="W120" s="11">
        <v>6</v>
      </c>
    </row>
    <row r="121" spans="2:23">
      <c r="B121" s="178" t="s">
        <v>161</v>
      </c>
      <c r="C121" s="58" t="s">
        <v>27</v>
      </c>
      <c r="D121" s="151" t="s">
        <v>162</v>
      </c>
      <c r="E121" s="159" t="s">
        <v>37</v>
      </c>
      <c r="F121" s="153">
        <v>41568</v>
      </c>
      <c r="G121" s="58" t="s">
        <v>163</v>
      </c>
      <c r="H121" s="25" t="s">
        <v>31</v>
      </c>
      <c r="I121" s="177" t="s">
        <v>32</v>
      </c>
      <c r="J121" s="58" t="s">
        <v>33</v>
      </c>
      <c r="K121" s="10">
        <v>0.3</v>
      </c>
      <c r="L121" s="10">
        <v>0.3</v>
      </c>
      <c r="N121" s="10">
        <v>-1.25</v>
      </c>
      <c r="O121" s="10">
        <v>-1.25</v>
      </c>
      <c r="P121" s="115">
        <v>165</v>
      </c>
      <c r="Q121" s="148">
        <f t="shared" si="1"/>
        <v>-1.875</v>
      </c>
      <c r="S121" s="11">
        <v>24.03</v>
      </c>
      <c r="T121" s="11">
        <v>170</v>
      </c>
      <c r="U121" s="11">
        <v>170</v>
      </c>
      <c r="V121" s="11">
        <v>120</v>
      </c>
      <c r="W121" s="11">
        <v>6</v>
      </c>
    </row>
    <row r="122" spans="2:23">
      <c r="C122" s="58" t="s">
        <v>27</v>
      </c>
      <c r="H122" s="25" t="s">
        <v>31</v>
      </c>
      <c r="J122" s="58" t="s">
        <v>34</v>
      </c>
      <c r="N122" s="10">
        <v>-1.5</v>
      </c>
      <c r="O122" s="10">
        <v>-0.5</v>
      </c>
      <c r="P122" s="115">
        <v>180</v>
      </c>
      <c r="Q122" s="148">
        <f t="shared" si="1"/>
        <v>-1.75</v>
      </c>
      <c r="S122" s="11">
        <v>24.07</v>
      </c>
      <c r="T122" s="11">
        <v>170</v>
      </c>
      <c r="U122" s="11">
        <v>170</v>
      </c>
      <c r="V122" s="11">
        <v>35</v>
      </c>
      <c r="W122" s="11">
        <v>15</v>
      </c>
    </row>
    <row r="123" spans="2:23">
      <c r="B123" s="178" t="s">
        <v>164</v>
      </c>
      <c r="C123" s="58" t="s">
        <v>27</v>
      </c>
      <c r="D123" s="151" t="s">
        <v>165</v>
      </c>
      <c r="E123" s="159" t="s">
        <v>37</v>
      </c>
      <c r="F123" s="153">
        <v>43050</v>
      </c>
      <c r="G123" s="58" t="s">
        <v>166</v>
      </c>
      <c r="H123" s="25" t="s">
        <v>39</v>
      </c>
      <c r="I123" s="177" t="s">
        <v>32</v>
      </c>
      <c r="J123" s="58" t="s">
        <v>33</v>
      </c>
      <c r="K123" s="10">
        <v>0.4</v>
      </c>
      <c r="L123" s="10">
        <v>1</v>
      </c>
      <c r="M123" s="10">
        <v>0.5</v>
      </c>
      <c r="N123" s="10">
        <v>-1.25</v>
      </c>
      <c r="O123" s="10">
        <v>-0.75</v>
      </c>
      <c r="P123" s="115">
        <v>170</v>
      </c>
      <c r="Q123" s="148">
        <f t="shared" si="1"/>
        <v>-1.625</v>
      </c>
      <c r="R123" s="163" t="s">
        <v>33</v>
      </c>
      <c r="S123" s="11">
        <v>22.9</v>
      </c>
      <c r="T123" s="11">
        <v>170</v>
      </c>
      <c r="U123" s="11">
        <v>170</v>
      </c>
      <c r="V123" s="11">
        <v>80</v>
      </c>
      <c r="W123" s="11">
        <v>8</v>
      </c>
    </row>
    <row r="124" spans="2:23">
      <c r="C124" s="58" t="s">
        <v>27</v>
      </c>
      <c r="H124" s="25" t="s">
        <v>39</v>
      </c>
      <c r="J124" s="58" t="s">
        <v>34</v>
      </c>
      <c r="K124" s="10">
        <v>0.5</v>
      </c>
      <c r="L124" s="10">
        <v>1</v>
      </c>
      <c r="M124" s="10">
        <v>0.6</v>
      </c>
      <c r="N124" s="10">
        <v>-1.5</v>
      </c>
      <c r="O124" s="10">
        <v>-1</v>
      </c>
      <c r="P124" s="115">
        <v>15</v>
      </c>
      <c r="Q124" s="148">
        <f t="shared" si="1"/>
        <v>-2</v>
      </c>
      <c r="S124" s="11">
        <v>22.98</v>
      </c>
      <c r="T124" s="11">
        <v>170</v>
      </c>
      <c r="U124" s="11">
        <v>170</v>
      </c>
      <c r="V124" s="11">
        <v>60</v>
      </c>
      <c r="W124" s="11">
        <v>6</v>
      </c>
    </row>
    <row r="125" spans="2:23">
      <c r="B125" s="178" t="s">
        <v>164</v>
      </c>
      <c r="C125" s="58" t="s">
        <v>27</v>
      </c>
      <c r="D125" s="151" t="s">
        <v>167</v>
      </c>
      <c r="E125" s="159" t="s">
        <v>29</v>
      </c>
      <c r="F125" s="153">
        <v>42491</v>
      </c>
      <c r="G125" s="58" t="s">
        <v>168</v>
      </c>
      <c r="H125" s="25" t="s">
        <v>45</v>
      </c>
      <c r="I125" s="177" t="s">
        <v>32</v>
      </c>
      <c r="J125" s="58" t="s">
        <v>33</v>
      </c>
      <c r="K125" s="10">
        <v>0.5</v>
      </c>
      <c r="L125" s="10">
        <v>1</v>
      </c>
      <c r="M125" s="10">
        <v>0.6</v>
      </c>
      <c r="N125" s="10">
        <v>-3.75</v>
      </c>
      <c r="O125" s="10">
        <v>-0.5</v>
      </c>
      <c r="P125" s="115">
        <v>165</v>
      </c>
      <c r="Q125" s="148">
        <f t="shared" si="1"/>
        <v>-4</v>
      </c>
      <c r="R125" s="163" t="s">
        <v>33</v>
      </c>
      <c r="S125" s="11">
        <v>23.68</v>
      </c>
      <c r="T125" s="11">
        <v>170</v>
      </c>
      <c r="U125" s="11">
        <v>170</v>
      </c>
      <c r="V125" s="11">
        <v>80</v>
      </c>
      <c r="W125" s="11">
        <v>6</v>
      </c>
    </row>
    <row r="126" spans="2:23">
      <c r="C126" s="58" t="s">
        <v>27</v>
      </c>
      <c r="H126" s="25" t="s">
        <v>45</v>
      </c>
      <c r="J126" s="58" t="s">
        <v>34</v>
      </c>
      <c r="K126" s="10">
        <v>0.6</v>
      </c>
      <c r="L126" s="10">
        <v>1</v>
      </c>
      <c r="M126" s="10">
        <v>0.7</v>
      </c>
      <c r="N126" s="10">
        <v>-3</v>
      </c>
      <c r="O126" s="10">
        <v>-0.25</v>
      </c>
      <c r="P126" s="115">
        <v>10</v>
      </c>
      <c r="Q126" s="148">
        <f t="shared" si="1"/>
        <v>-3.125</v>
      </c>
      <c r="S126" s="11">
        <v>23.49</v>
      </c>
      <c r="T126" s="11">
        <v>170</v>
      </c>
      <c r="U126" s="11">
        <v>170</v>
      </c>
      <c r="V126" s="11">
        <v>80</v>
      </c>
      <c r="W126" s="11">
        <v>6</v>
      </c>
    </row>
    <row r="127" spans="2:23">
      <c r="B127" s="178" t="s">
        <v>164</v>
      </c>
      <c r="C127" s="58" t="s">
        <v>27</v>
      </c>
      <c r="D127" s="151" t="s">
        <v>169</v>
      </c>
      <c r="E127" s="159" t="s">
        <v>37</v>
      </c>
      <c r="F127" s="153">
        <v>42891</v>
      </c>
      <c r="G127" s="58" t="s">
        <v>170</v>
      </c>
      <c r="H127" s="25" t="s">
        <v>31</v>
      </c>
      <c r="I127" s="177" t="s">
        <v>32</v>
      </c>
      <c r="J127" s="58" t="s">
        <v>33</v>
      </c>
      <c r="K127" s="10">
        <v>0.5</v>
      </c>
      <c r="L127" s="10">
        <v>1</v>
      </c>
      <c r="M127" s="10">
        <v>0.6</v>
      </c>
      <c r="N127" s="10">
        <v>-1.5</v>
      </c>
      <c r="O127" s="10">
        <v>-0.75</v>
      </c>
      <c r="P127" s="115">
        <v>180</v>
      </c>
      <c r="Q127" s="148">
        <f t="shared" si="1"/>
        <v>-1.875</v>
      </c>
      <c r="R127" s="163" t="s">
        <v>33</v>
      </c>
      <c r="S127" s="11">
        <v>23.35</v>
      </c>
      <c r="T127" s="11">
        <v>170</v>
      </c>
      <c r="U127" s="11">
        <v>170</v>
      </c>
      <c r="V127" s="11">
        <v>45</v>
      </c>
      <c r="W127" s="11">
        <v>4</v>
      </c>
    </row>
    <row r="128" spans="2:23">
      <c r="C128" s="58" t="s">
        <v>27</v>
      </c>
      <c r="H128" s="25" t="s">
        <v>31</v>
      </c>
      <c r="J128" s="58" t="s">
        <v>34</v>
      </c>
      <c r="K128" s="10">
        <v>0.5</v>
      </c>
      <c r="L128" s="10">
        <v>1</v>
      </c>
      <c r="M128" s="10">
        <v>0.6</v>
      </c>
      <c r="N128" s="10">
        <v>-1.5</v>
      </c>
      <c r="O128" s="10">
        <v>-0.75</v>
      </c>
      <c r="P128" s="115">
        <v>180</v>
      </c>
      <c r="Q128" s="148">
        <f t="shared" si="1"/>
        <v>-1.875</v>
      </c>
      <c r="S128" s="11">
        <v>23.37</v>
      </c>
      <c r="T128" s="11">
        <v>170</v>
      </c>
      <c r="U128" s="11">
        <v>170</v>
      </c>
      <c r="V128" s="11">
        <v>60</v>
      </c>
      <c r="W128" s="11">
        <v>6</v>
      </c>
    </row>
    <row r="129" spans="2:23">
      <c r="B129" s="178" t="s">
        <v>171</v>
      </c>
      <c r="C129" s="58" t="s">
        <v>139</v>
      </c>
      <c r="D129" s="151" t="s">
        <v>172</v>
      </c>
      <c r="E129" s="159" t="s">
        <v>29</v>
      </c>
      <c r="F129" s="153">
        <v>42629</v>
      </c>
      <c r="G129" s="58" t="s">
        <v>173</v>
      </c>
      <c r="H129" s="25" t="s">
        <v>48</v>
      </c>
      <c r="I129" s="81" t="s">
        <v>32</v>
      </c>
      <c r="J129" s="58" t="s">
        <v>33</v>
      </c>
      <c r="K129" s="10">
        <v>0.6</v>
      </c>
      <c r="L129" s="10">
        <v>1</v>
      </c>
      <c r="M129" s="172"/>
      <c r="N129" s="10">
        <v>-0.5</v>
      </c>
      <c r="O129" s="10">
        <v>-0.5</v>
      </c>
      <c r="P129" s="115">
        <v>166</v>
      </c>
      <c r="Q129" s="148">
        <f t="shared" si="1"/>
        <v>-0.75</v>
      </c>
      <c r="R129" s="163" t="s">
        <v>33</v>
      </c>
      <c r="S129" s="11">
        <v>23.82</v>
      </c>
      <c r="T129" s="11">
        <v>3</v>
      </c>
      <c r="U129" s="11">
        <v>4</v>
      </c>
      <c r="V129" s="11">
        <v>4</v>
      </c>
      <c r="W129" s="11">
        <v>4</v>
      </c>
    </row>
    <row r="130" spans="2:23">
      <c r="C130" s="58" t="s">
        <v>139</v>
      </c>
      <c r="H130" s="25" t="s">
        <v>48</v>
      </c>
      <c r="J130" s="58" t="s">
        <v>34</v>
      </c>
      <c r="K130" s="10">
        <v>0.8</v>
      </c>
      <c r="L130" s="10">
        <v>1</v>
      </c>
      <c r="M130" s="172"/>
      <c r="N130" s="10">
        <v>-0.5</v>
      </c>
      <c r="O130" s="10">
        <v>-0.25</v>
      </c>
      <c r="P130" s="115">
        <v>23</v>
      </c>
      <c r="Q130" s="148">
        <f t="shared" si="1"/>
        <v>-0.625</v>
      </c>
      <c r="S130" s="11">
        <v>23.83</v>
      </c>
      <c r="T130" s="11">
        <v>4</v>
      </c>
      <c r="U130" s="11">
        <v>2</v>
      </c>
      <c r="V130" s="11">
        <v>3</v>
      </c>
      <c r="W130" s="11">
        <v>4</v>
      </c>
    </row>
    <row r="131" spans="2:23">
      <c r="B131" s="110" t="s">
        <v>174</v>
      </c>
      <c r="C131" s="58" t="s">
        <v>27</v>
      </c>
      <c r="D131" s="151" t="s">
        <v>175</v>
      </c>
      <c r="E131" s="159" t="s">
        <v>29</v>
      </c>
      <c r="F131" s="153">
        <v>43187</v>
      </c>
      <c r="G131" s="58" t="s">
        <v>176</v>
      </c>
      <c r="H131" s="25" t="s">
        <v>48</v>
      </c>
      <c r="I131" s="177" t="s">
        <v>32</v>
      </c>
      <c r="J131" s="58" t="s">
        <v>33</v>
      </c>
      <c r="K131" s="10">
        <v>0.5</v>
      </c>
      <c r="L131" s="10">
        <v>0.5</v>
      </c>
      <c r="N131" s="172"/>
      <c r="O131" s="172"/>
      <c r="P131" s="173"/>
      <c r="Q131" s="179"/>
      <c r="R131" s="163" t="s">
        <v>34</v>
      </c>
      <c r="S131" s="11">
        <v>24.13</v>
      </c>
      <c r="T131" s="11">
        <v>170</v>
      </c>
      <c r="U131" s="11">
        <v>170</v>
      </c>
      <c r="V131" s="11">
        <v>100</v>
      </c>
      <c r="W131" s="11">
        <v>6</v>
      </c>
    </row>
    <row r="132" spans="2:23">
      <c r="C132" s="58" t="s">
        <v>27</v>
      </c>
      <c r="H132" s="25" t="s">
        <v>48</v>
      </c>
      <c r="J132" s="58" t="s">
        <v>34</v>
      </c>
      <c r="N132" s="172"/>
      <c r="O132" s="172"/>
      <c r="P132" s="173"/>
      <c r="Q132" s="179"/>
      <c r="S132" s="11">
        <v>24.21</v>
      </c>
      <c r="T132" s="11">
        <v>120</v>
      </c>
      <c r="U132" s="11">
        <v>120</v>
      </c>
      <c r="V132" s="11">
        <v>60</v>
      </c>
      <c r="W132" s="11">
        <v>6</v>
      </c>
    </row>
    <row r="133" spans="2:23">
      <c r="B133" s="178" t="s">
        <v>174</v>
      </c>
      <c r="C133" s="58" t="s">
        <v>27</v>
      </c>
      <c r="D133" s="151" t="s">
        <v>177</v>
      </c>
      <c r="E133" s="159" t="s">
        <v>29</v>
      </c>
      <c r="F133" s="153">
        <v>41700</v>
      </c>
      <c r="G133" s="58" t="s">
        <v>178</v>
      </c>
      <c r="H133" s="25" t="s">
        <v>39</v>
      </c>
      <c r="I133" s="177" t="s">
        <v>32</v>
      </c>
      <c r="J133" s="58" t="s">
        <v>33</v>
      </c>
      <c r="K133" s="10">
        <v>0.7</v>
      </c>
      <c r="L133" s="10">
        <v>1</v>
      </c>
      <c r="M133" s="10">
        <v>1</v>
      </c>
      <c r="N133" s="10">
        <v>-1.75</v>
      </c>
      <c r="O133" s="10">
        <v>-0.75</v>
      </c>
      <c r="P133" s="115">
        <v>170</v>
      </c>
      <c r="Q133" s="148">
        <f t="shared" ref="Q133:Q196" si="2">N133+0.5*O133</f>
        <v>-2.125</v>
      </c>
      <c r="R133" s="163" t="s">
        <v>33</v>
      </c>
      <c r="S133" s="11">
        <v>22.93</v>
      </c>
      <c r="T133" s="11">
        <v>170</v>
      </c>
      <c r="U133" s="11">
        <v>170</v>
      </c>
      <c r="V133" s="11">
        <v>80</v>
      </c>
      <c r="W133" s="11">
        <v>65</v>
      </c>
    </row>
    <row r="134" spans="2:23">
      <c r="C134" s="58" t="s">
        <v>27</v>
      </c>
      <c r="H134" s="25" t="s">
        <v>39</v>
      </c>
      <c r="J134" s="58" t="s">
        <v>34</v>
      </c>
      <c r="K134" s="10">
        <v>0.6</v>
      </c>
      <c r="L134" s="10">
        <v>1</v>
      </c>
      <c r="M134" s="10">
        <v>1</v>
      </c>
      <c r="N134" s="10">
        <v>-0.75</v>
      </c>
      <c r="O134" s="10">
        <v>-0.75</v>
      </c>
      <c r="P134" s="115">
        <v>15</v>
      </c>
      <c r="Q134" s="148">
        <f t="shared" si="2"/>
        <v>-1.125</v>
      </c>
      <c r="S134" s="11">
        <v>22.7</v>
      </c>
      <c r="T134" s="11">
        <v>170</v>
      </c>
      <c r="U134" s="11">
        <v>170</v>
      </c>
      <c r="V134" s="11">
        <v>35</v>
      </c>
      <c r="W134" s="11">
        <v>8</v>
      </c>
    </row>
    <row r="135" spans="2:23">
      <c r="B135" s="178" t="s">
        <v>179</v>
      </c>
      <c r="C135" s="58" t="s">
        <v>27</v>
      </c>
      <c r="D135" s="151" t="s">
        <v>180</v>
      </c>
      <c r="E135" s="159" t="s">
        <v>29</v>
      </c>
      <c r="F135" s="153">
        <v>42328</v>
      </c>
      <c r="G135" s="58" t="s">
        <v>181</v>
      </c>
      <c r="H135" s="25" t="s">
        <v>45</v>
      </c>
      <c r="I135" s="177" t="s">
        <v>32</v>
      </c>
      <c r="J135" s="58" t="s">
        <v>33</v>
      </c>
      <c r="K135" s="10">
        <v>0.3</v>
      </c>
      <c r="L135" s="10">
        <v>1</v>
      </c>
      <c r="M135" s="10">
        <v>1</v>
      </c>
      <c r="N135" s="10">
        <v>-2.25</v>
      </c>
      <c r="O135" s="10">
        <v>-0.5</v>
      </c>
      <c r="P135" s="115">
        <v>160</v>
      </c>
      <c r="Q135" s="148">
        <f t="shared" si="2"/>
        <v>-2.5</v>
      </c>
      <c r="R135" s="163" t="s">
        <v>33</v>
      </c>
      <c r="S135" s="11">
        <v>23.42</v>
      </c>
      <c r="T135" s="11">
        <v>170</v>
      </c>
      <c r="U135" s="11">
        <v>170</v>
      </c>
      <c r="V135" s="11">
        <v>60</v>
      </c>
      <c r="W135" s="11">
        <v>6</v>
      </c>
    </row>
    <row r="136" spans="2:23">
      <c r="C136" s="58" t="s">
        <v>27</v>
      </c>
      <c r="H136" s="25" t="s">
        <v>45</v>
      </c>
      <c r="J136" s="58" t="s">
        <v>34</v>
      </c>
      <c r="K136" s="10">
        <v>0.3</v>
      </c>
      <c r="L136" s="10">
        <v>1</v>
      </c>
      <c r="M136" s="10">
        <v>1</v>
      </c>
      <c r="N136" s="10">
        <v>-3</v>
      </c>
      <c r="O136" s="10">
        <v>-0.25</v>
      </c>
      <c r="P136" s="115">
        <v>180</v>
      </c>
      <c r="Q136" s="148">
        <f t="shared" si="2"/>
        <v>-3.125</v>
      </c>
      <c r="S136" s="11">
        <v>23.55</v>
      </c>
      <c r="T136" s="11">
        <v>170</v>
      </c>
      <c r="U136" s="11">
        <v>170</v>
      </c>
      <c r="V136" s="11">
        <v>45</v>
      </c>
      <c r="W136" s="11">
        <v>6</v>
      </c>
    </row>
    <row r="137" spans="2:23">
      <c r="B137" s="178" t="s">
        <v>182</v>
      </c>
      <c r="C137" s="58" t="s">
        <v>27</v>
      </c>
      <c r="D137" s="151" t="s">
        <v>183</v>
      </c>
      <c r="E137" s="159" t="s">
        <v>29</v>
      </c>
      <c r="F137" s="153">
        <v>42568</v>
      </c>
      <c r="G137" s="58" t="s">
        <v>184</v>
      </c>
      <c r="H137" s="25" t="s">
        <v>39</v>
      </c>
      <c r="I137" s="177" t="s">
        <v>32</v>
      </c>
      <c r="J137" s="58" t="s">
        <v>33</v>
      </c>
      <c r="K137" s="10">
        <v>0.5</v>
      </c>
      <c r="L137" s="10">
        <v>1</v>
      </c>
      <c r="M137" s="10">
        <v>1</v>
      </c>
      <c r="N137" s="10">
        <v>-0.75</v>
      </c>
      <c r="O137" s="10">
        <v>-0.75</v>
      </c>
      <c r="P137" s="115">
        <v>180</v>
      </c>
      <c r="Q137" s="148">
        <f t="shared" si="2"/>
        <v>-1.125</v>
      </c>
      <c r="R137" s="163" t="s">
        <v>33</v>
      </c>
      <c r="S137" s="11">
        <v>22.57</v>
      </c>
      <c r="T137" s="11">
        <v>170</v>
      </c>
      <c r="U137" s="11">
        <v>170</v>
      </c>
      <c r="V137" s="11">
        <v>45</v>
      </c>
      <c r="W137" s="11">
        <v>24</v>
      </c>
    </row>
    <row r="138" spans="2:23">
      <c r="C138" s="58" t="s">
        <v>27</v>
      </c>
      <c r="H138" s="25" t="s">
        <v>39</v>
      </c>
      <c r="J138" s="58" t="s">
        <v>34</v>
      </c>
      <c r="K138" s="10">
        <v>0.5</v>
      </c>
      <c r="L138" s="10">
        <v>1</v>
      </c>
      <c r="M138" s="10">
        <v>1</v>
      </c>
      <c r="N138" s="10">
        <v>-0.75</v>
      </c>
      <c r="O138" s="10">
        <v>-0.75</v>
      </c>
      <c r="P138" s="115">
        <v>180</v>
      </c>
      <c r="Q138" s="148">
        <f t="shared" si="2"/>
        <v>-1.125</v>
      </c>
      <c r="S138" s="11">
        <v>22.61</v>
      </c>
      <c r="T138" s="11">
        <v>170</v>
      </c>
      <c r="U138" s="11">
        <v>170</v>
      </c>
      <c r="V138" s="11">
        <v>45</v>
      </c>
      <c r="W138" s="11">
        <v>15</v>
      </c>
    </row>
    <row r="139" spans="2:23">
      <c r="B139" s="178" t="s">
        <v>179</v>
      </c>
      <c r="C139" s="58" t="s">
        <v>27</v>
      </c>
      <c r="D139" s="151" t="s">
        <v>185</v>
      </c>
      <c r="E139" s="159" t="s">
        <v>29</v>
      </c>
      <c r="F139" s="153">
        <v>41260</v>
      </c>
      <c r="G139" s="58" t="s">
        <v>186</v>
      </c>
      <c r="H139" s="25" t="s">
        <v>45</v>
      </c>
      <c r="I139" s="177" t="s">
        <v>32</v>
      </c>
      <c r="J139" s="58" t="s">
        <v>33</v>
      </c>
      <c r="K139" s="10">
        <v>0.6</v>
      </c>
      <c r="L139" s="10">
        <v>1</v>
      </c>
      <c r="M139" s="10">
        <v>1</v>
      </c>
      <c r="N139" s="10">
        <v>-4</v>
      </c>
      <c r="O139" s="10">
        <v>-0.5</v>
      </c>
      <c r="P139" s="115">
        <v>170</v>
      </c>
      <c r="Q139" s="148">
        <f t="shared" si="2"/>
        <v>-4.25</v>
      </c>
      <c r="R139" s="163" t="s">
        <v>33</v>
      </c>
      <c r="S139" s="11">
        <v>24.12</v>
      </c>
      <c r="T139" s="11">
        <v>170</v>
      </c>
      <c r="U139" s="11">
        <v>170</v>
      </c>
      <c r="V139" s="11">
        <v>35</v>
      </c>
      <c r="W139" s="11">
        <v>8</v>
      </c>
    </row>
    <row r="140" spans="2:23">
      <c r="C140" s="58" t="s">
        <v>27</v>
      </c>
      <c r="H140" s="25" t="s">
        <v>45</v>
      </c>
      <c r="J140" s="58" t="s">
        <v>34</v>
      </c>
      <c r="K140" s="10">
        <v>0.6</v>
      </c>
      <c r="L140" s="10">
        <v>1</v>
      </c>
      <c r="M140" s="10">
        <v>1</v>
      </c>
      <c r="N140" s="10">
        <v>-3.5</v>
      </c>
      <c r="O140" s="10">
        <v>-1.25</v>
      </c>
      <c r="P140" s="115">
        <v>170</v>
      </c>
      <c r="Q140" s="148">
        <f t="shared" si="2"/>
        <v>-4.125</v>
      </c>
      <c r="S140" s="11">
        <v>24.34</v>
      </c>
      <c r="T140" s="11">
        <v>170</v>
      </c>
      <c r="U140" s="11">
        <v>120</v>
      </c>
      <c r="V140" s="11">
        <v>15</v>
      </c>
      <c r="W140" s="11">
        <v>3</v>
      </c>
    </row>
    <row r="141" spans="2:23">
      <c r="B141" s="178" t="s">
        <v>187</v>
      </c>
      <c r="C141" s="58" t="s">
        <v>27</v>
      </c>
      <c r="D141" s="151" t="s">
        <v>188</v>
      </c>
      <c r="E141" s="159" t="s">
        <v>37</v>
      </c>
      <c r="F141" s="153">
        <v>41596</v>
      </c>
      <c r="G141" s="58" t="s">
        <v>189</v>
      </c>
      <c r="H141" s="25" t="s">
        <v>31</v>
      </c>
      <c r="I141" s="177" t="s">
        <v>32</v>
      </c>
      <c r="J141" s="58" t="s">
        <v>33</v>
      </c>
      <c r="K141" s="10">
        <v>0.8</v>
      </c>
      <c r="L141" s="10">
        <v>1</v>
      </c>
      <c r="M141" s="10">
        <v>1</v>
      </c>
      <c r="N141" s="10">
        <v>-0.5</v>
      </c>
      <c r="O141" s="10">
        <v>-0.25</v>
      </c>
      <c r="P141" s="115">
        <v>175</v>
      </c>
      <c r="Q141" s="148">
        <f t="shared" si="2"/>
        <v>-0.625</v>
      </c>
      <c r="R141" s="163" t="s">
        <v>33</v>
      </c>
      <c r="S141" s="11">
        <v>24.67</v>
      </c>
      <c r="T141" s="11">
        <v>170</v>
      </c>
      <c r="U141" s="11">
        <v>170</v>
      </c>
      <c r="V141" s="11">
        <v>120</v>
      </c>
      <c r="W141" s="11">
        <v>35</v>
      </c>
    </row>
    <row r="142" spans="2:23">
      <c r="C142" s="58" t="s">
        <v>27</v>
      </c>
      <c r="H142" s="25" t="s">
        <v>31</v>
      </c>
      <c r="J142" s="58" t="s">
        <v>34</v>
      </c>
      <c r="K142" s="10">
        <v>0.6</v>
      </c>
      <c r="L142" s="10">
        <v>1</v>
      </c>
      <c r="M142" s="10">
        <v>1</v>
      </c>
      <c r="N142" s="10">
        <v>-1.5</v>
      </c>
      <c r="O142" s="10">
        <v>-0.25</v>
      </c>
      <c r="P142" s="115">
        <v>165</v>
      </c>
      <c r="Q142" s="148">
        <f t="shared" si="2"/>
        <v>-1.625</v>
      </c>
      <c r="S142" s="11">
        <v>25</v>
      </c>
      <c r="T142" s="11">
        <v>170</v>
      </c>
      <c r="U142" s="11">
        <v>170</v>
      </c>
      <c r="V142" s="11">
        <v>80</v>
      </c>
      <c r="W142" s="11">
        <v>45</v>
      </c>
    </row>
    <row r="143" spans="2:23">
      <c r="B143" s="178" t="s">
        <v>187</v>
      </c>
      <c r="C143" s="58" t="s">
        <v>27</v>
      </c>
      <c r="D143" s="151" t="s">
        <v>190</v>
      </c>
      <c r="E143" s="159" t="s">
        <v>29</v>
      </c>
      <c r="F143" s="153">
        <v>43050</v>
      </c>
      <c r="G143" s="58" t="s">
        <v>191</v>
      </c>
      <c r="H143" s="25" t="s">
        <v>31</v>
      </c>
      <c r="I143" s="177" t="s">
        <v>32</v>
      </c>
      <c r="J143" s="58" t="s">
        <v>33</v>
      </c>
      <c r="K143" s="10">
        <v>0.7</v>
      </c>
      <c r="L143" s="10">
        <v>1</v>
      </c>
      <c r="M143" s="10">
        <v>1</v>
      </c>
      <c r="N143" s="10">
        <v>-1</v>
      </c>
      <c r="O143" s="10">
        <v>0</v>
      </c>
      <c r="P143" s="115">
        <v>0</v>
      </c>
      <c r="Q143" s="148">
        <f t="shared" si="2"/>
        <v>-1</v>
      </c>
      <c r="R143" s="163" t="s">
        <v>33</v>
      </c>
      <c r="S143" s="11">
        <v>24.19</v>
      </c>
      <c r="T143" s="11">
        <v>170</v>
      </c>
      <c r="U143" s="11">
        <v>170</v>
      </c>
      <c r="V143" s="11">
        <v>35</v>
      </c>
      <c r="W143" s="11">
        <v>8</v>
      </c>
    </row>
    <row r="144" spans="2:23">
      <c r="C144" s="58" t="s">
        <v>27</v>
      </c>
      <c r="H144" s="25" t="s">
        <v>31</v>
      </c>
      <c r="J144" s="58" t="s">
        <v>34</v>
      </c>
      <c r="K144" s="10">
        <v>0.7</v>
      </c>
      <c r="L144" s="10">
        <v>1</v>
      </c>
      <c r="M144" s="10">
        <v>1</v>
      </c>
      <c r="N144" s="10">
        <v>-0.75</v>
      </c>
      <c r="O144" s="10">
        <v>0</v>
      </c>
      <c r="P144" s="115">
        <v>0</v>
      </c>
      <c r="Q144" s="148">
        <f t="shared" si="2"/>
        <v>-0.75</v>
      </c>
      <c r="S144" s="11">
        <v>24.16</v>
      </c>
      <c r="T144" s="11">
        <v>170</v>
      </c>
      <c r="U144" s="11">
        <v>170</v>
      </c>
      <c r="V144" s="11">
        <v>45</v>
      </c>
      <c r="W144" s="11">
        <v>15</v>
      </c>
    </row>
    <row r="145" spans="2:23">
      <c r="B145" s="178" t="s">
        <v>192</v>
      </c>
      <c r="C145" s="58" t="s">
        <v>27</v>
      </c>
      <c r="D145" s="151" t="s">
        <v>193</v>
      </c>
      <c r="E145" s="159" t="s">
        <v>37</v>
      </c>
      <c r="F145" s="153">
        <v>43401</v>
      </c>
      <c r="G145" s="58" t="s">
        <v>194</v>
      </c>
      <c r="H145" s="25" t="s">
        <v>48</v>
      </c>
      <c r="I145" s="177" t="s">
        <v>32</v>
      </c>
      <c r="J145" s="58" t="s">
        <v>33</v>
      </c>
      <c r="K145" s="10">
        <v>0.3</v>
      </c>
      <c r="L145" s="10">
        <v>1</v>
      </c>
      <c r="M145" s="10">
        <v>1</v>
      </c>
      <c r="N145" s="10">
        <v>-1.5</v>
      </c>
      <c r="O145" s="10">
        <v>-0.25</v>
      </c>
      <c r="P145" s="115">
        <v>15</v>
      </c>
      <c r="Q145" s="148">
        <f t="shared" si="2"/>
        <v>-1.625</v>
      </c>
      <c r="R145" s="163" t="s">
        <v>33</v>
      </c>
      <c r="S145" s="11">
        <v>24.21</v>
      </c>
      <c r="T145" s="11">
        <v>170</v>
      </c>
      <c r="U145" s="11">
        <v>170</v>
      </c>
      <c r="V145" s="11">
        <v>60</v>
      </c>
      <c r="W145" s="11">
        <v>15</v>
      </c>
    </row>
    <row r="146" spans="2:23">
      <c r="C146" s="58" t="s">
        <v>27</v>
      </c>
      <c r="H146" s="25" t="s">
        <v>48</v>
      </c>
      <c r="J146" s="58" t="s">
        <v>34</v>
      </c>
      <c r="K146" s="10">
        <v>0.6</v>
      </c>
      <c r="L146" s="10">
        <v>1</v>
      </c>
      <c r="M146" s="10">
        <v>1</v>
      </c>
      <c r="N146" s="10">
        <v>-0.5</v>
      </c>
      <c r="O146" s="10">
        <v>-0.25</v>
      </c>
      <c r="P146" s="115">
        <v>10</v>
      </c>
      <c r="Q146" s="148">
        <f t="shared" si="2"/>
        <v>-0.625</v>
      </c>
      <c r="S146" s="11">
        <v>23.75</v>
      </c>
      <c r="T146" s="11">
        <v>170</v>
      </c>
      <c r="U146" s="11">
        <v>170</v>
      </c>
      <c r="V146" s="11">
        <v>120</v>
      </c>
      <c r="W146" s="11">
        <v>35</v>
      </c>
    </row>
    <row r="147" spans="2:23">
      <c r="B147" s="178" t="s">
        <v>192</v>
      </c>
      <c r="C147" s="58" t="s">
        <v>27</v>
      </c>
      <c r="D147" s="151" t="s">
        <v>195</v>
      </c>
      <c r="E147" s="159" t="s">
        <v>37</v>
      </c>
      <c r="F147" s="153">
        <v>42413</v>
      </c>
      <c r="G147" s="58" t="s">
        <v>196</v>
      </c>
      <c r="H147" s="25" t="s">
        <v>31</v>
      </c>
      <c r="I147" s="177" t="s">
        <v>32</v>
      </c>
      <c r="J147" s="58" t="s">
        <v>33</v>
      </c>
      <c r="K147" s="10">
        <v>0.6</v>
      </c>
      <c r="L147" s="10">
        <v>1</v>
      </c>
      <c r="M147" s="10">
        <v>1</v>
      </c>
      <c r="N147" s="10">
        <v>-2</v>
      </c>
      <c r="O147" s="10">
        <v>-1</v>
      </c>
      <c r="P147" s="115">
        <v>10</v>
      </c>
      <c r="Q147" s="148">
        <f t="shared" si="2"/>
        <v>-2.5</v>
      </c>
      <c r="R147" s="163" t="s">
        <v>197</v>
      </c>
      <c r="S147" s="11">
        <v>25.79</v>
      </c>
      <c r="T147" s="11">
        <v>170</v>
      </c>
      <c r="U147" s="11">
        <v>170</v>
      </c>
      <c r="V147" s="11">
        <v>80</v>
      </c>
      <c r="W147" s="11">
        <v>45</v>
      </c>
    </row>
    <row r="148" spans="2:23">
      <c r="C148" s="58" t="s">
        <v>27</v>
      </c>
      <c r="H148" s="25" t="s">
        <v>31</v>
      </c>
      <c r="J148" s="58" t="s">
        <v>34</v>
      </c>
      <c r="K148" s="10">
        <v>0.8</v>
      </c>
      <c r="L148" s="10">
        <v>1</v>
      </c>
      <c r="M148" s="10">
        <v>1</v>
      </c>
      <c r="N148" s="10">
        <v>-1</v>
      </c>
      <c r="O148" s="10">
        <v>-1.25</v>
      </c>
      <c r="P148" s="115">
        <v>180</v>
      </c>
      <c r="Q148" s="148">
        <f t="shared" si="2"/>
        <v>-1.625</v>
      </c>
      <c r="S148" s="11">
        <v>25.34</v>
      </c>
      <c r="T148" s="11">
        <v>170</v>
      </c>
      <c r="U148" s="11">
        <v>170</v>
      </c>
      <c r="V148" s="11">
        <v>60</v>
      </c>
      <c r="W148" s="11">
        <v>35</v>
      </c>
    </row>
    <row r="149" spans="2:23">
      <c r="B149" s="178" t="s">
        <v>198</v>
      </c>
      <c r="C149" s="58" t="s">
        <v>27</v>
      </c>
      <c r="D149" s="151" t="s">
        <v>199</v>
      </c>
      <c r="E149" s="159" t="s">
        <v>29</v>
      </c>
      <c r="F149" s="153">
        <v>42472</v>
      </c>
      <c r="G149" s="58" t="s">
        <v>200</v>
      </c>
      <c r="H149" s="25" t="s">
        <v>31</v>
      </c>
      <c r="I149" s="177" t="s">
        <v>32</v>
      </c>
      <c r="J149" s="58" t="s">
        <v>33</v>
      </c>
      <c r="K149" s="10">
        <v>0.4</v>
      </c>
      <c r="L149" s="10">
        <v>1</v>
      </c>
      <c r="M149" s="10">
        <v>1</v>
      </c>
      <c r="N149" s="10">
        <v>-1.5</v>
      </c>
      <c r="O149" s="10">
        <v>0</v>
      </c>
      <c r="P149" s="115">
        <v>0</v>
      </c>
      <c r="Q149" s="148">
        <f t="shared" si="2"/>
        <v>-1.5</v>
      </c>
      <c r="R149" s="163" t="s">
        <v>33</v>
      </c>
      <c r="S149" s="11">
        <v>23.43</v>
      </c>
      <c r="T149" s="11">
        <v>170</v>
      </c>
      <c r="U149" s="11">
        <v>120</v>
      </c>
      <c r="V149" s="11">
        <v>25</v>
      </c>
      <c r="W149" s="11">
        <v>6</v>
      </c>
    </row>
    <row r="150" spans="2:23">
      <c r="C150" s="58" t="s">
        <v>27</v>
      </c>
      <c r="H150" s="25" t="s">
        <v>31</v>
      </c>
      <c r="J150" s="58" t="s">
        <v>34</v>
      </c>
      <c r="K150" s="10">
        <v>0.5</v>
      </c>
      <c r="L150" s="10">
        <v>1</v>
      </c>
      <c r="M150" s="10">
        <v>1</v>
      </c>
      <c r="N150" s="10">
        <v>-1.5</v>
      </c>
      <c r="O150" s="10">
        <v>-0.5</v>
      </c>
      <c r="P150" s="115">
        <v>160</v>
      </c>
      <c r="Q150" s="148">
        <f t="shared" si="2"/>
        <v>-1.75</v>
      </c>
      <c r="S150" s="11">
        <v>23.39</v>
      </c>
      <c r="T150" s="11">
        <v>170</v>
      </c>
      <c r="U150" s="11">
        <v>170</v>
      </c>
      <c r="V150" s="11">
        <v>80</v>
      </c>
      <c r="W150" s="11">
        <v>8</v>
      </c>
    </row>
    <row r="151" spans="2:23">
      <c r="B151" s="178" t="s">
        <v>182</v>
      </c>
      <c r="C151" s="58" t="s">
        <v>139</v>
      </c>
      <c r="D151" s="151" t="s">
        <v>201</v>
      </c>
      <c r="E151" s="159" t="s">
        <v>37</v>
      </c>
      <c r="F151" s="153">
        <v>41951</v>
      </c>
      <c r="G151" s="58" t="s">
        <v>202</v>
      </c>
      <c r="H151" s="25" t="s">
        <v>48</v>
      </c>
      <c r="I151" s="177" t="s">
        <v>32</v>
      </c>
      <c r="J151" s="58" t="s">
        <v>33</v>
      </c>
      <c r="K151" s="172"/>
      <c r="L151" s="172"/>
      <c r="M151" s="172"/>
      <c r="N151" s="10">
        <v>-2.25</v>
      </c>
      <c r="O151" s="10">
        <v>-1</v>
      </c>
      <c r="P151" s="115">
        <v>170</v>
      </c>
      <c r="Q151" s="148">
        <f t="shared" si="2"/>
        <v>-2.75</v>
      </c>
      <c r="R151" s="163" t="s">
        <v>33</v>
      </c>
      <c r="S151" s="11">
        <v>24.86</v>
      </c>
      <c r="T151" s="11">
        <v>5</v>
      </c>
      <c r="U151" s="11">
        <v>3</v>
      </c>
      <c r="V151" s="11">
        <v>3</v>
      </c>
      <c r="W151" s="11">
        <v>2</v>
      </c>
    </row>
    <row r="152" spans="2:23">
      <c r="C152" s="58" t="s">
        <v>139</v>
      </c>
      <c r="H152" s="25" t="s">
        <v>48</v>
      </c>
      <c r="J152" s="58" t="s">
        <v>34</v>
      </c>
      <c r="K152" s="172"/>
      <c r="L152" s="172"/>
      <c r="M152" s="172"/>
      <c r="N152" s="10">
        <v>-2</v>
      </c>
      <c r="O152" s="10">
        <v>-1</v>
      </c>
      <c r="P152" s="115">
        <v>175</v>
      </c>
      <c r="Q152" s="148">
        <f t="shared" si="2"/>
        <v>-2.5</v>
      </c>
      <c r="S152" s="11">
        <v>24.78</v>
      </c>
      <c r="T152" s="11">
        <v>6</v>
      </c>
      <c r="U152" s="11">
        <v>4</v>
      </c>
      <c r="V152" s="11">
        <v>5</v>
      </c>
      <c r="W152" s="11">
        <v>3</v>
      </c>
    </row>
    <row r="153" spans="2:23">
      <c r="B153" s="158">
        <v>45788</v>
      </c>
      <c r="C153" s="58" t="s">
        <v>27</v>
      </c>
      <c r="D153" s="151" t="s">
        <v>203</v>
      </c>
      <c r="E153" s="159" t="s">
        <v>37</v>
      </c>
      <c r="F153" s="153">
        <v>43116</v>
      </c>
      <c r="G153" s="58" t="s">
        <v>204</v>
      </c>
      <c r="H153" s="25" t="s">
        <v>48</v>
      </c>
      <c r="I153" s="177" t="s">
        <v>32</v>
      </c>
      <c r="J153" s="58" t="s">
        <v>33</v>
      </c>
      <c r="K153" s="10">
        <v>0.6</v>
      </c>
      <c r="L153" s="10">
        <v>1</v>
      </c>
      <c r="M153" s="10">
        <v>1</v>
      </c>
      <c r="N153" s="10">
        <v>-1.25</v>
      </c>
      <c r="O153" s="10">
        <v>-0.25</v>
      </c>
      <c r="P153" s="115">
        <v>145</v>
      </c>
      <c r="Q153" s="148">
        <f t="shared" si="2"/>
        <v>-1.375</v>
      </c>
      <c r="R153" s="163" t="s">
        <v>33</v>
      </c>
      <c r="S153" s="11">
        <v>23.71</v>
      </c>
      <c r="T153" s="11">
        <v>170</v>
      </c>
      <c r="U153" s="11">
        <v>170</v>
      </c>
      <c r="V153" s="11">
        <v>9</v>
      </c>
      <c r="W153" s="11">
        <v>6</v>
      </c>
    </row>
    <row r="154" spans="2:23">
      <c r="C154" s="58" t="s">
        <v>27</v>
      </c>
      <c r="H154" s="25" t="s">
        <v>48</v>
      </c>
      <c r="J154" s="58" t="s">
        <v>34</v>
      </c>
      <c r="K154" s="10">
        <v>0.7</v>
      </c>
      <c r="L154" s="10">
        <v>1</v>
      </c>
      <c r="M154" s="10">
        <v>1</v>
      </c>
      <c r="N154" s="10">
        <v>-0.75</v>
      </c>
      <c r="O154" s="10">
        <v>-0.5</v>
      </c>
      <c r="P154" s="115">
        <v>180</v>
      </c>
      <c r="Q154" s="148">
        <f t="shared" si="2"/>
        <v>-1</v>
      </c>
      <c r="S154" s="11">
        <v>23.39</v>
      </c>
      <c r="T154" s="11">
        <v>170</v>
      </c>
      <c r="U154" s="11">
        <v>170</v>
      </c>
      <c r="V154" s="11">
        <v>15</v>
      </c>
      <c r="W154" s="11">
        <v>15</v>
      </c>
    </row>
    <row r="155" spans="2:23">
      <c r="B155" s="158">
        <v>45795</v>
      </c>
      <c r="C155" s="58" t="s">
        <v>27</v>
      </c>
      <c r="D155" s="151" t="s">
        <v>205</v>
      </c>
      <c r="E155" s="159" t="s">
        <v>37</v>
      </c>
      <c r="F155" s="160">
        <v>42780</v>
      </c>
      <c r="G155" s="58" t="s">
        <v>206</v>
      </c>
      <c r="H155" s="25" t="s">
        <v>45</v>
      </c>
      <c r="I155" s="177" t="s">
        <v>32</v>
      </c>
      <c r="J155" s="58" t="s">
        <v>33</v>
      </c>
      <c r="K155" s="10">
        <v>0.8</v>
      </c>
      <c r="L155" s="10">
        <v>1</v>
      </c>
      <c r="M155" s="10">
        <v>1</v>
      </c>
      <c r="N155" s="10">
        <v>-0.5</v>
      </c>
      <c r="O155" s="10">
        <v>-0.25</v>
      </c>
      <c r="P155" s="115">
        <v>15</v>
      </c>
      <c r="Q155" s="148">
        <f t="shared" si="2"/>
        <v>-0.625</v>
      </c>
      <c r="R155" s="163" t="s">
        <v>33</v>
      </c>
      <c r="S155" s="11">
        <v>23.77</v>
      </c>
      <c r="T155" s="11">
        <v>170</v>
      </c>
      <c r="U155" s="11">
        <v>170</v>
      </c>
      <c r="V155" s="11">
        <v>80</v>
      </c>
      <c r="W155" s="11">
        <v>8</v>
      </c>
    </row>
    <row r="156" spans="2:23">
      <c r="C156" s="58" t="s">
        <v>27</v>
      </c>
      <c r="H156" s="25" t="s">
        <v>45</v>
      </c>
      <c r="J156" s="58" t="s">
        <v>34</v>
      </c>
      <c r="K156" s="10">
        <v>0.6</v>
      </c>
      <c r="L156" s="10">
        <v>1</v>
      </c>
      <c r="M156" s="10">
        <v>1</v>
      </c>
      <c r="N156" s="10">
        <v>-0.5</v>
      </c>
      <c r="O156" s="10">
        <v>-0.75</v>
      </c>
      <c r="P156" s="115">
        <v>165</v>
      </c>
      <c r="Q156" s="148">
        <f t="shared" si="2"/>
        <v>-0.875</v>
      </c>
      <c r="S156" s="11">
        <v>23.87</v>
      </c>
      <c r="T156" s="11">
        <v>170</v>
      </c>
      <c r="U156" s="11">
        <v>170</v>
      </c>
      <c r="V156" s="11">
        <v>80</v>
      </c>
      <c r="W156" s="11">
        <v>8</v>
      </c>
    </row>
    <row r="157" spans="2:23">
      <c r="B157" s="158">
        <v>45801</v>
      </c>
      <c r="C157" s="58" t="s">
        <v>27</v>
      </c>
      <c r="D157" s="151" t="s">
        <v>207</v>
      </c>
      <c r="E157" s="159" t="s">
        <v>29</v>
      </c>
      <c r="F157" s="160">
        <v>43022</v>
      </c>
      <c r="G157" s="58" t="s">
        <v>208</v>
      </c>
      <c r="H157" s="25" t="s">
        <v>45</v>
      </c>
      <c r="I157" s="177" t="s">
        <v>32</v>
      </c>
      <c r="J157" s="58" t="s">
        <v>33</v>
      </c>
      <c r="K157" s="10">
        <v>0.6</v>
      </c>
      <c r="L157" s="10">
        <v>1</v>
      </c>
      <c r="M157" s="10">
        <v>1</v>
      </c>
      <c r="N157" s="10">
        <v>-1.25</v>
      </c>
      <c r="O157" s="10">
        <v>-0.25</v>
      </c>
      <c r="P157" s="115">
        <v>145</v>
      </c>
      <c r="Q157" s="148">
        <f t="shared" si="2"/>
        <v>-1.375</v>
      </c>
      <c r="R157" s="163" t="s">
        <v>33</v>
      </c>
      <c r="S157" s="11">
        <v>23.75</v>
      </c>
      <c r="T157" s="11">
        <v>170</v>
      </c>
      <c r="U157" s="11">
        <v>170</v>
      </c>
      <c r="V157" s="11">
        <v>80</v>
      </c>
      <c r="W157" s="11">
        <v>35</v>
      </c>
    </row>
    <row r="158" spans="2:23">
      <c r="C158" s="58" t="s">
        <v>27</v>
      </c>
      <c r="H158" s="25" t="s">
        <v>45</v>
      </c>
      <c r="J158" s="58" t="s">
        <v>34</v>
      </c>
      <c r="K158" s="10">
        <v>0.6</v>
      </c>
      <c r="L158" s="10">
        <v>1</v>
      </c>
      <c r="M158" s="10">
        <v>1</v>
      </c>
      <c r="N158" s="10">
        <v>-1.5</v>
      </c>
      <c r="O158" s="10">
        <v>-0.5</v>
      </c>
      <c r="P158" s="115">
        <v>15</v>
      </c>
      <c r="Q158" s="148">
        <f t="shared" si="2"/>
        <v>-1.75</v>
      </c>
      <c r="S158" s="11">
        <v>23.77</v>
      </c>
      <c r="T158" s="11">
        <v>170</v>
      </c>
      <c r="U158" s="11">
        <v>170</v>
      </c>
      <c r="V158" s="11">
        <v>120</v>
      </c>
      <c r="W158" s="11">
        <v>15</v>
      </c>
    </row>
    <row r="159" spans="2:23">
      <c r="B159" s="158">
        <v>45795</v>
      </c>
      <c r="C159" s="58" t="s">
        <v>27</v>
      </c>
      <c r="D159" s="151" t="s">
        <v>209</v>
      </c>
      <c r="E159" s="159" t="s">
        <v>37</v>
      </c>
      <c r="F159" s="160">
        <v>40847</v>
      </c>
      <c r="G159" s="58" t="s">
        <v>210</v>
      </c>
      <c r="H159" s="25" t="s">
        <v>48</v>
      </c>
      <c r="I159" s="177" t="s">
        <v>32</v>
      </c>
      <c r="J159" s="58" t="s">
        <v>33</v>
      </c>
      <c r="K159" s="10">
        <v>0.4</v>
      </c>
      <c r="L159" s="10">
        <v>1</v>
      </c>
      <c r="M159" s="10">
        <v>1</v>
      </c>
      <c r="N159" s="10">
        <v>-1.5</v>
      </c>
      <c r="O159" s="10">
        <v>-0.25</v>
      </c>
      <c r="P159" s="115">
        <v>180</v>
      </c>
      <c r="Q159" s="148">
        <f t="shared" si="2"/>
        <v>-1.625</v>
      </c>
      <c r="R159" s="163" t="s">
        <v>34</v>
      </c>
      <c r="S159" s="11">
        <v>25.58</v>
      </c>
      <c r="T159" s="11">
        <v>170</v>
      </c>
      <c r="U159" s="11">
        <v>170</v>
      </c>
      <c r="V159" s="11">
        <v>35</v>
      </c>
      <c r="W159" s="11">
        <v>6</v>
      </c>
    </row>
    <row r="160" spans="2:23">
      <c r="C160" s="58" t="s">
        <v>27</v>
      </c>
      <c r="H160" s="25" t="s">
        <v>48</v>
      </c>
      <c r="J160" s="58" t="s">
        <v>34</v>
      </c>
      <c r="K160" s="10">
        <v>0.1</v>
      </c>
      <c r="L160" s="10">
        <v>1</v>
      </c>
      <c r="M160" s="10">
        <v>1</v>
      </c>
      <c r="N160" s="10">
        <v>-2.5</v>
      </c>
      <c r="O160" s="10">
        <v>-0.25</v>
      </c>
      <c r="P160" s="115">
        <v>175</v>
      </c>
      <c r="Q160" s="148">
        <f t="shared" si="2"/>
        <v>-2.625</v>
      </c>
      <c r="S160" s="11">
        <v>26.09</v>
      </c>
      <c r="T160" s="11">
        <v>170</v>
      </c>
      <c r="U160" s="11">
        <v>170</v>
      </c>
      <c r="V160" s="11">
        <v>80</v>
      </c>
      <c r="W160" s="11">
        <v>4</v>
      </c>
    </row>
    <row r="161" spans="2:23">
      <c r="B161" s="174">
        <v>45815</v>
      </c>
      <c r="C161" s="58" t="s">
        <v>27</v>
      </c>
      <c r="D161" s="151" t="s">
        <v>211</v>
      </c>
      <c r="E161" s="159" t="s">
        <v>29</v>
      </c>
      <c r="F161" s="160">
        <v>41918</v>
      </c>
      <c r="G161" s="58" t="s">
        <v>212</v>
      </c>
      <c r="H161" s="25" t="s">
        <v>39</v>
      </c>
      <c r="I161" s="58" t="s">
        <v>32</v>
      </c>
      <c r="J161" s="58" t="s">
        <v>33</v>
      </c>
      <c r="K161" s="10">
        <v>0.5</v>
      </c>
      <c r="L161" s="10">
        <v>1</v>
      </c>
      <c r="M161" s="10">
        <v>1</v>
      </c>
      <c r="N161" s="10">
        <v>-1.25</v>
      </c>
      <c r="O161" s="10">
        <v>-0.5</v>
      </c>
      <c r="P161" s="115">
        <v>95</v>
      </c>
      <c r="Q161" s="148">
        <f t="shared" si="2"/>
        <v>-1.5</v>
      </c>
      <c r="R161" s="163" t="s">
        <v>197</v>
      </c>
      <c r="S161" s="11">
        <v>23.85</v>
      </c>
      <c r="T161" s="11">
        <v>170</v>
      </c>
      <c r="U161" s="11">
        <v>170</v>
      </c>
      <c r="V161" s="11">
        <v>45</v>
      </c>
      <c r="W161" s="11">
        <v>8</v>
      </c>
    </row>
    <row r="162" spans="2:23">
      <c r="C162" s="58" t="s">
        <v>27</v>
      </c>
      <c r="H162" s="25" t="s">
        <v>39</v>
      </c>
      <c r="J162" s="58" t="s">
        <v>34</v>
      </c>
      <c r="K162" s="10">
        <v>0.5</v>
      </c>
      <c r="L162" s="10">
        <v>1</v>
      </c>
      <c r="M162" s="10">
        <v>1</v>
      </c>
      <c r="N162" s="10">
        <v>-1.5</v>
      </c>
      <c r="O162" s="10">
        <v>0</v>
      </c>
      <c r="P162" s="115">
        <v>0</v>
      </c>
      <c r="Q162" s="148">
        <f t="shared" si="2"/>
        <v>-1.5</v>
      </c>
      <c r="S162" s="11">
        <v>23.84</v>
      </c>
      <c r="T162" s="11">
        <v>170</v>
      </c>
      <c r="U162" s="11">
        <v>170</v>
      </c>
      <c r="V162" s="11">
        <v>35</v>
      </c>
      <c r="W162" s="11">
        <v>4</v>
      </c>
    </row>
    <row r="163" spans="2:23">
      <c r="B163" s="158">
        <v>45811</v>
      </c>
      <c r="C163" s="58" t="s">
        <v>27</v>
      </c>
      <c r="D163" s="151" t="s">
        <v>213</v>
      </c>
      <c r="E163" s="159" t="s">
        <v>29</v>
      </c>
      <c r="F163" s="160">
        <v>42860</v>
      </c>
      <c r="G163" s="58" t="s">
        <v>214</v>
      </c>
      <c r="H163" s="25" t="s">
        <v>39</v>
      </c>
      <c r="I163" s="177" t="s">
        <v>32</v>
      </c>
      <c r="J163" s="58" t="s">
        <v>33</v>
      </c>
      <c r="K163" s="10">
        <v>0.6</v>
      </c>
      <c r="L163" s="10">
        <v>1</v>
      </c>
      <c r="M163" s="10">
        <v>1</v>
      </c>
      <c r="N163" s="10">
        <v>-1</v>
      </c>
      <c r="O163" s="10">
        <v>-0.25</v>
      </c>
      <c r="P163" s="115">
        <v>15</v>
      </c>
      <c r="Q163" s="148">
        <f t="shared" si="2"/>
        <v>-1.125</v>
      </c>
      <c r="R163" s="163" t="s">
        <v>33</v>
      </c>
      <c r="S163" s="11">
        <v>22.47</v>
      </c>
      <c r="T163" s="11">
        <v>170</v>
      </c>
      <c r="U163" s="11">
        <v>170</v>
      </c>
      <c r="V163" s="11">
        <v>80</v>
      </c>
      <c r="W163" s="11">
        <v>15</v>
      </c>
    </row>
    <row r="164" spans="2:23">
      <c r="C164" s="58" t="s">
        <v>27</v>
      </c>
      <c r="H164" s="25" t="s">
        <v>39</v>
      </c>
      <c r="J164" s="58" t="s">
        <v>34</v>
      </c>
      <c r="K164" s="10">
        <v>0.6</v>
      </c>
      <c r="L164" s="10">
        <v>1</v>
      </c>
      <c r="M164" s="10">
        <v>1</v>
      </c>
      <c r="N164" s="10">
        <v>-1.25</v>
      </c>
      <c r="O164" s="10">
        <v>-0.25</v>
      </c>
      <c r="P164" s="115">
        <v>175</v>
      </c>
      <c r="Q164" s="148">
        <f t="shared" si="2"/>
        <v>-1.375</v>
      </c>
      <c r="S164" s="11">
        <v>22.67</v>
      </c>
      <c r="T164" s="11">
        <v>170</v>
      </c>
      <c r="U164" s="11">
        <v>170</v>
      </c>
      <c r="V164" s="11">
        <v>25</v>
      </c>
      <c r="W164" s="11">
        <v>6</v>
      </c>
    </row>
    <row r="165" spans="2:23">
      <c r="B165" s="174">
        <v>45801</v>
      </c>
      <c r="C165" s="58" t="s">
        <v>27</v>
      </c>
      <c r="D165" s="151" t="s">
        <v>215</v>
      </c>
      <c r="E165" s="159" t="s">
        <v>37</v>
      </c>
      <c r="F165" s="160">
        <v>41000</v>
      </c>
      <c r="G165" s="58" t="s">
        <v>216</v>
      </c>
      <c r="H165" s="25" t="s">
        <v>45</v>
      </c>
      <c r="I165" s="81" t="s">
        <v>32</v>
      </c>
      <c r="J165" s="58" t="s">
        <v>33</v>
      </c>
      <c r="K165" s="10">
        <v>0.4</v>
      </c>
      <c r="L165" s="10">
        <v>1</v>
      </c>
      <c r="M165" s="10">
        <v>1</v>
      </c>
      <c r="N165" s="10">
        <v>-3</v>
      </c>
      <c r="O165" s="10">
        <v>-0.5</v>
      </c>
      <c r="P165" s="115">
        <v>175</v>
      </c>
      <c r="Q165" s="148">
        <f t="shared" si="2"/>
        <v>-3.25</v>
      </c>
      <c r="R165" s="163" t="s">
        <v>33</v>
      </c>
      <c r="S165" s="11">
        <v>26.61</v>
      </c>
      <c r="T165" s="11">
        <v>170</v>
      </c>
      <c r="U165" s="11">
        <v>170</v>
      </c>
      <c r="V165" s="11">
        <v>15</v>
      </c>
      <c r="W165" s="11">
        <v>15</v>
      </c>
    </row>
    <row r="166" spans="2:23">
      <c r="C166" s="58" t="s">
        <v>27</v>
      </c>
      <c r="H166" s="25" t="s">
        <v>45</v>
      </c>
      <c r="I166" s="81"/>
      <c r="J166" s="58" t="s">
        <v>34</v>
      </c>
      <c r="K166" s="10">
        <v>0.4</v>
      </c>
      <c r="L166" s="10">
        <v>1</v>
      </c>
      <c r="M166" s="10">
        <v>1</v>
      </c>
      <c r="N166" s="10">
        <v>-3.25</v>
      </c>
      <c r="O166" s="10">
        <v>-0.75</v>
      </c>
      <c r="P166" s="115">
        <v>170</v>
      </c>
      <c r="Q166" s="148">
        <f t="shared" si="2"/>
        <v>-3.625</v>
      </c>
      <c r="S166" s="11">
        <v>26.74</v>
      </c>
      <c r="T166" s="11">
        <v>170</v>
      </c>
      <c r="U166" s="11">
        <v>170</v>
      </c>
      <c r="V166" s="11">
        <v>80</v>
      </c>
      <c r="W166" s="11">
        <v>4</v>
      </c>
    </row>
    <row r="167" spans="2:23">
      <c r="B167" s="174">
        <v>45795</v>
      </c>
      <c r="C167" s="58" t="s">
        <v>27</v>
      </c>
      <c r="D167" s="151" t="s">
        <v>217</v>
      </c>
      <c r="E167" s="159" t="s">
        <v>37</v>
      </c>
      <c r="F167" s="160">
        <v>43571</v>
      </c>
      <c r="G167" s="58" t="s">
        <v>218</v>
      </c>
      <c r="H167" s="25" t="s">
        <v>45</v>
      </c>
      <c r="I167" s="81" t="s">
        <v>32</v>
      </c>
      <c r="J167" s="58" t="s">
        <v>33</v>
      </c>
      <c r="K167" s="10">
        <v>0.4</v>
      </c>
      <c r="L167" s="10">
        <v>1</v>
      </c>
      <c r="M167" s="10">
        <v>1</v>
      </c>
      <c r="N167" s="10">
        <v>-1.75</v>
      </c>
      <c r="O167" s="10">
        <v>-0.5</v>
      </c>
      <c r="P167" s="115">
        <v>5</v>
      </c>
      <c r="Q167" s="148">
        <f t="shared" si="2"/>
        <v>-2</v>
      </c>
      <c r="R167" s="163" t="s">
        <v>219</v>
      </c>
      <c r="S167" s="11">
        <v>23.45</v>
      </c>
      <c r="T167" s="11">
        <v>170</v>
      </c>
      <c r="U167" s="11">
        <v>170</v>
      </c>
      <c r="V167" s="11">
        <v>15</v>
      </c>
      <c r="W167" s="11">
        <v>0</v>
      </c>
    </row>
    <row r="168" spans="2:23">
      <c r="C168" s="58" t="s">
        <v>27</v>
      </c>
      <c r="H168" s="25" t="s">
        <v>45</v>
      </c>
      <c r="I168" s="81"/>
      <c r="J168" s="58" t="s">
        <v>34</v>
      </c>
      <c r="K168" s="10">
        <v>0.3</v>
      </c>
      <c r="L168" s="10">
        <v>1</v>
      </c>
      <c r="M168" s="10">
        <v>1</v>
      </c>
      <c r="N168" s="10">
        <v>-2</v>
      </c>
      <c r="O168" s="10">
        <v>-0.5</v>
      </c>
      <c r="P168" s="115">
        <v>175</v>
      </c>
      <c r="Q168" s="148">
        <f t="shared" si="2"/>
        <v>-2.25</v>
      </c>
      <c r="S168" s="11">
        <v>23.63</v>
      </c>
      <c r="T168" s="11">
        <v>170</v>
      </c>
      <c r="U168" s="11">
        <v>170</v>
      </c>
      <c r="V168" s="11">
        <v>15</v>
      </c>
      <c r="W168" s="11">
        <v>0</v>
      </c>
    </row>
    <row r="169" spans="2:23">
      <c r="B169" s="174">
        <v>45796</v>
      </c>
      <c r="C169" s="58" t="s">
        <v>27</v>
      </c>
      <c r="D169" s="151" t="s">
        <v>220</v>
      </c>
      <c r="E169" s="159" t="s">
        <v>29</v>
      </c>
      <c r="F169" s="160">
        <v>42062</v>
      </c>
      <c r="G169" s="58" t="s">
        <v>221</v>
      </c>
      <c r="H169" s="25" t="s">
        <v>39</v>
      </c>
      <c r="I169" s="81" t="s">
        <v>32</v>
      </c>
      <c r="J169" s="58" t="s">
        <v>33</v>
      </c>
      <c r="K169" s="10">
        <v>0.6</v>
      </c>
      <c r="L169" s="10">
        <v>1</v>
      </c>
      <c r="M169" s="10">
        <v>1</v>
      </c>
      <c r="N169" s="10">
        <v>-1</v>
      </c>
      <c r="Q169" s="148">
        <f t="shared" si="2"/>
        <v>-1</v>
      </c>
      <c r="R169" s="163" t="s">
        <v>222</v>
      </c>
      <c r="S169" s="11">
        <v>22.75</v>
      </c>
      <c r="T169" s="11">
        <v>170</v>
      </c>
      <c r="U169" s="11">
        <v>170</v>
      </c>
      <c r="V169" s="11">
        <v>60</v>
      </c>
      <c r="W169" s="11">
        <v>35</v>
      </c>
    </row>
    <row r="170" spans="2:23">
      <c r="C170" s="58" t="s">
        <v>27</v>
      </c>
      <c r="H170" s="25" t="s">
        <v>39</v>
      </c>
      <c r="I170" s="81"/>
      <c r="J170" s="58" t="s">
        <v>34</v>
      </c>
      <c r="K170" s="10">
        <v>0.8</v>
      </c>
      <c r="L170" s="10">
        <v>1</v>
      </c>
      <c r="M170" s="10">
        <v>1</v>
      </c>
      <c r="N170" s="10">
        <v>-0.5</v>
      </c>
      <c r="O170" s="10">
        <v>-0.25</v>
      </c>
      <c r="P170" s="115">
        <v>15</v>
      </c>
      <c r="Q170" s="148">
        <f t="shared" si="2"/>
        <v>-0.625</v>
      </c>
      <c r="S170" s="11">
        <v>22.6</v>
      </c>
      <c r="T170" s="11">
        <v>170</v>
      </c>
      <c r="U170" s="11">
        <v>170</v>
      </c>
      <c r="V170" s="11">
        <v>15</v>
      </c>
      <c r="W170" s="11">
        <v>24</v>
      </c>
    </row>
    <row r="171" spans="2:23">
      <c r="B171" s="174">
        <v>45795</v>
      </c>
      <c r="C171" s="58" t="s">
        <v>27</v>
      </c>
      <c r="D171" s="151" t="s">
        <v>223</v>
      </c>
      <c r="E171" s="159" t="s">
        <v>29</v>
      </c>
      <c r="F171" s="160">
        <v>41200</v>
      </c>
      <c r="G171" s="58" t="s">
        <v>224</v>
      </c>
      <c r="H171" s="25" t="s">
        <v>45</v>
      </c>
      <c r="I171" s="81" t="s">
        <v>32</v>
      </c>
      <c r="J171" s="58" t="s">
        <v>33</v>
      </c>
      <c r="K171" s="10">
        <v>0.3</v>
      </c>
      <c r="L171" s="10">
        <v>1</v>
      </c>
      <c r="M171" s="10">
        <v>1</v>
      </c>
      <c r="N171" s="10">
        <v>-3.5</v>
      </c>
      <c r="Q171" s="148">
        <f t="shared" si="2"/>
        <v>-3.5</v>
      </c>
      <c r="R171" s="163" t="s">
        <v>219</v>
      </c>
      <c r="S171" s="11">
        <v>25.06</v>
      </c>
      <c r="T171" s="11">
        <v>170</v>
      </c>
      <c r="U171" s="11">
        <v>120</v>
      </c>
      <c r="V171" s="11">
        <v>25</v>
      </c>
      <c r="W171" s="11">
        <v>6</v>
      </c>
    </row>
    <row r="172" spans="2:23">
      <c r="C172" s="58" t="s">
        <v>27</v>
      </c>
      <c r="H172" s="25" t="s">
        <v>45</v>
      </c>
      <c r="I172" s="81"/>
      <c r="J172" s="58" t="s">
        <v>34</v>
      </c>
      <c r="K172" s="10">
        <v>0.4</v>
      </c>
      <c r="L172" s="10">
        <v>1</v>
      </c>
      <c r="M172" s="10">
        <v>1</v>
      </c>
      <c r="N172" s="10">
        <v>-2.5</v>
      </c>
      <c r="O172" s="10">
        <v>-1</v>
      </c>
      <c r="P172" s="115">
        <v>155</v>
      </c>
      <c r="Q172" s="148">
        <f t="shared" si="2"/>
        <v>-3</v>
      </c>
      <c r="S172" s="11">
        <v>24.88</v>
      </c>
      <c r="T172" s="11">
        <v>170</v>
      </c>
      <c r="U172" s="11">
        <v>170</v>
      </c>
      <c r="V172" s="11">
        <v>15</v>
      </c>
      <c r="W172" s="11">
        <v>3</v>
      </c>
    </row>
    <row r="173" spans="2:23">
      <c r="B173" s="174">
        <v>45796</v>
      </c>
      <c r="C173" s="58" t="s">
        <v>27</v>
      </c>
      <c r="D173" s="151" t="s">
        <v>225</v>
      </c>
      <c r="E173" s="159" t="s">
        <v>29</v>
      </c>
      <c r="F173" s="180">
        <v>42479</v>
      </c>
      <c r="G173" s="58" t="s">
        <v>226</v>
      </c>
      <c r="H173" s="25" t="s">
        <v>45</v>
      </c>
      <c r="I173" s="81" t="s">
        <v>32</v>
      </c>
      <c r="J173" s="58" t="s">
        <v>33</v>
      </c>
      <c r="K173" s="10">
        <v>0.4</v>
      </c>
      <c r="L173" s="10">
        <v>1</v>
      </c>
      <c r="M173" s="10">
        <v>1</v>
      </c>
      <c r="N173" s="10">
        <v>-1.5</v>
      </c>
      <c r="O173" s="10">
        <v>-0.25</v>
      </c>
      <c r="P173" s="115">
        <v>170</v>
      </c>
      <c r="Q173" s="148">
        <f t="shared" si="2"/>
        <v>-1.625</v>
      </c>
      <c r="R173" s="163" t="s">
        <v>222</v>
      </c>
      <c r="S173" s="11">
        <v>23.28</v>
      </c>
      <c r="T173" s="11">
        <v>170</v>
      </c>
      <c r="U173" s="11">
        <v>170</v>
      </c>
      <c r="V173" s="11">
        <v>35</v>
      </c>
      <c r="W173" s="163">
        <v>8</v>
      </c>
    </row>
    <row r="174" spans="2:23">
      <c r="C174" s="58" t="s">
        <v>27</v>
      </c>
      <c r="H174" s="25" t="s">
        <v>45</v>
      </c>
      <c r="I174" s="81"/>
      <c r="J174" s="58" t="s">
        <v>34</v>
      </c>
      <c r="K174" s="10">
        <v>0.5</v>
      </c>
      <c r="L174" s="10">
        <v>1</v>
      </c>
      <c r="M174" s="10">
        <v>1</v>
      </c>
      <c r="N174" s="10">
        <v>-1.25</v>
      </c>
      <c r="O174" s="10">
        <v>-0.5</v>
      </c>
      <c r="P174" s="115">
        <v>5</v>
      </c>
      <c r="Q174" s="148">
        <f t="shared" si="2"/>
        <v>-1.5</v>
      </c>
      <c r="S174" s="11">
        <v>23.45</v>
      </c>
      <c r="T174" s="11">
        <v>170</v>
      </c>
      <c r="U174" s="11">
        <v>170</v>
      </c>
      <c r="V174" s="11">
        <v>60</v>
      </c>
      <c r="W174" s="11">
        <v>6</v>
      </c>
    </row>
    <row r="175" spans="2:23">
      <c r="B175" s="174">
        <v>45802</v>
      </c>
      <c r="C175" s="58" t="s">
        <v>27</v>
      </c>
      <c r="D175" s="151" t="s">
        <v>227</v>
      </c>
      <c r="E175" s="159" t="s">
        <v>37</v>
      </c>
      <c r="F175" s="160">
        <v>42866</v>
      </c>
      <c r="G175" s="58" t="s">
        <v>228</v>
      </c>
      <c r="H175" s="25" t="s">
        <v>39</v>
      </c>
      <c r="I175" s="81" t="s">
        <v>32</v>
      </c>
      <c r="J175" s="58" t="s">
        <v>33</v>
      </c>
      <c r="K175" s="10">
        <v>0.6</v>
      </c>
      <c r="L175" s="10">
        <v>1</v>
      </c>
      <c r="M175" s="10">
        <v>1</v>
      </c>
      <c r="N175" s="10">
        <v>-0.75</v>
      </c>
      <c r="O175" s="10">
        <v>-0.75</v>
      </c>
      <c r="P175" s="115">
        <v>170</v>
      </c>
      <c r="Q175" s="148">
        <f t="shared" si="2"/>
        <v>-1.125</v>
      </c>
      <c r="R175" s="163" t="s">
        <v>219</v>
      </c>
      <c r="S175" s="11">
        <v>24.58</v>
      </c>
      <c r="T175" s="11">
        <v>170</v>
      </c>
      <c r="U175" s="11">
        <v>170</v>
      </c>
      <c r="V175" s="11">
        <v>120</v>
      </c>
      <c r="W175" s="11">
        <v>45</v>
      </c>
    </row>
    <row r="176" spans="2:23">
      <c r="C176" s="58" t="s">
        <v>27</v>
      </c>
      <c r="H176" s="25" t="s">
        <v>39</v>
      </c>
      <c r="I176" s="81"/>
      <c r="J176" s="58" t="s">
        <v>34</v>
      </c>
      <c r="K176" s="10">
        <v>0.5</v>
      </c>
      <c r="L176" s="10">
        <v>1</v>
      </c>
      <c r="M176" s="10">
        <v>1</v>
      </c>
      <c r="N176" s="10">
        <v>-1.25</v>
      </c>
      <c r="O176" s="10">
        <v>-0.5</v>
      </c>
      <c r="P176" s="115">
        <v>10</v>
      </c>
      <c r="Q176" s="148">
        <f t="shared" si="2"/>
        <v>-1.5</v>
      </c>
      <c r="S176" s="11">
        <v>24.94</v>
      </c>
      <c r="T176" s="11">
        <v>170</v>
      </c>
      <c r="U176" s="11">
        <v>170</v>
      </c>
      <c r="V176" s="11">
        <v>120</v>
      </c>
      <c r="W176" s="11">
        <v>45</v>
      </c>
    </row>
    <row r="177" spans="2:23">
      <c r="B177" s="158">
        <v>45808</v>
      </c>
      <c r="C177" s="58" t="s">
        <v>27</v>
      </c>
      <c r="D177" s="151" t="s">
        <v>229</v>
      </c>
      <c r="E177" s="159" t="s">
        <v>37</v>
      </c>
      <c r="F177" s="160">
        <v>42007</v>
      </c>
      <c r="G177" s="58" t="s">
        <v>230</v>
      </c>
      <c r="H177" s="25" t="s">
        <v>48</v>
      </c>
      <c r="I177" s="81" t="s">
        <v>32</v>
      </c>
      <c r="J177" s="58" t="s">
        <v>33</v>
      </c>
      <c r="K177" s="10">
        <v>0.4</v>
      </c>
      <c r="L177" s="10">
        <v>1</v>
      </c>
      <c r="M177" s="10">
        <v>1</v>
      </c>
      <c r="N177" s="10">
        <v>-1.75</v>
      </c>
      <c r="O177" s="10">
        <v>-0.75</v>
      </c>
      <c r="P177" s="115">
        <v>180</v>
      </c>
      <c r="Q177" s="148">
        <f t="shared" si="2"/>
        <v>-2.125</v>
      </c>
      <c r="R177" s="163" t="s">
        <v>34</v>
      </c>
      <c r="S177" s="11">
        <v>25.18</v>
      </c>
      <c r="T177" s="11">
        <v>170</v>
      </c>
      <c r="U177" s="11">
        <v>170</v>
      </c>
      <c r="V177" s="11">
        <v>25</v>
      </c>
      <c r="W177" s="11">
        <v>3</v>
      </c>
    </row>
    <row r="178" spans="2:23">
      <c r="C178" s="58" t="s">
        <v>27</v>
      </c>
      <c r="H178" s="25" t="s">
        <v>48</v>
      </c>
      <c r="I178" s="81"/>
      <c r="J178" s="58" t="s">
        <v>34</v>
      </c>
      <c r="K178" s="10">
        <v>0.5</v>
      </c>
      <c r="L178" s="10">
        <v>1</v>
      </c>
      <c r="M178" s="10">
        <v>1</v>
      </c>
      <c r="N178" s="10">
        <v>-1.75</v>
      </c>
      <c r="O178" s="10">
        <v>-0.75</v>
      </c>
      <c r="P178" s="115">
        <v>175</v>
      </c>
      <c r="Q178" s="148">
        <f t="shared" si="2"/>
        <v>-2.125</v>
      </c>
      <c r="S178" s="11">
        <v>25.08</v>
      </c>
      <c r="T178" s="11">
        <v>170</v>
      </c>
      <c r="U178" s="11">
        <v>170</v>
      </c>
      <c r="V178" s="11">
        <v>35</v>
      </c>
      <c r="W178" s="11">
        <v>8</v>
      </c>
    </row>
    <row r="179" spans="2:23">
      <c r="B179" s="174">
        <v>45803</v>
      </c>
      <c r="C179" s="58" t="s">
        <v>27</v>
      </c>
      <c r="D179" s="151" t="s">
        <v>231</v>
      </c>
      <c r="E179" s="159" t="s">
        <v>29</v>
      </c>
      <c r="F179" s="160">
        <v>43372</v>
      </c>
      <c r="G179" s="58" t="s">
        <v>232</v>
      </c>
      <c r="H179" s="25" t="s">
        <v>45</v>
      </c>
      <c r="I179" s="81" t="s">
        <v>32</v>
      </c>
      <c r="J179" s="58" t="s">
        <v>33</v>
      </c>
      <c r="K179" s="10">
        <v>0.8</v>
      </c>
      <c r="L179" s="10">
        <v>1</v>
      </c>
      <c r="M179" s="10">
        <v>1</v>
      </c>
      <c r="N179" s="10">
        <v>-0.75</v>
      </c>
      <c r="O179" s="10">
        <v>-0.5</v>
      </c>
      <c r="P179" s="115">
        <v>180</v>
      </c>
      <c r="Q179" s="148">
        <f t="shared" si="2"/>
        <v>-1</v>
      </c>
      <c r="R179" s="163" t="s">
        <v>197</v>
      </c>
      <c r="S179" s="11">
        <v>24.2</v>
      </c>
      <c r="T179" s="11">
        <v>170</v>
      </c>
      <c r="U179" s="11">
        <v>170</v>
      </c>
      <c r="V179" s="11">
        <v>35</v>
      </c>
      <c r="W179" s="11">
        <v>4</v>
      </c>
    </row>
    <row r="180" spans="2:23">
      <c r="C180" s="58" t="s">
        <v>27</v>
      </c>
      <c r="H180" s="25" t="s">
        <v>45</v>
      </c>
      <c r="I180" s="81"/>
      <c r="J180" s="58" t="s">
        <v>34</v>
      </c>
      <c r="K180" s="10">
        <v>0.8</v>
      </c>
      <c r="L180" s="10">
        <v>1</v>
      </c>
      <c r="M180" s="10">
        <v>1</v>
      </c>
      <c r="N180" s="10">
        <v>-0.75</v>
      </c>
      <c r="O180" s="10">
        <v>-0.75</v>
      </c>
      <c r="P180" s="115">
        <v>165</v>
      </c>
      <c r="Q180" s="148">
        <f t="shared" si="2"/>
        <v>-1.125</v>
      </c>
      <c r="S180" s="11">
        <v>24.21</v>
      </c>
      <c r="T180" s="11">
        <v>170</v>
      </c>
      <c r="U180" s="11">
        <v>170</v>
      </c>
      <c r="V180" s="11">
        <v>60</v>
      </c>
      <c r="W180" s="11">
        <v>3</v>
      </c>
    </row>
    <row r="181" spans="2:23">
      <c r="B181" s="158">
        <v>45804</v>
      </c>
      <c r="C181" s="58" t="s">
        <v>27</v>
      </c>
      <c r="D181" s="151" t="s">
        <v>233</v>
      </c>
      <c r="E181" s="159" t="s">
        <v>37</v>
      </c>
      <c r="F181" s="160">
        <v>43572</v>
      </c>
      <c r="G181" s="58" t="s">
        <v>234</v>
      </c>
      <c r="H181" s="25" t="s">
        <v>39</v>
      </c>
      <c r="I181" s="81" t="s">
        <v>32</v>
      </c>
      <c r="J181" s="58" t="s">
        <v>33</v>
      </c>
      <c r="K181" s="10">
        <v>0.5</v>
      </c>
      <c r="L181" s="10">
        <v>1</v>
      </c>
      <c r="M181" s="10">
        <v>1</v>
      </c>
      <c r="N181" s="10">
        <v>-0.5</v>
      </c>
      <c r="O181" s="10">
        <v>-0.12</v>
      </c>
      <c r="P181" s="115">
        <v>2</v>
      </c>
      <c r="Q181" s="148">
        <f t="shared" si="2"/>
        <v>-0.56</v>
      </c>
      <c r="R181" s="163" t="s">
        <v>33</v>
      </c>
      <c r="S181" s="11">
        <v>23.06</v>
      </c>
      <c r="T181" s="11">
        <v>170</v>
      </c>
      <c r="U181" s="11">
        <v>170</v>
      </c>
      <c r="V181" s="11">
        <v>35</v>
      </c>
      <c r="W181" s="11">
        <v>6</v>
      </c>
    </row>
    <row r="182" spans="2:23">
      <c r="C182" s="58" t="s">
        <v>27</v>
      </c>
      <c r="H182" s="25" t="s">
        <v>39</v>
      </c>
      <c r="I182" s="81"/>
      <c r="J182" s="58" t="s">
        <v>34</v>
      </c>
      <c r="K182" s="10">
        <v>0.6</v>
      </c>
      <c r="L182" s="10">
        <v>1</v>
      </c>
      <c r="M182" s="10">
        <v>1</v>
      </c>
      <c r="N182" s="10">
        <v>-0.62</v>
      </c>
      <c r="O182" s="10">
        <v>-0.37</v>
      </c>
      <c r="P182" s="115">
        <v>2</v>
      </c>
      <c r="Q182" s="148">
        <f t="shared" si="2"/>
        <v>-0.805</v>
      </c>
      <c r="S182" s="11">
        <v>23.13</v>
      </c>
      <c r="T182" s="11">
        <v>170</v>
      </c>
      <c r="U182" s="11">
        <v>170</v>
      </c>
      <c r="V182" s="11">
        <v>9</v>
      </c>
      <c r="W182" s="11">
        <v>3</v>
      </c>
    </row>
    <row r="183" spans="2:23">
      <c r="B183" s="158">
        <v>45809</v>
      </c>
      <c r="C183" s="58" t="s">
        <v>27</v>
      </c>
      <c r="D183" s="151" t="s">
        <v>235</v>
      </c>
      <c r="E183" s="159" t="s">
        <v>37</v>
      </c>
      <c r="F183" s="160">
        <v>41536</v>
      </c>
      <c r="G183" s="58" t="s">
        <v>236</v>
      </c>
      <c r="H183" s="25" t="s">
        <v>39</v>
      </c>
      <c r="I183" s="81" t="s">
        <v>32</v>
      </c>
      <c r="J183" s="58" t="s">
        <v>33</v>
      </c>
      <c r="K183" s="10">
        <v>0.3</v>
      </c>
      <c r="N183" s="10">
        <v>-2.25</v>
      </c>
      <c r="O183" s="10">
        <v>-0.75</v>
      </c>
      <c r="P183" s="115">
        <v>10</v>
      </c>
      <c r="Q183" s="148">
        <f t="shared" si="2"/>
        <v>-2.625</v>
      </c>
      <c r="R183" s="163" t="s">
        <v>34</v>
      </c>
      <c r="S183" s="11">
        <v>25.67</v>
      </c>
      <c r="T183" s="11">
        <v>170</v>
      </c>
      <c r="U183" s="11">
        <v>170</v>
      </c>
      <c r="V183" s="11">
        <v>80</v>
      </c>
      <c r="W183" s="11">
        <v>45</v>
      </c>
    </row>
    <row r="184" spans="2:23">
      <c r="C184" s="58" t="s">
        <v>27</v>
      </c>
      <c r="H184" s="25" t="s">
        <v>39</v>
      </c>
      <c r="I184" s="81"/>
      <c r="J184" s="58" t="s">
        <v>34</v>
      </c>
      <c r="K184" s="10">
        <v>0.6</v>
      </c>
      <c r="N184" s="10">
        <v>-1</v>
      </c>
      <c r="O184" s="10">
        <v>-1</v>
      </c>
      <c r="P184" s="115">
        <v>165</v>
      </c>
      <c r="Q184" s="148">
        <f t="shared" si="2"/>
        <v>-1.5</v>
      </c>
      <c r="S184" s="11">
        <v>25.03</v>
      </c>
      <c r="T184" s="11">
        <v>170</v>
      </c>
      <c r="U184" s="11">
        <v>170</v>
      </c>
      <c r="V184" s="11">
        <v>60</v>
      </c>
      <c r="W184" s="11">
        <v>24</v>
      </c>
    </row>
    <row r="185" spans="2:23">
      <c r="B185" s="174">
        <v>45801</v>
      </c>
      <c r="C185" s="58" t="s">
        <v>27</v>
      </c>
      <c r="D185" s="151" t="s">
        <v>237</v>
      </c>
      <c r="E185" s="159" t="s">
        <v>37</v>
      </c>
      <c r="F185" s="160">
        <v>42691</v>
      </c>
      <c r="G185" s="58" t="s">
        <v>238</v>
      </c>
      <c r="H185" s="25" t="s">
        <v>31</v>
      </c>
      <c r="I185" s="81" t="s">
        <v>32</v>
      </c>
      <c r="J185" s="58" t="s">
        <v>33</v>
      </c>
      <c r="K185" s="10">
        <v>0.4</v>
      </c>
      <c r="L185" s="10">
        <v>1</v>
      </c>
      <c r="M185" s="10">
        <v>1</v>
      </c>
      <c r="N185" s="10">
        <v>-1.25</v>
      </c>
      <c r="O185" s="10">
        <v>-0.25</v>
      </c>
      <c r="P185" s="115">
        <v>160</v>
      </c>
      <c r="Q185" s="148">
        <f t="shared" si="2"/>
        <v>-1.375</v>
      </c>
      <c r="R185" s="163" t="s">
        <v>33</v>
      </c>
      <c r="S185" s="11">
        <v>24.14</v>
      </c>
      <c r="T185" s="11">
        <v>100</v>
      </c>
      <c r="U185" s="11">
        <v>125</v>
      </c>
      <c r="V185" s="11">
        <v>66</v>
      </c>
      <c r="W185" s="11">
        <v>66</v>
      </c>
    </row>
    <row r="186" spans="2:23">
      <c r="C186" s="58" t="s">
        <v>27</v>
      </c>
      <c r="H186" s="25" t="s">
        <v>31</v>
      </c>
      <c r="I186" s="81"/>
      <c r="J186" s="58" t="s">
        <v>34</v>
      </c>
      <c r="K186" s="10">
        <v>0.3</v>
      </c>
      <c r="L186" s="10">
        <v>1</v>
      </c>
      <c r="M186" s="10">
        <v>1</v>
      </c>
      <c r="N186" s="10">
        <v>-1.25</v>
      </c>
      <c r="O186" s="10">
        <v>-0.5</v>
      </c>
      <c r="P186" s="115">
        <v>5</v>
      </c>
      <c r="Q186" s="148">
        <f t="shared" si="2"/>
        <v>-1.5</v>
      </c>
      <c r="S186" s="11">
        <v>24.26</v>
      </c>
      <c r="T186" s="11">
        <v>100</v>
      </c>
      <c r="U186" s="11">
        <v>125</v>
      </c>
      <c r="V186" s="11">
        <v>66</v>
      </c>
      <c r="W186" s="11">
        <v>66</v>
      </c>
    </row>
    <row r="187" spans="2:23">
      <c r="B187" s="174">
        <v>45801</v>
      </c>
      <c r="C187" s="58" t="s">
        <v>27</v>
      </c>
      <c r="D187" s="151" t="s">
        <v>239</v>
      </c>
      <c r="E187" s="159" t="s">
        <v>29</v>
      </c>
      <c r="F187" s="160">
        <v>41612</v>
      </c>
      <c r="G187" s="58" t="s">
        <v>240</v>
      </c>
      <c r="H187" s="25" t="s">
        <v>48</v>
      </c>
      <c r="I187" s="81" t="s">
        <v>32</v>
      </c>
      <c r="J187" s="58" t="s">
        <v>33</v>
      </c>
      <c r="K187" s="10">
        <v>0.3</v>
      </c>
      <c r="L187" s="10">
        <v>1</v>
      </c>
      <c r="M187" s="10">
        <v>1</v>
      </c>
      <c r="N187" s="10">
        <v>-1.75</v>
      </c>
      <c r="O187" s="10">
        <v>-0.5</v>
      </c>
      <c r="P187" s="115">
        <v>35</v>
      </c>
      <c r="Q187" s="148">
        <f t="shared" si="2"/>
        <v>-2</v>
      </c>
      <c r="R187" s="163" t="s">
        <v>33</v>
      </c>
      <c r="S187" s="11">
        <v>23.75</v>
      </c>
      <c r="T187" s="11">
        <v>170</v>
      </c>
      <c r="U187" s="11">
        <v>170</v>
      </c>
      <c r="V187" s="11">
        <v>60</v>
      </c>
      <c r="W187" s="11">
        <v>35</v>
      </c>
    </row>
    <row r="188" spans="2:23">
      <c r="C188" s="58" t="s">
        <v>27</v>
      </c>
      <c r="H188" s="25" t="s">
        <v>48</v>
      </c>
      <c r="I188" s="81"/>
      <c r="J188" s="58" t="s">
        <v>34</v>
      </c>
      <c r="K188" s="10">
        <v>0.4</v>
      </c>
      <c r="L188" s="10">
        <v>1</v>
      </c>
      <c r="M188" s="10">
        <v>1</v>
      </c>
      <c r="N188" s="10">
        <v>-1.5</v>
      </c>
      <c r="O188" s="10">
        <v>-0.5</v>
      </c>
      <c r="P188" s="115">
        <v>180</v>
      </c>
      <c r="Q188" s="148">
        <f t="shared" si="2"/>
        <v>-1.75</v>
      </c>
      <c r="S188" s="11">
        <v>23.59</v>
      </c>
      <c r="T188" s="11">
        <v>170</v>
      </c>
      <c r="U188" s="11">
        <v>170</v>
      </c>
      <c r="V188" s="11">
        <v>120</v>
      </c>
      <c r="W188" s="11">
        <v>45</v>
      </c>
    </row>
    <row r="189" spans="2:23">
      <c r="B189" s="174">
        <v>45801</v>
      </c>
      <c r="C189" s="58" t="s">
        <v>27</v>
      </c>
      <c r="D189" s="151" t="s">
        <v>241</v>
      </c>
      <c r="E189" s="159" t="s">
        <v>37</v>
      </c>
      <c r="F189" s="160">
        <v>42484</v>
      </c>
      <c r="G189" s="58" t="s">
        <v>242</v>
      </c>
      <c r="H189" s="25" t="s">
        <v>39</v>
      </c>
      <c r="I189" s="81" t="s">
        <v>32</v>
      </c>
      <c r="J189" s="58" t="s">
        <v>33</v>
      </c>
      <c r="K189" s="10">
        <v>0.2</v>
      </c>
      <c r="L189" s="161"/>
      <c r="N189" s="10">
        <v>-1.75</v>
      </c>
      <c r="Q189" s="148">
        <f t="shared" si="2"/>
        <v>-1.75</v>
      </c>
      <c r="S189" s="11">
        <v>25.01</v>
      </c>
    </row>
    <row r="190" spans="2:23">
      <c r="C190" s="58" t="s">
        <v>27</v>
      </c>
      <c r="H190" s="25" t="s">
        <v>39</v>
      </c>
      <c r="I190" s="81"/>
      <c r="J190" s="58" t="s">
        <v>34</v>
      </c>
      <c r="K190" s="10">
        <v>0.6</v>
      </c>
      <c r="N190" s="10">
        <v>-0.5</v>
      </c>
      <c r="O190" s="10">
        <v>-0.25</v>
      </c>
      <c r="P190" s="115">
        <v>155</v>
      </c>
      <c r="Q190" s="148">
        <f t="shared" si="2"/>
        <v>-0.625</v>
      </c>
      <c r="S190" s="11">
        <v>24.43</v>
      </c>
    </row>
    <row r="191" spans="2:23">
      <c r="B191" s="158">
        <v>45809</v>
      </c>
      <c r="C191" s="58" t="s">
        <v>27</v>
      </c>
      <c r="D191" s="151" t="s">
        <v>243</v>
      </c>
      <c r="E191" s="159" t="s">
        <v>29</v>
      </c>
      <c r="F191" s="160">
        <v>41781</v>
      </c>
      <c r="G191" s="58" t="s">
        <v>244</v>
      </c>
      <c r="H191" s="25" t="s">
        <v>48</v>
      </c>
      <c r="I191" s="81" t="s">
        <v>32</v>
      </c>
      <c r="J191" s="58" t="s">
        <v>33</v>
      </c>
      <c r="K191" s="10">
        <v>0.1</v>
      </c>
      <c r="L191" s="10">
        <v>1</v>
      </c>
      <c r="M191" s="10">
        <v>1</v>
      </c>
      <c r="N191" s="10">
        <f>-2.5</f>
        <v>-2.5</v>
      </c>
      <c r="O191" s="10">
        <v>-0.25</v>
      </c>
      <c r="P191" s="115">
        <v>150</v>
      </c>
      <c r="Q191" s="148">
        <f t="shared" si="2"/>
        <v>-2.625</v>
      </c>
      <c r="R191" s="163" t="s">
        <v>33</v>
      </c>
      <c r="S191" s="11">
        <v>24.66</v>
      </c>
      <c r="T191" s="11">
        <v>170</v>
      </c>
      <c r="U191" s="11">
        <v>170</v>
      </c>
      <c r="V191" s="11">
        <v>80</v>
      </c>
      <c r="W191" s="11">
        <v>15</v>
      </c>
    </row>
    <row r="192" spans="2:23">
      <c r="C192" s="58" t="s">
        <v>27</v>
      </c>
      <c r="H192" s="25" t="s">
        <v>48</v>
      </c>
      <c r="I192" s="81"/>
      <c r="J192" s="58" t="s">
        <v>34</v>
      </c>
      <c r="K192" s="10">
        <v>0.05</v>
      </c>
      <c r="L192" s="10">
        <v>1</v>
      </c>
      <c r="M192" s="10">
        <v>1</v>
      </c>
      <c r="N192" s="10">
        <v>-3.5</v>
      </c>
      <c r="O192" s="10">
        <v>-1</v>
      </c>
      <c r="P192" s="115">
        <v>165</v>
      </c>
      <c r="Q192" s="148">
        <f t="shared" si="2"/>
        <v>-4</v>
      </c>
      <c r="S192" s="11">
        <v>25.35</v>
      </c>
      <c r="T192" s="11">
        <v>170</v>
      </c>
      <c r="U192" s="11">
        <v>170</v>
      </c>
      <c r="V192" s="11">
        <v>80</v>
      </c>
      <c r="W192" s="11">
        <v>45</v>
      </c>
    </row>
    <row r="193" spans="2:23">
      <c r="B193" s="158">
        <v>45807</v>
      </c>
      <c r="C193" s="58" t="s">
        <v>27</v>
      </c>
      <c r="D193" s="151" t="s">
        <v>245</v>
      </c>
      <c r="E193" s="159" t="s">
        <v>37</v>
      </c>
      <c r="F193" s="160">
        <v>41229</v>
      </c>
      <c r="G193" s="58" t="s">
        <v>246</v>
      </c>
      <c r="H193" s="25" t="s">
        <v>48</v>
      </c>
      <c r="I193" s="81" t="s">
        <v>32</v>
      </c>
      <c r="J193" s="58" t="s">
        <v>33</v>
      </c>
      <c r="K193" s="10">
        <v>0.8</v>
      </c>
      <c r="L193" s="10">
        <v>1</v>
      </c>
      <c r="M193" s="10">
        <v>1</v>
      </c>
      <c r="N193" s="10">
        <v>-1</v>
      </c>
      <c r="O193" s="10">
        <v>0</v>
      </c>
      <c r="P193" s="115">
        <v>0</v>
      </c>
      <c r="Q193" s="148">
        <f t="shared" si="2"/>
        <v>-1</v>
      </c>
      <c r="R193" s="163" t="s">
        <v>33</v>
      </c>
      <c r="S193" s="11">
        <v>24.53</v>
      </c>
      <c r="T193" s="11">
        <v>170</v>
      </c>
      <c r="U193" s="11">
        <v>170</v>
      </c>
      <c r="V193" s="11">
        <v>25</v>
      </c>
      <c r="W193" s="11">
        <v>3</v>
      </c>
    </row>
    <row r="194" spans="2:23">
      <c r="C194" s="58" t="s">
        <v>27</v>
      </c>
      <c r="H194" s="25" t="s">
        <v>48</v>
      </c>
      <c r="I194" s="81"/>
      <c r="J194" s="58" t="s">
        <v>34</v>
      </c>
      <c r="K194" s="10">
        <v>0.8</v>
      </c>
      <c r="L194" s="10">
        <v>1</v>
      </c>
      <c r="M194" s="10">
        <v>1</v>
      </c>
      <c r="N194" s="10">
        <v>-0.75</v>
      </c>
      <c r="O194" s="10">
        <v>-0.5</v>
      </c>
      <c r="P194" s="115">
        <v>5</v>
      </c>
      <c r="Q194" s="148">
        <f t="shared" si="2"/>
        <v>-1</v>
      </c>
      <c r="S194" s="11">
        <v>24.52</v>
      </c>
      <c r="T194" s="11">
        <v>170</v>
      </c>
      <c r="U194" s="11">
        <v>120</v>
      </c>
      <c r="V194" s="11">
        <v>25</v>
      </c>
      <c r="W194" s="11">
        <v>6</v>
      </c>
    </row>
    <row r="195" spans="2:23">
      <c r="B195" s="158">
        <v>45806</v>
      </c>
      <c r="C195" s="58" t="s">
        <v>27</v>
      </c>
      <c r="D195" s="151" t="s">
        <v>247</v>
      </c>
      <c r="E195" s="159" t="s">
        <v>29</v>
      </c>
      <c r="F195" s="160">
        <v>43229</v>
      </c>
      <c r="G195" s="58" t="s">
        <v>248</v>
      </c>
      <c r="H195" s="25" t="s">
        <v>31</v>
      </c>
      <c r="I195" s="81" t="s">
        <v>32</v>
      </c>
      <c r="J195" s="58" t="s">
        <v>33</v>
      </c>
      <c r="K195" s="10">
        <v>0.3</v>
      </c>
      <c r="L195" s="10">
        <v>1</v>
      </c>
      <c r="M195" s="10">
        <v>1</v>
      </c>
      <c r="N195" s="10">
        <v>-2.5</v>
      </c>
      <c r="O195" s="10">
        <v>-0.5</v>
      </c>
      <c r="P195" s="115">
        <v>20</v>
      </c>
      <c r="Q195" s="148">
        <f t="shared" si="2"/>
        <v>-2.75</v>
      </c>
      <c r="R195" s="163" t="s">
        <v>33</v>
      </c>
      <c r="S195" s="11">
        <v>24.29</v>
      </c>
      <c r="T195" s="11">
        <v>170</v>
      </c>
      <c r="U195" s="11">
        <v>60</v>
      </c>
      <c r="V195" s="11">
        <v>0</v>
      </c>
      <c r="W195" s="11">
        <v>0</v>
      </c>
    </row>
    <row r="196" spans="2:23">
      <c r="C196" s="58" t="s">
        <v>27</v>
      </c>
      <c r="H196" s="25" t="s">
        <v>31</v>
      </c>
      <c r="I196" s="81"/>
      <c r="J196" s="58" t="s">
        <v>34</v>
      </c>
      <c r="K196" s="10">
        <v>0.4</v>
      </c>
      <c r="L196" s="10">
        <v>1</v>
      </c>
      <c r="M196" s="10">
        <v>1</v>
      </c>
      <c r="N196" s="10">
        <v>-2.75</v>
      </c>
      <c r="O196" s="10">
        <v>-0.5</v>
      </c>
      <c r="P196" s="115">
        <v>160</v>
      </c>
      <c r="Q196" s="148">
        <f t="shared" si="2"/>
        <v>-3</v>
      </c>
      <c r="S196" s="11">
        <v>24.48</v>
      </c>
      <c r="T196" s="11">
        <v>170</v>
      </c>
      <c r="U196" s="11">
        <v>170</v>
      </c>
      <c r="V196" s="11">
        <v>25</v>
      </c>
      <c r="W196" s="11">
        <v>3</v>
      </c>
    </row>
    <row r="197" spans="2:23">
      <c r="B197" s="158">
        <v>45808</v>
      </c>
      <c r="C197" s="58" t="s">
        <v>27</v>
      </c>
      <c r="D197" s="151" t="s">
        <v>249</v>
      </c>
      <c r="E197" s="159" t="s">
        <v>37</v>
      </c>
      <c r="F197" s="153">
        <v>41906</v>
      </c>
      <c r="G197" s="58" t="s">
        <v>250</v>
      </c>
      <c r="H197" s="25" t="s">
        <v>31</v>
      </c>
      <c r="I197" s="81" t="s">
        <v>32</v>
      </c>
      <c r="J197" s="58" t="s">
        <v>33</v>
      </c>
      <c r="K197" s="10">
        <v>0.6</v>
      </c>
      <c r="N197" s="10">
        <v>-1.75</v>
      </c>
      <c r="O197" s="10">
        <v>-0.25</v>
      </c>
      <c r="P197" s="115">
        <v>130</v>
      </c>
      <c r="Q197" s="148">
        <f>N197+0.5*O197</f>
        <v>-1.875</v>
      </c>
      <c r="S197" s="11">
        <v>25.84</v>
      </c>
    </row>
    <row r="198" spans="2:23">
      <c r="C198" s="58" t="s">
        <v>27</v>
      </c>
      <c r="H198" s="25" t="s">
        <v>31</v>
      </c>
      <c r="I198" s="81"/>
      <c r="J198" s="58" t="s">
        <v>34</v>
      </c>
      <c r="K198" s="161">
        <v>0.3</v>
      </c>
      <c r="N198" s="10">
        <v>-1.75</v>
      </c>
      <c r="O198" s="10">
        <v>-0.25</v>
      </c>
      <c r="P198" s="115">
        <v>175</v>
      </c>
      <c r="Q198" s="148">
        <f>N198+0.5*O198</f>
        <v>-1.875</v>
      </c>
      <c r="S198" s="11">
        <v>25.92</v>
      </c>
    </row>
    <row r="199" spans="2:23">
      <c r="B199" s="158">
        <v>45806</v>
      </c>
      <c r="C199" s="58" t="s">
        <v>27</v>
      </c>
      <c r="D199" s="151" t="s">
        <v>251</v>
      </c>
      <c r="E199" s="159" t="s">
        <v>37</v>
      </c>
      <c r="F199" s="160">
        <v>42502</v>
      </c>
      <c r="G199" s="58" t="s">
        <v>252</v>
      </c>
      <c r="H199" s="25" t="s">
        <v>48</v>
      </c>
      <c r="I199" s="81" t="s">
        <v>32</v>
      </c>
      <c r="J199" s="58" t="s">
        <v>33</v>
      </c>
      <c r="K199" s="10">
        <v>0.25</v>
      </c>
      <c r="L199" s="10">
        <v>1</v>
      </c>
      <c r="M199" s="10">
        <v>1</v>
      </c>
      <c r="N199" s="10">
        <v>-1.75</v>
      </c>
      <c r="O199" s="10">
        <v>-0.25</v>
      </c>
      <c r="P199" s="115">
        <v>155</v>
      </c>
      <c r="Q199" s="148">
        <f>N199+0.5*O199</f>
        <v>-1.875</v>
      </c>
      <c r="R199" s="163" t="s">
        <v>33</v>
      </c>
      <c r="S199" s="11">
        <v>24.06</v>
      </c>
      <c r="T199" s="11">
        <v>170</v>
      </c>
      <c r="U199" s="11">
        <v>170</v>
      </c>
      <c r="V199" s="11">
        <v>60</v>
      </c>
      <c r="W199" s="11">
        <v>24</v>
      </c>
    </row>
    <row r="200" spans="2:23">
      <c r="C200" s="58" t="s">
        <v>27</v>
      </c>
      <c r="H200" s="25" t="s">
        <v>48</v>
      </c>
      <c r="I200" s="81"/>
      <c r="J200" s="58" t="s">
        <v>34</v>
      </c>
      <c r="K200" s="10">
        <v>0.4</v>
      </c>
      <c r="L200" s="10">
        <v>1</v>
      </c>
      <c r="M200" s="10">
        <v>1</v>
      </c>
      <c r="N200" s="10">
        <v>-1</v>
      </c>
      <c r="O200" s="10">
        <v>-0.25</v>
      </c>
      <c r="P200" s="115">
        <v>170</v>
      </c>
      <c r="Q200" s="148">
        <f>N200+0.5*O200</f>
        <v>-1.125</v>
      </c>
      <c r="S200" s="11">
        <v>23.74</v>
      </c>
      <c r="T200" s="11">
        <v>170</v>
      </c>
      <c r="U200" s="11">
        <v>170</v>
      </c>
      <c r="V200" s="11">
        <v>80</v>
      </c>
      <c r="W200" s="11">
        <v>15</v>
      </c>
    </row>
    <row r="201" spans="2:23">
      <c r="B201" s="158">
        <v>45792</v>
      </c>
      <c r="C201" s="58" t="s">
        <v>139</v>
      </c>
      <c r="D201" s="151" t="s">
        <v>253</v>
      </c>
      <c r="E201" s="159" t="s">
        <v>29</v>
      </c>
      <c r="F201" s="160">
        <v>41870</v>
      </c>
      <c r="G201" s="58" t="s">
        <v>254</v>
      </c>
      <c r="H201" s="25" t="s">
        <v>48</v>
      </c>
      <c r="I201" s="81" t="s">
        <v>32</v>
      </c>
      <c r="J201" s="58" t="s">
        <v>33</v>
      </c>
      <c r="N201" s="172"/>
      <c r="O201" s="172"/>
      <c r="P201" s="173"/>
      <c r="Q201" s="179"/>
      <c r="R201" s="163" t="s">
        <v>33</v>
      </c>
      <c r="S201" s="11">
        <v>23.54</v>
      </c>
      <c r="T201" s="11">
        <v>1</v>
      </c>
      <c r="U201" s="11">
        <v>2</v>
      </c>
      <c r="V201" s="11">
        <v>0</v>
      </c>
      <c r="W201" s="11">
        <v>0</v>
      </c>
    </row>
    <row r="202" spans="2:23">
      <c r="C202" s="58" t="s">
        <v>139</v>
      </c>
      <c r="H202" s="25" t="s">
        <v>48</v>
      </c>
      <c r="J202" s="58" t="s">
        <v>34</v>
      </c>
      <c r="N202" s="172"/>
      <c r="O202" s="172"/>
      <c r="P202" s="173"/>
      <c r="Q202" s="179"/>
      <c r="S202" s="11">
        <v>23.32</v>
      </c>
      <c r="T202" s="11">
        <v>1</v>
      </c>
      <c r="U202" s="11">
        <v>1</v>
      </c>
      <c r="V202" s="11">
        <v>0</v>
      </c>
      <c r="W202" s="11">
        <v>1</v>
      </c>
    </row>
    <row r="203" spans="2:23">
      <c r="B203" s="158">
        <v>45792</v>
      </c>
      <c r="C203" s="58" t="s">
        <v>139</v>
      </c>
      <c r="D203" s="151" t="s">
        <v>255</v>
      </c>
      <c r="E203" s="159" t="s">
        <v>37</v>
      </c>
      <c r="F203" s="153">
        <v>42773</v>
      </c>
      <c r="G203" s="58" t="s">
        <v>256</v>
      </c>
      <c r="H203" s="25" t="s">
        <v>31</v>
      </c>
      <c r="I203" s="81" t="s">
        <v>32</v>
      </c>
      <c r="J203" s="58" t="s">
        <v>33</v>
      </c>
      <c r="N203" s="172"/>
      <c r="O203" s="172"/>
      <c r="P203" s="173"/>
      <c r="Q203" s="179"/>
      <c r="R203" s="163" t="s">
        <v>33</v>
      </c>
      <c r="S203" s="11">
        <v>24.49</v>
      </c>
      <c r="T203" s="11">
        <v>0</v>
      </c>
      <c r="U203" s="11">
        <v>1</v>
      </c>
      <c r="V203" s="11">
        <v>0</v>
      </c>
      <c r="W203" s="11">
        <v>0</v>
      </c>
    </row>
    <row r="204" spans="2:23">
      <c r="C204" s="58" t="s">
        <v>139</v>
      </c>
      <c r="H204" s="25" t="s">
        <v>31</v>
      </c>
      <c r="J204" s="58" t="s">
        <v>34</v>
      </c>
      <c r="N204" s="172"/>
      <c r="O204" s="172"/>
      <c r="P204" s="173"/>
      <c r="Q204" s="179"/>
      <c r="S204" s="11">
        <v>24.49</v>
      </c>
      <c r="T204" s="11">
        <v>2</v>
      </c>
      <c r="U204" s="11">
        <v>1</v>
      </c>
      <c r="V204" s="11">
        <v>0</v>
      </c>
      <c r="W204" s="11">
        <v>1</v>
      </c>
    </row>
    <row r="205" spans="2:23">
      <c r="B205" s="158">
        <v>45809</v>
      </c>
      <c r="C205" s="58" t="s">
        <v>27</v>
      </c>
      <c r="D205" s="151" t="s">
        <v>257</v>
      </c>
      <c r="E205" s="159" t="s">
        <v>37</v>
      </c>
      <c r="F205" s="160">
        <v>42044</v>
      </c>
      <c r="G205" s="58" t="s">
        <v>258</v>
      </c>
      <c r="H205" s="25" t="s">
        <v>45</v>
      </c>
      <c r="I205" s="81" t="s">
        <v>32</v>
      </c>
      <c r="J205" s="58" t="s">
        <v>33</v>
      </c>
      <c r="K205" s="10">
        <v>0.2</v>
      </c>
      <c r="L205" s="10">
        <v>1</v>
      </c>
      <c r="M205" s="10">
        <v>1</v>
      </c>
      <c r="N205" s="10">
        <v>-2</v>
      </c>
      <c r="O205" s="10">
        <v>-0.75</v>
      </c>
      <c r="P205" s="115">
        <v>10</v>
      </c>
      <c r="Q205" s="148">
        <f t="shared" ref="Q205:Q252" si="3">N205+0.5*O205</f>
        <v>-2.375</v>
      </c>
      <c r="R205" s="163" t="s">
        <v>33</v>
      </c>
      <c r="S205" s="11">
        <v>24.65</v>
      </c>
      <c r="T205" s="11">
        <v>170</v>
      </c>
      <c r="U205" s="11">
        <v>170</v>
      </c>
      <c r="V205" s="11">
        <v>80</v>
      </c>
      <c r="W205" s="11">
        <v>15</v>
      </c>
    </row>
    <row r="206" spans="2:23">
      <c r="C206" s="58" t="s">
        <v>27</v>
      </c>
      <c r="H206" s="25" t="s">
        <v>45</v>
      </c>
      <c r="J206" s="58" t="s">
        <v>34</v>
      </c>
      <c r="K206" s="10">
        <v>0.15</v>
      </c>
      <c r="L206" s="10">
        <v>1</v>
      </c>
      <c r="M206" s="10">
        <v>1</v>
      </c>
      <c r="N206" s="10">
        <v>-2.25</v>
      </c>
      <c r="O206" s="10">
        <v>-1</v>
      </c>
      <c r="P206" s="115">
        <v>175</v>
      </c>
      <c r="Q206" s="148">
        <f t="shared" si="3"/>
        <v>-2.75</v>
      </c>
      <c r="S206" s="11">
        <v>24.7</v>
      </c>
      <c r="T206" s="11">
        <v>170</v>
      </c>
      <c r="U206" s="11">
        <v>170</v>
      </c>
      <c r="V206" s="11">
        <v>60</v>
      </c>
      <c r="W206" s="11">
        <v>45</v>
      </c>
    </row>
    <row r="207" ht="18.25" customHeight="1" spans="2:23">
      <c r="B207" s="158">
        <v>45807</v>
      </c>
      <c r="C207" s="58" t="s">
        <v>27</v>
      </c>
      <c r="D207" s="151" t="s">
        <v>259</v>
      </c>
      <c r="E207" s="159" t="s">
        <v>29</v>
      </c>
      <c r="F207" s="160">
        <v>42084</v>
      </c>
      <c r="G207" s="58" t="s">
        <v>260</v>
      </c>
      <c r="H207" s="25" t="s">
        <v>45</v>
      </c>
      <c r="I207" s="81" t="s">
        <v>32</v>
      </c>
      <c r="J207" s="58" t="s">
        <v>33</v>
      </c>
      <c r="N207" s="10">
        <v>-1.5</v>
      </c>
      <c r="O207" s="10">
        <v>-0.5</v>
      </c>
      <c r="P207" s="115">
        <v>170</v>
      </c>
      <c r="Q207" s="148">
        <f t="shared" si="3"/>
        <v>-1.75</v>
      </c>
      <c r="R207" s="163" t="s">
        <v>33</v>
      </c>
      <c r="S207" s="11">
        <v>23.18</v>
      </c>
      <c r="T207" s="11">
        <v>170</v>
      </c>
      <c r="U207" s="11">
        <v>170</v>
      </c>
      <c r="V207" s="11">
        <v>60</v>
      </c>
      <c r="W207" s="11">
        <v>24</v>
      </c>
    </row>
    <row r="208" ht="18" customHeight="1" spans="2:23">
      <c r="C208" s="58" t="s">
        <v>27</v>
      </c>
      <c r="H208" s="25" t="s">
        <v>45</v>
      </c>
      <c r="J208" s="58" t="s">
        <v>34</v>
      </c>
      <c r="N208" s="10">
        <v>-1.5</v>
      </c>
      <c r="O208" s="10">
        <v>-0.75</v>
      </c>
      <c r="P208" s="115">
        <v>170</v>
      </c>
      <c r="Q208" s="148">
        <f t="shared" si="3"/>
        <v>-1.875</v>
      </c>
      <c r="S208" s="11">
        <v>23.55</v>
      </c>
      <c r="T208" s="11">
        <v>170</v>
      </c>
      <c r="U208" s="11">
        <v>170</v>
      </c>
      <c r="V208" s="11">
        <v>120</v>
      </c>
      <c r="W208" s="11">
        <v>24</v>
      </c>
    </row>
    <row r="209" spans="1:23">
      <c r="B209" s="158">
        <v>45809</v>
      </c>
      <c r="C209" s="58" t="s">
        <v>27</v>
      </c>
      <c r="D209" s="151" t="s">
        <v>261</v>
      </c>
      <c r="E209" s="159" t="s">
        <v>29</v>
      </c>
      <c r="F209" s="160">
        <v>41504</v>
      </c>
      <c r="G209" s="58" t="s">
        <v>262</v>
      </c>
      <c r="H209" s="25" t="s">
        <v>31</v>
      </c>
      <c r="I209" s="81" t="s">
        <v>32</v>
      </c>
      <c r="J209" s="58" t="s">
        <v>33</v>
      </c>
      <c r="N209" s="10">
        <v>-0.75</v>
      </c>
      <c r="O209" s="10">
        <v>-1.25</v>
      </c>
      <c r="P209" s="115">
        <v>5</v>
      </c>
      <c r="Q209" s="148">
        <f t="shared" si="3"/>
        <v>-1.375</v>
      </c>
      <c r="R209" s="163" t="s">
        <v>33</v>
      </c>
      <c r="S209" s="11">
        <v>24.08</v>
      </c>
      <c r="T209" s="11">
        <v>170</v>
      </c>
      <c r="U209" s="11">
        <v>170</v>
      </c>
      <c r="V209" s="11">
        <v>120</v>
      </c>
      <c r="W209" s="11">
        <v>35</v>
      </c>
    </row>
    <row r="210" spans="1:23">
      <c r="B210" s="158"/>
      <c r="C210" s="58" t="s">
        <v>27</v>
      </c>
      <c r="H210" s="25" t="s">
        <v>31</v>
      </c>
      <c r="I210" s="81"/>
      <c r="J210" s="58" t="s">
        <v>34</v>
      </c>
      <c r="N210" s="10">
        <v>-0.25</v>
      </c>
      <c r="O210" s="10">
        <v>-1.75</v>
      </c>
      <c r="P210" s="115">
        <v>170</v>
      </c>
      <c r="Q210" s="148">
        <f t="shared" si="3"/>
        <v>-1.125</v>
      </c>
      <c r="S210" s="11">
        <v>23.82</v>
      </c>
      <c r="T210" s="11">
        <v>170</v>
      </c>
      <c r="U210" s="11">
        <v>170</v>
      </c>
      <c r="V210" s="11">
        <v>80</v>
      </c>
      <c r="W210" s="11">
        <v>35</v>
      </c>
    </row>
    <row r="211" spans="1:23">
      <c r="B211" s="158">
        <v>45808</v>
      </c>
      <c r="C211" s="58" t="s">
        <v>27</v>
      </c>
      <c r="D211" s="151" t="s">
        <v>263</v>
      </c>
      <c r="E211" s="159" t="s">
        <v>29</v>
      </c>
      <c r="F211" s="160">
        <v>42576</v>
      </c>
      <c r="G211" s="58" t="s">
        <v>264</v>
      </c>
      <c r="H211" s="25" t="s">
        <v>39</v>
      </c>
      <c r="I211" s="81" t="s">
        <v>32</v>
      </c>
      <c r="J211" s="58" t="s">
        <v>33</v>
      </c>
      <c r="K211" s="10">
        <v>0.8</v>
      </c>
      <c r="N211" s="10">
        <v>-0.25</v>
      </c>
      <c r="O211" s="10">
        <v>-0.75</v>
      </c>
      <c r="P211" s="115">
        <v>170</v>
      </c>
      <c r="Q211" s="148">
        <f t="shared" si="3"/>
        <v>-0.625</v>
      </c>
      <c r="S211" s="11">
        <v>22.69</v>
      </c>
    </row>
    <row r="212" spans="1:23">
      <c r="C212" s="58" t="s">
        <v>27</v>
      </c>
      <c r="H212" s="25" t="s">
        <v>39</v>
      </c>
      <c r="I212" s="81"/>
      <c r="J212" s="58" t="s">
        <v>34</v>
      </c>
      <c r="K212" s="10">
        <v>0.6</v>
      </c>
      <c r="N212" s="10">
        <v>-0.5</v>
      </c>
      <c r="Q212" s="148">
        <f t="shared" si="3"/>
        <v>-0.5</v>
      </c>
      <c r="S212" s="11">
        <v>22.7</v>
      </c>
    </row>
    <row r="213" spans="1:23">
      <c r="B213" s="158">
        <v>45810</v>
      </c>
      <c r="C213" s="58" t="s">
        <v>27</v>
      </c>
      <c r="D213" s="151" t="s">
        <v>265</v>
      </c>
      <c r="E213" s="159" t="s">
        <v>37</v>
      </c>
      <c r="F213" s="160">
        <v>43159</v>
      </c>
      <c r="G213" s="58" t="s">
        <v>266</v>
      </c>
      <c r="H213" s="25" t="s">
        <v>48</v>
      </c>
      <c r="I213" s="81" t="s">
        <v>32</v>
      </c>
      <c r="J213" s="58" t="s">
        <v>33</v>
      </c>
      <c r="K213" s="10">
        <v>0.4</v>
      </c>
      <c r="L213" s="10">
        <v>1</v>
      </c>
      <c r="M213" s="10">
        <v>1</v>
      </c>
      <c r="N213" s="10">
        <v>-1.5</v>
      </c>
      <c r="O213" s="10">
        <v>-0.25</v>
      </c>
      <c r="P213" s="115">
        <v>95</v>
      </c>
      <c r="Q213" s="148">
        <f t="shared" si="3"/>
        <v>-1.625</v>
      </c>
      <c r="R213" s="163" t="s">
        <v>33</v>
      </c>
      <c r="S213" s="11">
        <v>23.07</v>
      </c>
      <c r="T213" s="11">
        <v>170</v>
      </c>
      <c r="U213" s="11">
        <v>80</v>
      </c>
      <c r="V213" s="11">
        <v>45</v>
      </c>
      <c r="W213" s="11">
        <v>35</v>
      </c>
    </row>
    <row r="214" spans="1:23">
      <c r="C214" s="58" t="s">
        <v>27</v>
      </c>
      <c r="H214" s="25" t="s">
        <v>48</v>
      </c>
      <c r="I214" s="81"/>
      <c r="J214" s="58" t="s">
        <v>34</v>
      </c>
      <c r="K214" s="10">
        <v>0.3</v>
      </c>
      <c r="L214" s="10">
        <v>1</v>
      </c>
      <c r="M214" s="10">
        <v>1</v>
      </c>
      <c r="N214" s="10">
        <v>-2</v>
      </c>
      <c r="O214" s="10">
        <v>-0.25</v>
      </c>
      <c r="P214" s="115">
        <v>180</v>
      </c>
      <c r="Q214" s="148">
        <f t="shared" si="3"/>
        <v>-2.125</v>
      </c>
      <c r="S214" s="11">
        <v>23.29</v>
      </c>
      <c r="T214" s="11">
        <v>170</v>
      </c>
      <c r="U214" s="11">
        <v>170</v>
      </c>
      <c r="V214" s="11">
        <v>60</v>
      </c>
      <c r="W214" s="11">
        <v>24</v>
      </c>
    </row>
    <row r="215" spans="1:23">
      <c r="B215" s="158">
        <v>45807</v>
      </c>
      <c r="C215" s="58" t="s">
        <v>27</v>
      </c>
      <c r="D215" s="151" t="s">
        <v>267</v>
      </c>
      <c r="E215" s="159" t="s">
        <v>29</v>
      </c>
      <c r="F215" s="160">
        <v>42298</v>
      </c>
      <c r="G215" s="58" t="s">
        <v>268</v>
      </c>
      <c r="H215" s="25" t="s">
        <v>39</v>
      </c>
      <c r="I215" s="81" t="s">
        <v>32</v>
      </c>
      <c r="J215" s="58" t="s">
        <v>33</v>
      </c>
      <c r="K215" s="10">
        <v>0.4</v>
      </c>
      <c r="L215" s="10">
        <v>1</v>
      </c>
      <c r="M215" s="10">
        <v>1</v>
      </c>
      <c r="N215" s="10">
        <v>-1.75</v>
      </c>
      <c r="Q215" s="148">
        <f t="shared" si="3"/>
        <v>-1.75</v>
      </c>
      <c r="R215" s="163" t="s">
        <v>33</v>
      </c>
      <c r="S215" s="11">
        <v>24.79</v>
      </c>
      <c r="T215" s="11">
        <v>170</v>
      </c>
      <c r="U215" s="11">
        <v>170</v>
      </c>
      <c r="V215" s="11">
        <v>80</v>
      </c>
      <c r="W215" s="11">
        <v>6</v>
      </c>
    </row>
    <row r="216" spans="1:23">
      <c r="C216" s="58" t="s">
        <v>27</v>
      </c>
      <c r="H216" s="25" t="s">
        <v>39</v>
      </c>
      <c r="I216" s="81"/>
      <c r="J216" s="58" t="s">
        <v>34</v>
      </c>
      <c r="K216" s="10">
        <v>0.4</v>
      </c>
      <c r="L216" s="10">
        <v>1</v>
      </c>
      <c r="M216" s="10">
        <v>1</v>
      </c>
      <c r="N216" s="10">
        <v>-1.75</v>
      </c>
      <c r="Q216" s="148">
        <f t="shared" si="3"/>
        <v>-1.75</v>
      </c>
      <c r="S216" s="11">
        <v>24.82</v>
      </c>
      <c r="T216" s="11">
        <v>170</v>
      </c>
      <c r="U216" s="11">
        <v>170</v>
      </c>
      <c r="V216" s="11">
        <v>35</v>
      </c>
      <c r="W216" s="11">
        <v>0</v>
      </c>
    </row>
    <row r="217" spans="1:23">
      <c r="B217" s="158">
        <v>45829</v>
      </c>
      <c r="C217" s="58" t="s">
        <v>27</v>
      </c>
      <c r="D217" s="151" t="s">
        <v>269</v>
      </c>
      <c r="E217" s="159" t="s">
        <v>29</v>
      </c>
      <c r="F217" s="160">
        <v>41431</v>
      </c>
      <c r="G217" s="58" t="s">
        <v>270</v>
      </c>
      <c r="H217" s="25" t="s">
        <v>31</v>
      </c>
      <c r="I217" s="81" t="s">
        <v>32</v>
      </c>
      <c r="J217" s="58" t="s">
        <v>33</v>
      </c>
      <c r="K217" s="10">
        <v>0.3</v>
      </c>
      <c r="N217" s="10">
        <v>-4</v>
      </c>
      <c r="O217" s="10">
        <v>-0.5</v>
      </c>
      <c r="P217" s="115">
        <v>10</v>
      </c>
      <c r="Q217" s="148">
        <f t="shared" si="3"/>
        <v>-4.25</v>
      </c>
      <c r="R217" s="163" t="s">
        <v>33</v>
      </c>
      <c r="S217" s="11">
        <v>25.36</v>
      </c>
      <c r="T217" s="11">
        <v>170</v>
      </c>
      <c r="U217" s="11">
        <v>170</v>
      </c>
      <c r="V217" s="11">
        <v>80</v>
      </c>
      <c r="W217" s="11">
        <v>3</v>
      </c>
    </row>
    <row r="218" spans="1:23">
      <c r="C218" s="58" t="s">
        <v>27</v>
      </c>
      <c r="H218" s="25" t="s">
        <v>31</v>
      </c>
      <c r="J218" s="58" t="s">
        <v>34</v>
      </c>
      <c r="K218" s="10">
        <v>0.3</v>
      </c>
      <c r="N218" s="10">
        <v>-2.5</v>
      </c>
      <c r="O218" s="10">
        <v>-1</v>
      </c>
      <c r="P218" s="115">
        <v>180</v>
      </c>
      <c r="Q218" s="148">
        <f t="shared" si="3"/>
        <v>-3</v>
      </c>
      <c r="S218" s="11">
        <v>24.84</v>
      </c>
      <c r="T218" s="11">
        <v>170</v>
      </c>
      <c r="U218" s="11">
        <v>170</v>
      </c>
      <c r="V218" s="11">
        <v>80</v>
      </c>
      <c r="W218" s="11">
        <v>4</v>
      </c>
    </row>
    <row r="219" spans="1:23">
      <c r="B219" s="158">
        <v>45833</v>
      </c>
      <c r="C219" s="177" t="s">
        <v>27</v>
      </c>
      <c r="D219" s="151" t="s">
        <v>271</v>
      </c>
      <c r="E219" s="159" t="s">
        <v>37</v>
      </c>
      <c r="F219" s="160">
        <v>42875</v>
      </c>
      <c r="G219" s="58" t="s">
        <v>272</v>
      </c>
      <c r="H219" s="25" t="s">
        <v>45</v>
      </c>
      <c r="I219" s="81" t="s">
        <v>32</v>
      </c>
      <c r="J219" s="58" t="s">
        <v>33</v>
      </c>
      <c r="K219" s="172">
        <v>0.5</v>
      </c>
      <c r="L219" s="10">
        <v>1</v>
      </c>
      <c r="M219" s="10">
        <v>1</v>
      </c>
      <c r="N219" s="10">
        <v>-0.75</v>
      </c>
      <c r="O219" s="10">
        <v>-1</v>
      </c>
      <c r="P219" s="115">
        <v>175</v>
      </c>
      <c r="Q219" s="148">
        <f t="shared" si="3"/>
        <v>-1.25</v>
      </c>
      <c r="R219" s="163" t="s">
        <v>33</v>
      </c>
      <c r="S219" s="11">
        <v>24.41</v>
      </c>
      <c r="T219" s="11">
        <v>170</v>
      </c>
      <c r="U219" s="11">
        <v>170</v>
      </c>
      <c r="V219" s="11">
        <v>60</v>
      </c>
      <c r="W219" s="11">
        <v>15</v>
      </c>
    </row>
    <row r="220" spans="1:23">
      <c r="C220" s="177" t="s">
        <v>27</v>
      </c>
      <c r="H220" s="25" t="s">
        <v>45</v>
      </c>
      <c r="J220" s="58" t="s">
        <v>34</v>
      </c>
      <c r="K220" s="172">
        <v>0.5</v>
      </c>
      <c r="L220" s="10">
        <v>1</v>
      </c>
      <c r="M220" s="10">
        <v>1</v>
      </c>
      <c r="N220" s="10">
        <v>-1.25</v>
      </c>
      <c r="O220" s="10">
        <v>-0.5</v>
      </c>
      <c r="P220" s="115">
        <v>175</v>
      </c>
      <c r="Q220" s="148">
        <f t="shared" si="3"/>
        <v>-1.5</v>
      </c>
      <c r="S220" s="11">
        <v>24.5</v>
      </c>
      <c r="T220" s="11">
        <v>170</v>
      </c>
      <c r="U220" s="11">
        <v>170</v>
      </c>
      <c r="V220" s="11">
        <v>80</v>
      </c>
      <c r="W220" s="11">
        <v>6</v>
      </c>
    </row>
    <row r="221" spans="1:23">
      <c r="A221" s="181"/>
      <c r="B221" s="182">
        <v>45808</v>
      </c>
      <c r="C221" s="152" t="s">
        <v>139</v>
      </c>
      <c r="D221" s="151" t="s">
        <v>273</v>
      </c>
      <c r="E221" s="159" t="s">
        <v>37</v>
      </c>
      <c r="F221" s="160">
        <v>42546</v>
      </c>
      <c r="G221" s="152" t="s">
        <v>274</v>
      </c>
      <c r="H221" s="25" t="s">
        <v>48</v>
      </c>
      <c r="I221" s="183" t="s">
        <v>32</v>
      </c>
      <c r="J221" s="152" t="s">
        <v>33</v>
      </c>
      <c r="K221" s="10">
        <v>0.3</v>
      </c>
      <c r="L221" s="10">
        <v>1</v>
      </c>
      <c r="M221" s="172"/>
      <c r="N221" s="10">
        <v>-2.5</v>
      </c>
      <c r="O221" s="10">
        <v>-0.25</v>
      </c>
      <c r="P221" s="115">
        <v>15</v>
      </c>
      <c r="Q221" s="148">
        <f t="shared" si="3"/>
        <v>-2.625</v>
      </c>
      <c r="R221" s="163" t="s">
        <v>33</v>
      </c>
      <c r="S221" s="11">
        <v>25.25</v>
      </c>
      <c r="T221" s="11">
        <v>5</v>
      </c>
      <c r="U221" s="11">
        <v>4</v>
      </c>
      <c r="V221" s="11">
        <v>4</v>
      </c>
      <c r="W221" s="11">
        <v>4</v>
      </c>
    </row>
    <row r="222" spans="1:23">
      <c r="A222" s="181"/>
      <c r="B222" s="184"/>
      <c r="C222" s="152" t="s">
        <v>139</v>
      </c>
      <c r="G222" s="185"/>
      <c r="H222" s="25" t="s">
        <v>48</v>
      </c>
      <c r="I222" s="112"/>
      <c r="J222" s="152" t="s">
        <v>34</v>
      </c>
      <c r="K222" s="10">
        <v>0.4</v>
      </c>
      <c r="L222" s="10">
        <v>1</v>
      </c>
      <c r="M222" s="172"/>
      <c r="N222" s="10">
        <v>-2.75</v>
      </c>
      <c r="O222" s="10">
        <v>-0.25</v>
      </c>
      <c r="P222" s="115">
        <v>140</v>
      </c>
      <c r="Q222" s="148">
        <f t="shared" si="3"/>
        <v>-2.875</v>
      </c>
      <c r="S222" s="11">
        <v>25.39</v>
      </c>
      <c r="T222" s="11">
        <v>5</v>
      </c>
      <c r="U222" s="11">
        <v>6</v>
      </c>
      <c r="V222" s="11">
        <v>6</v>
      </c>
      <c r="W222" s="11">
        <v>4</v>
      </c>
    </row>
    <row r="223" spans="1:23">
      <c r="B223" s="158">
        <v>45841</v>
      </c>
      <c r="C223" s="177" t="s">
        <v>27</v>
      </c>
      <c r="D223" s="151" t="s">
        <v>275</v>
      </c>
      <c r="E223" s="159" t="s">
        <v>29</v>
      </c>
      <c r="F223" s="160">
        <v>41905</v>
      </c>
      <c r="G223" s="58" t="s">
        <v>276</v>
      </c>
      <c r="H223" s="25" t="s">
        <v>31</v>
      </c>
      <c r="I223" s="177" t="s">
        <v>32</v>
      </c>
      <c r="J223" s="58" t="s">
        <v>33</v>
      </c>
      <c r="K223" s="10">
        <v>0.4</v>
      </c>
      <c r="L223" s="10">
        <v>1</v>
      </c>
      <c r="M223" s="10">
        <v>1</v>
      </c>
      <c r="N223" s="10">
        <v>-1.75</v>
      </c>
      <c r="O223" s="10">
        <v>-0.75</v>
      </c>
      <c r="P223" s="115">
        <v>15</v>
      </c>
      <c r="Q223" s="148">
        <f t="shared" si="3"/>
        <v>-2.125</v>
      </c>
      <c r="R223" s="163" t="s">
        <v>33</v>
      </c>
      <c r="S223" s="11">
        <v>24.12</v>
      </c>
      <c r="T223" s="11">
        <v>170</v>
      </c>
      <c r="U223" s="11">
        <v>170</v>
      </c>
      <c r="V223" s="11">
        <v>35</v>
      </c>
      <c r="W223" s="11">
        <v>8</v>
      </c>
    </row>
    <row r="224" spans="1:23">
      <c r="C224" s="177" t="s">
        <v>27</v>
      </c>
      <c r="H224" s="25" t="s">
        <v>31</v>
      </c>
      <c r="J224" s="58" t="s">
        <v>34</v>
      </c>
      <c r="K224" s="10">
        <v>0.3</v>
      </c>
      <c r="L224" s="10">
        <v>1</v>
      </c>
      <c r="M224" s="10">
        <v>1</v>
      </c>
      <c r="N224" s="10">
        <v>-2</v>
      </c>
      <c r="O224" s="10">
        <v>-0.5</v>
      </c>
      <c r="P224" s="115">
        <v>160</v>
      </c>
      <c r="Q224" s="148">
        <f t="shared" si="3"/>
        <v>-2.25</v>
      </c>
      <c r="S224" s="11">
        <v>24.31</v>
      </c>
      <c r="T224" s="11">
        <v>170</v>
      </c>
      <c r="U224" s="11">
        <v>170</v>
      </c>
      <c r="V224" s="11">
        <v>35</v>
      </c>
      <c r="W224" s="11">
        <v>8</v>
      </c>
    </row>
    <row r="225" spans="2:23">
      <c r="B225" s="158">
        <v>45837</v>
      </c>
      <c r="C225" s="177" t="s">
        <v>27</v>
      </c>
      <c r="D225" s="151" t="s">
        <v>277</v>
      </c>
      <c r="E225" s="159" t="s">
        <v>29</v>
      </c>
      <c r="F225" s="160">
        <v>42702</v>
      </c>
      <c r="G225" s="58" t="s">
        <v>278</v>
      </c>
      <c r="H225" s="25" t="s">
        <v>39</v>
      </c>
      <c r="I225" s="177" t="s">
        <v>32</v>
      </c>
      <c r="J225" s="58" t="s">
        <v>33</v>
      </c>
      <c r="K225" s="10">
        <v>0.8</v>
      </c>
      <c r="L225" s="10">
        <v>1</v>
      </c>
      <c r="M225" s="10">
        <v>1</v>
      </c>
      <c r="N225" s="10">
        <v>-0.25</v>
      </c>
      <c r="O225" s="10">
        <v>-0.5</v>
      </c>
      <c r="P225" s="115">
        <v>150</v>
      </c>
      <c r="Q225" s="148">
        <f t="shared" si="3"/>
        <v>-0.5</v>
      </c>
      <c r="R225" s="163" t="s">
        <v>33</v>
      </c>
      <c r="S225" s="11">
        <v>23.56</v>
      </c>
      <c r="T225" s="11">
        <v>170</v>
      </c>
      <c r="U225" s="11">
        <v>170</v>
      </c>
      <c r="V225" s="11">
        <v>9</v>
      </c>
      <c r="W225" s="11">
        <v>0</v>
      </c>
    </row>
    <row r="226" spans="2:23">
      <c r="C226" s="177" t="s">
        <v>27</v>
      </c>
      <c r="H226" s="25" t="s">
        <v>39</v>
      </c>
      <c r="J226" s="58" t="s">
        <v>34</v>
      </c>
      <c r="K226" s="10">
        <v>0.8</v>
      </c>
      <c r="L226" s="10">
        <v>1</v>
      </c>
      <c r="M226" s="10">
        <v>1</v>
      </c>
      <c r="N226" s="10">
        <v>-0.25</v>
      </c>
      <c r="O226" s="10">
        <v>-0.25</v>
      </c>
      <c r="P226" s="115">
        <v>5</v>
      </c>
      <c r="Q226" s="148">
        <f t="shared" si="3"/>
        <v>-0.375</v>
      </c>
      <c r="S226" s="11">
        <v>23.41</v>
      </c>
      <c r="T226" s="11">
        <v>170</v>
      </c>
      <c r="U226" s="11">
        <v>170</v>
      </c>
      <c r="V226" s="11">
        <v>80</v>
      </c>
      <c r="W226" s="11">
        <v>45</v>
      </c>
    </row>
    <row r="227" spans="2:23">
      <c r="B227" s="158">
        <v>46201</v>
      </c>
      <c r="C227" s="177" t="s">
        <v>27</v>
      </c>
      <c r="D227" s="151" t="s">
        <v>279</v>
      </c>
      <c r="E227" s="159" t="s">
        <v>37</v>
      </c>
      <c r="F227" s="153">
        <v>42521</v>
      </c>
      <c r="G227" s="58" t="s">
        <v>280</v>
      </c>
      <c r="H227" s="25" t="s">
        <v>45</v>
      </c>
      <c r="I227" s="177" t="s">
        <v>32</v>
      </c>
      <c r="J227" s="58" t="s">
        <v>33</v>
      </c>
      <c r="K227" s="10">
        <v>0.3</v>
      </c>
      <c r="L227" s="161">
        <v>1</v>
      </c>
      <c r="M227" s="161">
        <v>1</v>
      </c>
      <c r="N227" s="10">
        <v>-2.25</v>
      </c>
      <c r="O227" s="10">
        <v>-0.5</v>
      </c>
      <c r="P227" s="115">
        <v>180</v>
      </c>
      <c r="Q227" s="148">
        <f t="shared" si="3"/>
        <v>-2.5</v>
      </c>
      <c r="R227" s="163" t="s">
        <v>34</v>
      </c>
      <c r="S227" s="11">
        <v>24.59</v>
      </c>
      <c r="T227" s="11">
        <v>170</v>
      </c>
      <c r="U227" s="11">
        <v>170</v>
      </c>
      <c r="V227" s="11">
        <v>35</v>
      </c>
      <c r="W227" s="11">
        <v>4</v>
      </c>
    </row>
    <row r="228" spans="2:23">
      <c r="C228" s="177" t="s">
        <v>27</v>
      </c>
      <c r="H228" s="25" t="s">
        <v>45</v>
      </c>
      <c r="J228" s="58" t="s">
        <v>34</v>
      </c>
      <c r="K228" s="10">
        <v>0.4</v>
      </c>
      <c r="L228" s="161">
        <v>1</v>
      </c>
      <c r="M228" s="161">
        <v>1</v>
      </c>
      <c r="N228" s="10">
        <v>-2.5</v>
      </c>
      <c r="O228" s="10">
        <v>-1</v>
      </c>
      <c r="P228" s="115">
        <v>180</v>
      </c>
      <c r="Q228" s="148">
        <f t="shared" si="3"/>
        <v>-3</v>
      </c>
      <c r="S228" s="11">
        <v>24.59</v>
      </c>
      <c r="T228" s="11">
        <v>170</v>
      </c>
      <c r="U228" s="11">
        <v>170</v>
      </c>
      <c r="V228" s="11">
        <v>45</v>
      </c>
      <c r="W228" s="11">
        <v>8</v>
      </c>
    </row>
    <row r="229" spans="2:23">
      <c r="B229" s="158">
        <v>45836</v>
      </c>
      <c r="C229" s="177" t="s">
        <v>27</v>
      </c>
      <c r="D229" s="151" t="s">
        <v>281</v>
      </c>
      <c r="E229" s="159" t="s">
        <v>37</v>
      </c>
      <c r="F229" s="153">
        <v>41749</v>
      </c>
      <c r="G229" s="58" t="s">
        <v>282</v>
      </c>
      <c r="H229" s="25" t="s">
        <v>31</v>
      </c>
      <c r="I229" s="177" t="s">
        <v>32</v>
      </c>
      <c r="J229" s="58" t="s">
        <v>33</v>
      </c>
      <c r="K229" s="161">
        <v>0.4</v>
      </c>
      <c r="L229" s="161">
        <v>1</v>
      </c>
      <c r="M229" s="161">
        <v>1</v>
      </c>
      <c r="N229" s="10">
        <v>-1.25</v>
      </c>
      <c r="O229" s="10">
        <v>-0.75</v>
      </c>
      <c r="P229" s="115">
        <v>180</v>
      </c>
      <c r="Q229" s="148">
        <f t="shared" si="3"/>
        <v>-1.625</v>
      </c>
      <c r="R229" s="163" t="s">
        <v>34</v>
      </c>
      <c r="S229" s="11">
        <v>24.94</v>
      </c>
      <c r="T229" s="11">
        <v>170</v>
      </c>
      <c r="U229" s="11">
        <v>170</v>
      </c>
      <c r="V229" s="11">
        <v>25</v>
      </c>
      <c r="W229" s="11">
        <v>4</v>
      </c>
    </row>
    <row r="230" spans="2:23">
      <c r="C230" s="177" t="s">
        <v>27</v>
      </c>
      <c r="H230" s="25" t="s">
        <v>31</v>
      </c>
      <c r="J230" s="58" t="s">
        <v>34</v>
      </c>
      <c r="K230" s="10">
        <v>0.4</v>
      </c>
      <c r="L230" s="161">
        <v>1</v>
      </c>
      <c r="M230" s="161">
        <v>1</v>
      </c>
      <c r="N230" s="10">
        <v>-1.25</v>
      </c>
      <c r="O230" s="10">
        <v>-1</v>
      </c>
      <c r="P230" s="115">
        <v>180</v>
      </c>
      <c r="Q230" s="148">
        <f t="shared" si="3"/>
        <v>-1.75</v>
      </c>
      <c r="S230" s="11">
        <v>24.86</v>
      </c>
      <c r="T230" s="11">
        <v>170</v>
      </c>
      <c r="U230" s="11">
        <v>170</v>
      </c>
      <c r="V230" s="11">
        <v>15</v>
      </c>
      <c r="W230" s="11">
        <v>4</v>
      </c>
    </row>
    <row r="231" spans="2:23">
      <c r="B231" s="158">
        <v>45837</v>
      </c>
      <c r="C231" s="177" t="s">
        <v>27</v>
      </c>
      <c r="D231" s="151" t="s">
        <v>283</v>
      </c>
      <c r="E231" s="159" t="s">
        <v>29</v>
      </c>
      <c r="F231" s="153">
        <v>42973</v>
      </c>
      <c r="G231" s="58" t="s">
        <v>284</v>
      </c>
      <c r="H231" s="25" t="s">
        <v>45</v>
      </c>
      <c r="I231" s="177" t="s">
        <v>32</v>
      </c>
      <c r="J231" s="58" t="s">
        <v>33</v>
      </c>
      <c r="K231" s="10">
        <v>0.5</v>
      </c>
      <c r="L231" s="161">
        <v>1</v>
      </c>
      <c r="M231" s="161">
        <v>1</v>
      </c>
      <c r="N231" s="10">
        <v>-1</v>
      </c>
      <c r="O231" s="10">
        <v>-0.5</v>
      </c>
      <c r="P231" s="115">
        <v>85</v>
      </c>
      <c r="Q231" s="148">
        <f t="shared" si="3"/>
        <v>-1.25</v>
      </c>
      <c r="R231" s="163" t="s">
        <v>33</v>
      </c>
      <c r="S231" s="11">
        <v>22.43</v>
      </c>
      <c r="T231" s="11">
        <v>170</v>
      </c>
      <c r="U231" s="11">
        <v>170</v>
      </c>
      <c r="V231" s="11">
        <v>30</v>
      </c>
      <c r="W231" s="11">
        <v>8</v>
      </c>
    </row>
    <row r="232" spans="2:23">
      <c r="C232" s="177" t="s">
        <v>27</v>
      </c>
      <c r="H232" s="25" t="s">
        <v>45</v>
      </c>
      <c r="J232" s="58" t="s">
        <v>34</v>
      </c>
      <c r="K232" s="10">
        <v>0.4</v>
      </c>
      <c r="L232" s="161">
        <v>1</v>
      </c>
      <c r="M232" s="161">
        <v>1</v>
      </c>
      <c r="N232" s="10">
        <v>-1.5</v>
      </c>
      <c r="Q232" s="148">
        <f t="shared" si="3"/>
        <v>-1.5</v>
      </c>
      <c r="S232" s="11">
        <v>22.52</v>
      </c>
      <c r="T232" s="11">
        <v>170</v>
      </c>
      <c r="U232" s="11">
        <v>170</v>
      </c>
      <c r="V232" s="11">
        <v>30</v>
      </c>
      <c r="W232" s="11">
        <v>8</v>
      </c>
    </row>
    <row r="233" spans="2:23">
      <c r="B233" s="158">
        <v>45830</v>
      </c>
      <c r="C233" s="177" t="s">
        <v>27</v>
      </c>
      <c r="D233" s="151" t="s">
        <v>285</v>
      </c>
      <c r="E233" s="159" t="s">
        <v>37</v>
      </c>
      <c r="F233" s="153">
        <v>42534</v>
      </c>
      <c r="G233" s="58" t="s">
        <v>286</v>
      </c>
      <c r="H233" s="25" t="s">
        <v>31</v>
      </c>
      <c r="I233" s="177" t="s">
        <v>32</v>
      </c>
      <c r="J233" s="58" t="s">
        <v>33</v>
      </c>
      <c r="K233" s="10">
        <v>0.6</v>
      </c>
      <c r="L233" s="161">
        <v>1</v>
      </c>
      <c r="M233" s="161">
        <v>1</v>
      </c>
      <c r="N233" s="10">
        <v>-1</v>
      </c>
      <c r="O233" s="10">
        <v>-1</v>
      </c>
      <c r="P233" s="115">
        <v>165</v>
      </c>
      <c r="Q233" s="148">
        <f t="shared" si="3"/>
        <v>-1.5</v>
      </c>
      <c r="R233" s="163" t="s">
        <v>33</v>
      </c>
      <c r="S233" s="11">
        <v>25.16</v>
      </c>
      <c r="T233" s="11">
        <v>170</v>
      </c>
      <c r="U233" s="11">
        <v>170</v>
      </c>
      <c r="V233" s="11">
        <v>120</v>
      </c>
      <c r="W233" s="11">
        <v>15</v>
      </c>
    </row>
    <row r="234" spans="2:23">
      <c r="C234" s="177" t="s">
        <v>27</v>
      </c>
      <c r="H234" s="25" t="s">
        <v>31</v>
      </c>
      <c r="J234" s="58" t="s">
        <v>34</v>
      </c>
      <c r="K234" s="10">
        <v>0.6</v>
      </c>
      <c r="L234" s="161">
        <v>1</v>
      </c>
      <c r="M234" s="161">
        <v>1</v>
      </c>
      <c r="N234" s="10">
        <v>-0.5</v>
      </c>
      <c r="O234" s="10">
        <v>-1.25</v>
      </c>
      <c r="P234" s="115">
        <v>180</v>
      </c>
      <c r="Q234" s="148">
        <f t="shared" si="3"/>
        <v>-1.125</v>
      </c>
      <c r="S234" s="11">
        <v>25.01</v>
      </c>
      <c r="T234" s="11">
        <v>170</v>
      </c>
      <c r="U234" s="11">
        <v>170</v>
      </c>
      <c r="V234" s="11">
        <v>80</v>
      </c>
      <c r="W234" s="11">
        <v>35</v>
      </c>
    </row>
    <row r="235" spans="2:23">
      <c r="B235" s="158">
        <v>45830</v>
      </c>
      <c r="C235" s="177" t="s">
        <v>27</v>
      </c>
      <c r="D235" s="151" t="s">
        <v>287</v>
      </c>
      <c r="E235" s="159" t="s">
        <v>37</v>
      </c>
      <c r="F235" s="153" t="s">
        <v>288</v>
      </c>
      <c r="G235" s="58" t="s">
        <v>289</v>
      </c>
      <c r="H235" s="25" t="s">
        <v>45</v>
      </c>
      <c r="I235" s="177" t="s">
        <v>32</v>
      </c>
      <c r="J235" s="58" t="s">
        <v>33</v>
      </c>
      <c r="K235" s="10">
        <v>0.2</v>
      </c>
      <c r="N235" s="10">
        <v>-1.75</v>
      </c>
      <c r="O235" s="10">
        <v>-0.5</v>
      </c>
      <c r="P235" s="115">
        <v>170</v>
      </c>
      <c r="Q235" s="148">
        <f t="shared" si="3"/>
        <v>-2</v>
      </c>
      <c r="R235" s="163" t="s">
        <v>33</v>
      </c>
      <c r="S235" s="11">
        <v>25.61</v>
      </c>
      <c r="T235" s="11">
        <v>170</v>
      </c>
      <c r="U235" s="11">
        <v>170</v>
      </c>
      <c r="V235" s="11">
        <v>120</v>
      </c>
      <c r="W235" s="11">
        <v>24</v>
      </c>
    </row>
    <row r="236" spans="2:23">
      <c r="C236" s="177" t="s">
        <v>27</v>
      </c>
      <c r="H236" s="25" t="s">
        <v>45</v>
      </c>
      <c r="J236" s="58" t="s">
        <v>34</v>
      </c>
      <c r="K236" s="10">
        <v>0.3</v>
      </c>
      <c r="N236" s="10">
        <v>-1</v>
      </c>
      <c r="O236" s="10">
        <v>-0.75</v>
      </c>
      <c r="P236" s="115">
        <v>175</v>
      </c>
      <c r="Q236" s="148">
        <f t="shared" si="3"/>
        <v>-1.375</v>
      </c>
      <c r="S236" s="11">
        <v>25.23</v>
      </c>
      <c r="T236" s="11">
        <v>170</v>
      </c>
      <c r="U236" s="11">
        <v>170</v>
      </c>
      <c r="V236" s="11">
        <v>35</v>
      </c>
      <c r="W236" s="11">
        <v>6</v>
      </c>
    </row>
    <row r="237" spans="2:23">
      <c r="B237" s="158">
        <v>45843</v>
      </c>
      <c r="C237" s="177" t="s">
        <v>27</v>
      </c>
      <c r="D237" s="151" t="s">
        <v>290</v>
      </c>
      <c r="E237" s="159" t="s">
        <v>29</v>
      </c>
      <c r="F237" s="153">
        <v>42387</v>
      </c>
      <c r="G237" s="58" t="s">
        <v>291</v>
      </c>
      <c r="H237" s="25" t="s">
        <v>39</v>
      </c>
      <c r="I237" s="177" t="s">
        <v>32</v>
      </c>
      <c r="J237" s="58" t="s">
        <v>33</v>
      </c>
      <c r="K237" s="172"/>
      <c r="L237" s="172"/>
      <c r="M237" s="172"/>
      <c r="N237" s="10">
        <v>-0.75</v>
      </c>
      <c r="Q237" s="148">
        <f t="shared" si="3"/>
        <v>-0.75</v>
      </c>
      <c r="R237" s="163" t="s">
        <v>33</v>
      </c>
      <c r="S237" s="11">
        <v>23.6</v>
      </c>
      <c r="T237" s="11">
        <v>170</v>
      </c>
      <c r="U237" s="11">
        <v>170</v>
      </c>
      <c r="V237" s="11">
        <v>9</v>
      </c>
      <c r="W237" s="11">
        <v>4</v>
      </c>
    </row>
    <row r="238" spans="2:23">
      <c r="C238" s="177" t="s">
        <v>27</v>
      </c>
      <c r="H238" s="25" t="s">
        <v>39</v>
      </c>
      <c r="J238" s="58" t="s">
        <v>34</v>
      </c>
      <c r="K238" s="172"/>
      <c r="L238" s="172"/>
      <c r="M238" s="172"/>
      <c r="N238" s="10">
        <v>-0.5</v>
      </c>
      <c r="Q238" s="148">
        <f t="shared" si="3"/>
        <v>-0.5</v>
      </c>
      <c r="S238" s="11">
        <v>23.54</v>
      </c>
      <c r="T238" s="11">
        <v>170</v>
      </c>
      <c r="U238" s="11">
        <v>80</v>
      </c>
      <c r="V238" s="11">
        <v>60</v>
      </c>
      <c r="W238" s="11">
        <v>35</v>
      </c>
    </row>
    <row r="239" spans="2:23">
      <c r="B239" s="158"/>
      <c r="C239" s="58" t="s">
        <v>139</v>
      </c>
      <c r="D239" s="151"/>
      <c r="E239" s="159" t="s">
        <v>29</v>
      </c>
      <c r="F239" s="153"/>
      <c r="G239" s="58" t="s">
        <v>292</v>
      </c>
      <c r="H239" s="25" t="s">
        <v>39</v>
      </c>
      <c r="I239" s="58" t="s">
        <v>32</v>
      </c>
      <c r="J239" s="58" t="s">
        <v>34</v>
      </c>
      <c r="K239" s="172"/>
      <c r="L239" s="10">
        <v>1</v>
      </c>
      <c r="M239" s="172"/>
      <c r="N239" s="10">
        <v>-1</v>
      </c>
      <c r="O239" s="10">
        <v>-0.5</v>
      </c>
      <c r="P239" s="115">
        <v>165</v>
      </c>
      <c r="Q239" s="148">
        <f t="shared" si="3"/>
        <v>-1.25</v>
      </c>
      <c r="R239" s="163" t="s">
        <v>33</v>
      </c>
      <c r="S239" s="11">
        <v>22.92</v>
      </c>
      <c r="T239" s="11">
        <v>3</v>
      </c>
      <c r="U239" s="11">
        <v>3</v>
      </c>
      <c r="V239" s="11">
        <v>2</v>
      </c>
      <c r="W239" s="11">
        <v>4</v>
      </c>
    </row>
    <row r="240" spans="2:23">
      <c r="C240" s="58" t="s">
        <v>139</v>
      </c>
      <c r="H240" s="25" t="s">
        <v>39</v>
      </c>
      <c r="J240" s="58" t="s">
        <v>34</v>
      </c>
      <c r="K240" s="172"/>
      <c r="L240" s="10">
        <v>1</v>
      </c>
      <c r="M240" s="172"/>
      <c r="N240" s="10">
        <v>-1.5</v>
      </c>
      <c r="O240" s="10">
        <v>-0.5</v>
      </c>
      <c r="P240" s="115">
        <v>165</v>
      </c>
      <c r="Q240" s="148">
        <f t="shared" si="3"/>
        <v>-1.75</v>
      </c>
      <c r="S240" s="11">
        <v>23.13</v>
      </c>
      <c r="T240" s="11">
        <v>1</v>
      </c>
      <c r="U240" s="11">
        <v>1</v>
      </c>
      <c r="V240" s="11">
        <v>1</v>
      </c>
      <c r="W240" s="11">
        <v>2</v>
      </c>
    </row>
    <row r="241" spans="2:23">
      <c r="B241" s="158">
        <v>45843</v>
      </c>
      <c r="C241" s="177" t="s">
        <v>27</v>
      </c>
      <c r="D241" s="151" t="s">
        <v>293</v>
      </c>
      <c r="E241" s="159" t="s">
        <v>29</v>
      </c>
      <c r="F241" s="153">
        <v>42533</v>
      </c>
      <c r="G241" s="58" t="s">
        <v>294</v>
      </c>
      <c r="H241" s="25" t="s">
        <v>45</v>
      </c>
      <c r="I241" s="177" t="s">
        <v>32</v>
      </c>
      <c r="J241" s="58" t="s">
        <v>33</v>
      </c>
      <c r="K241" s="10">
        <v>0.4</v>
      </c>
      <c r="N241" s="10">
        <v>-1.5</v>
      </c>
      <c r="O241" s="10">
        <v>-0.25</v>
      </c>
      <c r="P241" s="115">
        <v>180</v>
      </c>
      <c r="Q241" s="148">
        <f t="shared" si="3"/>
        <v>-1.625</v>
      </c>
      <c r="R241" s="163" t="s">
        <v>33</v>
      </c>
      <c r="S241" s="11">
        <v>24.08</v>
      </c>
      <c r="T241" s="11">
        <v>170</v>
      </c>
      <c r="U241" s="11">
        <v>170</v>
      </c>
      <c r="V241" s="11">
        <v>25</v>
      </c>
      <c r="W241" s="11">
        <v>6</v>
      </c>
    </row>
    <row r="242" spans="2:23">
      <c r="C242" s="177" t="s">
        <v>27</v>
      </c>
      <c r="H242" s="25" t="s">
        <v>45</v>
      </c>
      <c r="J242" s="58" t="s">
        <v>34</v>
      </c>
      <c r="K242" s="10">
        <v>0.4</v>
      </c>
      <c r="N242" s="10">
        <v>-1</v>
      </c>
      <c r="O242" s="10">
        <v>-0.5</v>
      </c>
      <c r="P242" s="115">
        <v>180</v>
      </c>
      <c r="Q242" s="148">
        <f t="shared" si="3"/>
        <v>-1.25</v>
      </c>
      <c r="S242" s="11">
        <v>23.83</v>
      </c>
      <c r="T242" s="11">
        <v>170</v>
      </c>
      <c r="U242" s="11">
        <v>170</v>
      </c>
      <c r="V242" s="11">
        <v>120</v>
      </c>
      <c r="W242" s="11">
        <v>65</v>
      </c>
    </row>
    <row r="243" spans="2:23">
      <c r="B243" s="158">
        <v>45858</v>
      </c>
      <c r="C243" s="177" t="s">
        <v>27</v>
      </c>
      <c r="D243" s="151" t="s">
        <v>295</v>
      </c>
      <c r="E243" s="159" t="s">
        <v>29</v>
      </c>
      <c r="F243" s="153">
        <v>42113</v>
      </c>
      <c r="G243" s="58" t="s">
        <v>296</v>
      </c>
      <c r="H243" s="25" t="s">
        <v>48</v>
      </c>
      <c r="I243" s="177" t="s">
        <v>32</v>
      </c>
      <c r="J243" s="58" t="s">
        <v>33</v>
      </c>
      <c r="K243" s="10">
        <v>0.3</v>
      </c>
      <c r="N243" s="10">
        <v>-0.75</v>
      </c>
      <c r="O243" s="10">
        <v>-0.5</v>
      </c>
      <c r="P243" s="115">
        <v>155</v>
      </c>
      <c r="Q243" s="148">
        <f t="shared" si="3"/>
        <v>-1</v>
      </c>
      <c r="R243" s="163" t="s">
        <v>34</v>
      </c>
      <c r="S243" s="11">
        <v>23.3</v>
      </c>
      <c r="T243" s="11">
        <v>170</v>
      </c>
      <c r="U243" s="11">
        <v>170</v>
      </c>
      <c r="V243" s="11">
        <v>35</v>
      </c>
      <c r="W243" s="11">
        <v>4</v>
      </c>
    </row>
    <row r="244" spans="2:23">
      <c r="C244" s="177" t="s">
        <v>27</v>
      </c>
      <c r="H244" s="25" t="s">
        <v>48</v>
      </c>
      <c r="J244" s="58" t="s">
        <v>34</v>
      </c>
      <c r="K244" s="10">
        <v>0.6</v>
      </c>
      <c r="N244" s="10">
        <v>-0.5</v>
      </c>
      <c r="O244" s="10">
        <v>-0.5</v>
      </c>
      <c r="P244" s="115">
        <v>175</v>
      </c>
      <c r="Q244" s="148">
        <f t="shared" si="3"/>
        <v>-0.75</v>
      </c>
      <c r="S244" s="11">
        <v>23.03</v>
      </c>
      <c r="T244" s="11">
        <v>170</v>
      </c>
      <c r="U244" s="11">
        <v>170</v>
      </c>
      <c r="V244" s="11">
        <v>120</v>
      </c>
      <c r="W244" s="11">
        <v>0</v>
      </c>
    </row>
    <row r="245" spans="2:23">
      <c r="B245" s="158">
        <v>45858</v>
      </c>
      <c r="C245" s="177" t="s">
        <v>27</v>
      </c>
      <c r="D245" s="151" t="s">
        <v>297</v>
      </c>
      <c r="E245" s="159" t="s">
        <v>37</v>
      </c>
      <c r="F245" s="153">
        <v>43560</v>
      </c>
      <c r="G245" s="58" t="s">
        <v>298</v>
      </c>
      <c r="H245" s="25" t="s">
        <v>39</v>
      </c>
      <c r="I245" s="177" t="s">
        <v>32</v>
      </c>
      <c r="J245" s="58" t="s">
        <v>33</v>
      </c>
      <c r="K245" s="10">
        <v>0.5</v>
      </c>
      <c r="N245" s="10">
        <v>-1</v>
      </c>
      <c r="O245" s="10">
        <v>-0.25</v>
      </c>
      <c r="P245" s="115">
        <v>170</v>
      </c>
      <c r="Q245" s="148">
        <f t="shared" si="3"/>
        <v>-1.125</v>
      </c>
      <c r="R245" s="163" t="s">
        <v>33</v>
      </c>
      <c r="S245" s="11">
        <v>23.54</v>
      </c>
      <c r="T245" s="11">
        <v>170</v>
      </c>
      <c r="U245" s="11">
        <v>170</v>
      </c>
      <c r="V245" s="11">
        <v>45</v>
      </c>
      <c r="W245" s="11">
        <v>8</v>
      </c>
    </row>
    <row r="246" spans="2:23">
      <c r="C246" s="177" t="s">
        <v>27</v>
      </c>
      <c r="H246" s="25" t="s">
        <v>39</v>
      </c>
      <c r="J246" s="58" t="s">
        <v>34</v>
      </c>
      <c r="K246" s="10">
        <v>0.5</v>
      </c>
      <c r="N246" s="10">
        <v>-0.5</v>
      </c>
      <c r="O246" s="10">
        <v>-0.75</v>
      </c>
      <c r="P246" s="115">
        <v>160</v>
      </c>
      <c r="Q246" s="148">
        <f t="shared" si="3"/>
        <v>-0.875</v>
      </c>
      <c r="S246" s="11">
        <v>23.26</v>
      </c>
      <c r="T246" s="11">
        <v>170</v>
      </c>
      <c r="U246" s="11">
        <v>170</v>
      </c>
      <c r="V246" s="11">
        <v>25</v>
      </c>
      <c r="W246" s="11">
        <v>8</v>
      </c>
    </row>
    <row r="247" spans="2:23">
      <c r="B247" s="158">
        <v>45859</v>
      </c>
      <c r="C247" s="177" t="s">
        <v>27</v>
      </c>
      <c r="D247" s="151" t="s">
        <v>299</v>
      </c>
      <c r="E247" s="159" t="s">
        <v>37</v>
      </c>
      <c r="F247" s="153">
        <v>42723</v>
      </c>
      <c r="G247" s="58" t="s">
        <v>300</v>
      </c>
      <c r="H247" s="25" t="s">
        <v>45</v>
      </c>
      <c r="I247" s="177" t="s">
        <v>32</v>
      </c>
      <c r="J247" s="58" t="s">
        <v>33</v>
      </c>
      <c r="K247" s="10">
        <v>0.6</v>
      </c>
      <c r="N247" s="10">
        <v>-0.75</v>
      </c>
      <c r="O247" s="10">
        <v>-1</v>
      </c>
      <c r="P247" s="115">
        <v>10</v>
      </c>
      <c r="Q247" s="148">
        <f t="shared" si="3"/>
        <v>-1.25</v>
      </c>
      <c r="R247" s="163" t="s">
        <v>33</v>
      </c>
      <c r="S247" s="11">
        <v>24.49</v>
      </c>
      <c r="T247" s="11">
        <v>170</v>
      </c>
      <c r="U247" s="11">
        <v>80</v>
      </c>
      <c r="V247" s="11">
        <v>60</v>
      </c>
      <c r="W247" s="11">
        <v>24</v>
      </c>
    </row>
    <row r="248" spans="2:23">
      <c r="C248" s="177" t="s">
        <v>27</v>
      </c>
      <c r="H248" s="25" t="s">
        <v>45</v>
      </c>
      <c r="J248" s="58" t="s">
        <v>34</v>
      </c>
      <c r="K248" s="10">
        <v>0.6</v>
      </c>
      <c r="N248" s="10">
        <v>-0.75</v>
      </c>
      <c r="O248" s="10">
        <v>-1.25</v>
      </c>
      <c r="P248" s="115">
        <v>5</v>
      </c>
      <c r="Q248" s="148">
        <f t="shared" si="3"/>
        <v>-1.375</v>
      </c>
      <c r="S248" s="11">
        <v>24.42</v>
      </c>
      <c r="T248" s="11">
        <v>170</v>
      </c>
      <c r="U248" s="11">
        <v>170</v>
      </c>
      <c r="V248" s="11">
        <v>120</v>
      </c>
      <c r="W248" s="11">
        <v>24</v>
      </c>
    </row>
    <row r="249" spans="2:23">
      <c r="B249" s="158">
        <v>45873</v>
      </c>
      <c r="C249" s="58" t="s">
        <v>139</v>
      </c>
      <c r="D249" s="151" t="s">
        <v>301</v>
      </c>
      <c r="E249" s="159" t="s">
        <v>29</v>
      </c>
      <c r="F249" s="153"/>
      <c r="G249" s="58" t="s">
        <v>302</v>
      </c>
      <c r="H249" s="25" t="s">
        <v>45</v>
      </c>
      <c r="I249" s="177" t="s">
        <v>32</v>
      </c>
      <c r="J249" s="58" t="s">
        <v>33</v>
      </c>
      <c r="K249" s="10">
        <v>0.6</v>
      </c>
      <c r="L249" s="10">
        <v>1</v>
      </c>
      <c r="M249" s="10">
        <v>1</v>
      </c>
      <c r="N249" s="10">
        <v>-1</v>
      </c>
      <c r="O249" s="10">
        <v>-0.5</v>
      </c>
      <c r="P249" s="115">
        <v>160</v>
      </c>
      <c r="Q249" s="148">
        <f t="shared" si="3"/>
        <v>-1.25</v>
      </c>
      <c r="R249" s="163" t="s">
        <v>33</v>
      </c>
      <c r="S249" s="11">
        <v>22.69</v>
      </c>
    </row>
    <row r="250" spans="2:23">
      <c r="C250" s="58" t="s">
        <v>139</v>
      </c>
      <c r="H250" s="25" t="s">
        <v>45</v>
      </c>
      <c r="J250" s="58" t="s">
        <v>34</v>
      </c>
      <c r="K250" s="10">
        <v>0.6</v>
      </c>
      <c r="L250" s="161">
        <v>1</v>
      </c>
      <c r="M250" s="10">
        <v>1</v>
      </c>
      <c r="N250" s="10">
        <v>-1</v>
      </c>
      <c r="O250" s="10">
        <v>-0.5</v>
      </c>
      <c r="P250" s="115">
        <v>20</v>
      </c>
      <c r="Q250" s="148">
        <f t="shared" si="3"/>
        <v>-1.25</v>
      </c>
      <c r="S250" s="11">
        <v>22.62</v>
      </c>
    </row>
    <row r="251" spans="2:23">
      <c r="B251" s="158">
        <v>45872</v>
      </c>
      <c r="C251" s="177" t="s">
        <v>27</v>
      </c>
      <c r="D251" s="151" t="s">
        <v>303</v>
      </c>
      <c r="E251" s="159" t="s">
        <v>37</v>
      </c>
      <c r="F251" s="153">
        <v>41054</v>
      </c>
      <c r="G251" s="58" t="s">
        <v>304</v>
      </c>
      <c r="H251" s="25" t="s">
        <v>48</v>
      </c>
      <c r="I251" s="177" t="s">
        <v>32</v>
      </c>
      <c r="J251" s="58" t="s">
        <v>33</v>
      </c>
      <c r="K251" s="10">
        <v>0.3</v>
      </c>
      <c r="N251" s="10">
        <v>-4.75</v>
      </c>
      <c r="O251" s="10">
        <v>-0.5</v>
      </c>
      <c r="P251" s="115">
        <v>175</v>
      </c>
      <c r="Q251" s="148">
        <f t="shared" si="3"/>
        <v>-5</v>
      </c>
      <c r="R251" s="163" t="s">
        <v>33</v>
      </c>
      <c r="S251" s="11">
        <v>25.54</v>
      </c>
      <c r="T251" s="11">
        <v>170</v>
      </c>
      <c r="U251" s="11">
        <v>170</v>
      </c>
      <c r="V251" s="11">
        <v>80</v>
      </c>
      <c r="W251" s="11">
        <v>15</v>
      </c>
    </row>
    <row r="252" spans="2:23">
      <c r="C252" s="177" t="s">
        <v>27</v>
      </c>
      <c r="H252" s="25" t="s">
        <v>48</v>
      </c>
      <c r="J252" s="58" t="s">
        <v>34</v>
      </c>
      <c r="K252" s="10">
        <v>0.3</v>
      </c>
      <c r="N252" s="10">
        <v>-4.5</v>
      </c>
      <c r="O252" s="10">
        <v>-0.5</v>
      </c>
      <c r="P252" s="115">
        <v>5</v>
      </c>
      <c r="Q252" s="148">
        <f t="shared" si="3"/>
        <v>-4.75</v>
      </c>
      <c r="S252" s="11">
        <v>25.58</v>
      </c>
      <c r="T252" s="11">
        <v>170</v>
      </c>
      <c r="U252" s="11">
        <v>170</v>
      </c>
      <c r="V252" s="11">
        <v>45</v>
      </c>
      <c r="W252" s="11">
        <v>6</v>
      </c>
    </row>
    <row r="253" spans="2:23">
      <c r="C253" s="177" t="s">
        <v>27</v>
      </c>
      <c r="D253" s="151" t="s">
        <v>305</v>
      </c>
      <c r="E253" s="159" t="s">
        <v>37</v>
      </c>
      <c r="F253" s="153"/>
      <c r="G253" s="58" t="s">
        <v>306</v>
      </c>
      <c r="H253" s="25" t="s">
        <v>31</v>
      </c>
      <c r="I253" s="177" t="s">
        <v>32</v>
      </c>
      <c r="J253" s="58" t="s">
        <v>33</v>
      </c>
      <c r="K253" s="172"/>
      <c r="L253" s="172"/>
      <c r="M253" s="172"/>
      <c r="N253" s="172"/>
      <c r="O253" s="172"/>
      <c r="P253" s="173"/>
      <c r="Q253" s="179"/>
      <c r="S253" s="175"/>
    </row>
    <row r="254" spans="2:23">
      <c r="C254" s="177" t="s">
        <v>27</v>
      </c>
      <c r="H254" s="25" t="s">
        <v>31</v>
      </c>
      <c r="J254" s="58" t="s">
        <v>34</v>
      </c>
      <c r="K254" s="172"/>
      <c r="L254" s="172"/>
      <c r="M254" s="172"/>
      <c r="N254" s="172"/>
      <c r="O254" s="172"/>
      <c r="P254" s="173"/>
      <c r="Q254" s="179"/>
      <c r="S254" s="175"/>
    </row>
    <row r="255" spans="2:23">
      <c r="B255" s="158">
        <v>45866</v>
      </c>
      <c r="C255" s="177" t="s">
        <v>27</v>
      </c>
      <c r="D255" s="151" t="s">
        <v>307</v>
      </c>
      <c r="E255" s="159" t="s">
        <v>29</v>
      </c>
      <c r="F255" s="153">
        <v>41988</v>
      </c>
      <c r="G255" s="58" t="s">
        <v>308</v>
      </c>
      <c r="H255" s="25" t="s">
        <v>31</v>
      </c>
      <c r="I255" s="177" t="s">
        <v>32</v>
      </c>
      <c r="J255" s="58" t="s">
        <v>33</v>
      </c>
      <c r="K255" s="172"/>
      <c r="L255" s="172"/>
      <c r="M255" s="172"/>
      <c r="N255" s="10">
        <v>-1.75</v>
      </c>
      <c r="O255" s="161"/>
      <c r="Q255" s="148">
        <f t="shared" ref="Q255:Q280" si="4">N255+0.5*O255</f>
        <v>-1.75</v>
      </c>
      <c r="R255" s="163" t="s">
        <v>33</v>
      </c>
      <c r="S255" s="11">
        <v>25.43</v>
      </c>
      <c r="T255" s="11">
        <v>170</v>
      </c>
      <c r="U255" s="11">
        <v>170</v>
      </c>
      <c r="V255" s="11">
        <v>80</v>
      </c>
      <c r="W255" s="11">
        <v>45</v>
      </c>
    </row>
    <row r="256" spans="2:23">
      <c r="C256" s="177" t="s">
        <v>27</v>
      </c>
      <c r="H256" s="25" t="s">
        <v>31</v>
      </c>
      <c r="J256" s="58" t="s">
        <v>34</v>
      </c>
      <c r="K256" s="172"/>
      <c r="L256" s="172"/>
      <c r="M256" s="172"/>
      <c r="N256" s="10">
        <v>-1.75</v>
      </c>
      <c r="O256" s="10">
        <v>-0.5</v>
      </c>
      <c r="P256" s="115">
        <v>160</v>
      </c>
      <c r="Q256" s="148">
        <f t="shared" si="4"/>
        <v>-2</v>
      </c>
      <c r="S256" s="11">
        <v>25.47</v>
      </c>
      <c r="T256" s="11">
        <v>170</v>
      </c>
      <c r="U256" s="11">
        <v>170</v>
      </c>
      <c r="V256" s="11">
        <v>120</v>
      </c>
      <c r="W256" s="11">
        <v>45</v>
      </c>
    </row>
    <row r="257" spans="2:23">
      <c r="B257" s="158">
        <v>45861</v>
      </c>
      <c r="C257" s="177" t="s">
        <v>27</v>
      </c>
      <c r="D257" s="151" t="s">
        <v>309</v>
      </c>
      <c r="E257" s="159" t="s">
        <v>37</v>
      </c>
      <c r="F257" s="153">
        <v>40720</v>
      </c>
      <c r="G257" s="58" t="s">
        <v>310</v>
      </c>
      <c r="H257" s="25" t="s">
        <v>45</v>
      </c>
      <c r="I257" s="177" t="s">
        <v>32</v>
      </c>
      <c r="J257" s="58" t="s">
        <v>33</v>
      </c>
      <c r="K257" s="172"/>
      <c r="L257" s="172"/>
      <c r="M257" s="172"/>
      <c r="N257" s="10">
        <v>-0.5</v>
      </c>
      <c r="O257" s="10">
        <v>-1.5</v>
      </c>
      <c r="P257" s="115">
        <v>175</v>
      </c>
      <c r="Q257" s="148">
        <f t="shared" si="4"/>
        <v>-1.25</v>
      </c>
      <c r="R257" s="163" t="s">
        <v>33</v>
      </c>
      <c r="S257" s="11">
        <v>24.75</v>
      </c>
      <c r="T257" s="11">
        <v>170</v>
      </c>
      <c r="U257" s="11">
        <v>170</v>
      </c>
      <c r="V257" s="11">
        <v>80</v>
      </c>
      <c r="W257" s="11">
        <v>15</v>
      </c>
    </row>
    <row r="258" spans="2:23">
      <c r="C258" s="177" t="s">
        <v>27</v>
      </c>
      <c r="H258" s="25" t="s">
        <v>45</v>
      </c>
      <c r="J258" s="58" t="s">
        <v>34</v>
      </c>
      <c r="K258" s="172"/>
      <c r="L258" s="172"/>
      <c r="M258" s="172"/>
      <c r="N258" s="10">
        <v>-1.25</v>
      </c>
      <c r="O258" s="172"/>
      <c r="P258" s="115">
        <v>170</v>
      </c>
      <c r="Q258" s="148">
        <f t="shared" si="4"/>
        <v>-1.25</v>
      </c>
      <c r="S258" s="11">
        <v>25.22</v>
      </c>
      <c r="T258" s="11">
        <v>170</v>
      </c>
      <c r="U258" s="11">
        <v>170</v>
      </c>
      <c r="V258" s="11">
        <v>80</v>
      </c>
      <c r="W258" s="11">
        <v>65</v>
      </c>
    </row>
    <row r="259" spans="2:23">
      <c r="B259" s="158">
        <v>45865</v>
      </c>
      <c r="C259" s="177" t="s">
        <v>27</v>
      </c>
      <c r="D259" s="151" t="s">
        <v>311</v>
      </c>
      <c r="E259" s="159" t="s">
        <v>29</v>
      </c>
      <c r="F259" s="153">
        <v>42318</v>
      </c>
      <c r="G259" s="58" t="s">
        <v>312</v>
      </c>
      <c r="H259" s="25" t="s">
        <v>48</v>
      </c>
      <c r="I259" s="177" t="s">
        <v>32</v>
      </c>
      <c r="J259" s="58" t="s">
        <v>33</v>
      </c>
      <c r="K259" s="172"/>
      <c r="L259" s="172"/>
      <c r="M259" s="172"/>
      <c r="N259" s="10">
        <v>-0.75</v>
      </c>
      <c r="O259" s="10">
        <v>-0.5</v>
      </c>
      <c r="P259" s="115">
        <v>160</v>
      </c>
      <c r="Q259" s="148">
        <f t="shared" si="4"/>
        <v>-1</v>
      </c>
      <c r="R259" s="163" t="s">
        <v>33</v>
      </c>
      <c r="S259" s="11">
        <v>23.24</v>
      </c>
      <c r="T259" s="11">
        <v>170</v>
      </c>
      <c r="U259" s="11">
        <v>170</v>
      </c>
      <c r="V259" s="11">
        <v>80</v>
      </c>
      <c r="W259" s="11">
        <v>45</v>
      </c>
    </row>
    <row r="260" spans="2:23">
      <c r="C260" s="177" t="s">
        <v>27</v>
      </c>
      <c r="H260" s="25" t="s">
        <v>48</v>
      </c>
      <c r="J260" s="58" t="s">
        <v>34</v>
      </c>
      <c r="K260" s="172"/>
      <c r="L260" s="172"/>
      <c r="M260" s="172"/>
      <c r="N260" s="10">
        <v>-0.5</v>
      </c>
      <c r="O260" s="10">
        <v>-0.25</v>
      </c>
      <c r="P260" s="115">
        <v>175</v>
      </c>
      <c r="Q260" s="148">
        <f t="shared" si="4"/>
        <v>-0.625</v>
      </c>
      <c r="S260" s="11">
        <v>23.16</v>
      </c>
      <c r="T260" s="11">
        <v>170</v>
      </c>
      <c r="U260" s="11">
        <v>170</v>
      </c>
      <c r="V260" s="11">
        <v>80</v>
      </c>
      <c r="W260" s="11">
        <v>35</v>
      </c>
    </row>
    <row r="261" spans="2:23">
      <c r="B261" s="158">
        <v>45869</v>
      </c>
      <c r="C261" s="58" t="s">
        <v>139</v>
      </c>
      <c r="D261" s="151" t="s">
        <v>313</v>
      </c>
      <c r="E261" s="159" t="s">
        <v>37</v>
      </c>
      <c r="F261" s="153" t="s">
        <v>314</v>
      </c>
      <c r="G261" s="58" t="s">
        <v>315</v>
      </c>
      <c r="H261" s="25" t="s">
        <v>45</v>
      </c>
      <c r="I261" s="177" t="s">
        <v>32</v>
      </c>
      <c r="J261" s="58" t="s">
        <v>33</v>
      </c>
      <c r="L261" s="10">
        <v>1</v>
      </c>
      <c r="M261" s="10">
        <v>0.8</v>
      </c>
      <c r="N261" s="10">
        <v>-0.5</v>
      </c>
      <c r="O261" s="10">
        <v>-1</v>
      </c>
      <c r="P261" s="115">
        <v>180</v>
      </c>
      <c r="Q261" s="148">
        <f t="shared" si="4"/>
        <v>-1</v>
      </c>
      <c r="R261" s="163" t="s">
        <v>33</v>
      </c>
      <c r="S261" s="11">
        <v>23.29</v>
      </c>
      <c r="T261" s="11">
        <v>45</v>
      </c>
      <c r="U261" s="11">
        <v>120</v>
      </c>
      <c r="V261" s="11">
        <v>120</v>
      </c>
      <c r="W261" s="11">
        <v>65</v>
      </c>
    </row>
    <row r="262" spans="2:23">
      <c r="C262" s="58"/>
      <c r="H262" s="25" t="s">
        <v>45</v>
      </c>
      <c r="J262" s="58" t="s">
        <v>34</v>
      </c>
      <c r="N262" s="10">
        <v>-0.75</v>
      </c>
      <c r="O262" s="10">
        <v>-0.75</v>
      </c>
      <c r="P262" s="115">
        <v>160</v>
      </c>
      <c r="Q262" s="148">
        <f t="shared" si="4"/>
        <v>-1.125</v>
      </c>
      <c r="R262" s="163"/>
      <c r="S262" s="11">
        <v>23.22</v>
      </c>
      <c r="T262" s="11">
        <v>45</v>
      </c>
      <c r="U262" s="11">
        <v>170</v>
      </c>
      <c r="V262" s="11">
        <v>120</v>
      </c>
      <c r="W262" s="11">
        <v>65</v>
      </c>
    </row>
    <row r="263" spans="2:23">
      <c r="B263" s="158">
        <v>45867</v>
      </c>
      <c r="C263" s="177" t="s">
        <v>27</v>
      </c>
      <c r="D263" s="151" t="s">
        <v>316</v>
      </c>
      <c r="E263" s="159" t="s">
        <v>37</v>
      </c>
      <c r="F263" s="153">
        <v>41701</v>
      </c>
      <c r="G263" s="58" t="s">
        <v>317</v>
      </c>
      <c r="H263" s="25" t="s">
        <v>39</v>
      </c>
      <c r="I263" s="177" t="s">
        <v>32</v>
      </c>
      <c r="J263" s="58" t="s">
        <v>33</v>
      </c>
      <c r="K263" s="10">
        <v>0.2</v>
      </c>
      <c r="N263" s="10">
        <v>-2.75</v>
      </c>
      <c r="O263" s="10">
        <v>-0.5</v>
      </c>
      <c r="P263" s="115">
        <v>10</v>
      </c>
      <c r="Q263" s="148">
        <f t="shared" si="4"/>
        <v>-3</v>
      </c>
      <c r="R263" s="163" t="s">
        <v>33</v>
      </c>
      <c r="S263" s="11">
        <v>25.37</v>
      </c>
      <c r="T263" s="11">
        <v>170</v>
      </c>
      <c r="U263" s="11">
        <v>170</v>
      </c>
      <c r="V263" s="11">
        <v>120</v>
      </c>
      <c r="W263" s="11">
        <v>24</v>
      </c>
    </row>
    <row r="264" spans="2:23">
      <c r="B264" s="158"/>
      <c r="C264" s="177" t="s">
        <v>27</v>
      </c>
      <c r="H264" s="25" t="s">
        <v>39</v>
      </c>
      <c r="J264" s="58" t="s">
        <v>34</v>
      </c>
      <c r="K264" s="10">
        <v>0.3</v>
      </c>
      <c r="N264" s="10">
        <v>-2.25</v>
      </c>
      <c r="O264" s="10">
        <v>-1</v>
      </c>
      <c r="P264" s="115">
        <v>155</v>
      </c>
      <c r="Q264" s="148">
        <f t="shared" si="4"/>
        <v>-2.75</v>
      </c>
      <c r="R264" s="163"/>
      <c r="S264" s="11">
        <v>25.33</v>
      </c>
      <c r="T264" s="11">
        <v>170</v>
      </c>
      <c r="U264" s="11">
        <v>170</v>
      </c>
      <c r="V264" s="11">
        <v>45</v>
      </c>
      <c r="W264" s="11">
        <v>45</v>
      </c>
    </row>
    <row r="265" spans="2:23">
      <c r="B265" s="158">
        <v>45873</v>
      </c>
      <c r="C265" s="177" t="s">
        <v>27</v>
      </c>
      <c r="D265" s="151" t="s">
        <v>318</v>
      </c>
      <c r="E265" s="159" t="s">
        <v>37</v>
      </c>
      <c r="F265" s="153">
        <v>41922</v>
      </c>
      <c r="G265" s="58" t="s">
        <v>319</v>
      </c>
      <c r="H265" s="72" t="s">
        <v>45</v>
      </c>
      <c r="I265" s="177" t="s">
        <v>32</v>
      </c>
      <c r="J265" s="58" t="s">
        <v>33</v>
      </c>
      <c r="N265" s="10">
        <v>-2</v>
      </c>
      <c r="O265" s="10">
        <v>-0.25</v>
      </c>
      <c r="P265" s="115">
        <v>10</v>
      </c>
      <c r="Q265" s="148">
        <f t="shared" si="4"/>
        <v>-2.125</v>
      </c>
      <c r="R265" s="163" t="s">
        <v>33</v>
      </c>
      <c r="S265" s="11">
        <v>25.31</v>
      </c>
      <c r="T265" s="11">
        <v>170</v>
      </c>
      <c r="U265" s="11">
        <v>80</v>
      </c>
      <c r="V265" s="11">
        <v>35</v>
      </c>
      <c r="W265" s="11">
        <v>3</v>
      </c>
    </row>
    <row r="266" spans="2:23">
      <c r="C266" s="177" t="s">
        <v>27</v>
      </c>
      <c r="H266" s="72" t="s">
        <v>45</v>
      </c>
      <c r="J266" s="58" t="s">
        <v>34</v>
      </c>
      <c r="N266" s="10">
        <v>-2.25</v>
      </c>
      <c r="O266" s="10">
        <v>-0.5</v>
      </c>
      <c r="P266" s="115">
        <v>180</v>
      </c>
      <c r="Q266" s="148">
        <f t="shared" si="4"/>
        <v>-2.5</v>
      </c>
      <c r="R266" s="163"/>
      <c r="S266" s="11">
        <v>25.24</v>
      </c>
      <c r="T266" s="11">
        <v>170</v>
      </c>
      <c r="U266" s="11">
        <v>170</v>
      </c>
      <c r="V266" s="11">
        <v>25</v>
      </c>
      <c r="W266" s="11">
        <v>6</v>
      </c>
    </row>
    <row r="267" spans="2:23">
      <c r="B267" s="158">
        <v>45859</v>
      </c>
      <c r="C267" s="81" t="s">
        <v>139</v>
      </c>
      <c r="D267" s="151" t="s">
        <v>320</v>
      </c>
      <c r="E267" s="159" t="s">
        <v>37</v>
      </c>
      <c r="F267" s="160">
        <v>41488</v>
      </c>
      <c r="G267" s="186" t="s">
        <v>321</v>
      </c>
      <c r="H267" s="74" t="s">
        <v>31</v>
      </c>
      <c r="I267" s="81" t="s">
        <v>32</v>
      </c>
      <c r="J267" s="81" t="s">
        <v>33</v>
      </c>
      <c r="K267" s="10">
        <v>0.6</v>
      </c>
      <c r="L267" s="10">
        <v>1.2</v>
      </c>
      <c r="M267" s="172"/>
      <c r="N267" s="10">
        <v>-0.75</v>
      </c>
      <c r="Q267" s="148">
        <f t="shared" si="4"/>
        <v>-0.75</v>
      </c>
      <c r="R267" s="163" t="s">
        <v>34</v>
      </c>
      <c r="S267" s="11">
        <v>24.24</v>
      </c>
      <c r="T267" s="11">
        <v>7</v>
      </c>
      <c r="U267" s="11">
        <v>4</v>
      </c>
      <c r="V267" s="11">
        <v>1</v>
      </c>
      <c r="W267" s="11">
        <v>1</v>
      </c>
    </row>
    <row r="268" spans="2:23">
      <c r="H268" s="74" t="s">
        <v>31</v>
      </c>
      <c r="J268" s="81" t="s">
        <v>34</v>
      </c>
      <c r="K268" s="10">
        <v>0.8</v>
      </c>
      <c r="L268" s="10">
        <v>1</v>
      </c>
      <c r="M268" s="172"/>
      <c r="N268" s="10">
        <v>-0.5</v>
      </c>
      <c r="O268" s="10">
        <v>-0.5</v>
      </c>
      <c r="P268" s="115">
        <v>155</v>
      </c>
      <c r="Q268" s="148">
        <f t="shared" si="4"/>
        <v>-0.75</v>
      </c>
      <c r="R268" s="163" t="s">
        <v>33</v>
      </c>
      <c r="S268" s="11">
        <v>24.07</v>
      </c>
      <c r="T268" s="11">
        <v>6</v>
      </c>
      <c r="U268" s="11">
        <v>5</v>
      </c>
      <c r="V268" s="11">
        <v>0</v>
      </c>
      <c r="W268" s="11">
        <v>0</v>
      </c>
    </row>
    <row r="269" spans="2:23">
      <c r="B269" s="158"/>
      <c r="C269" s="177" t="s">
        <v>27</v>
      </c>
      <c r="D269" s="151" t="s">
        <v>322</v>
      </c>
      <c r="E269" s="159" t="s">
        <v>37</v>
      </c>
      <c r="F269" s="153">
        <v>42173</v>
      </c>
      <c r="G269" s="58" t="s">
        <v>323</v>
      </c>
      <c r="H269" s="25" t="s">
        <v>45</v>
      </c>
      <c r="I269" s="177" t="s">
        <v>32</v>
      </c>
      <c r="J269" s="58" t="s">
        <v>33</v>
      </c>
      <c r="N269" s="10">
        <v>-2.75</v>
      </c>
      <c r="O269" s="10">
        <v>-0.5</v>
      </c>
      <c r="P269" s="115">
        <v>10</v>
      </c>
      <c r="Q269" s="148">
        <f t="shared" si="4"/>
        <v>-3</v>
      </c>
      <c r="R269" s="163" t="s">
        <v>219</v>
      </c>
      <c r="S269" s="11">
        <v>24.79</v>
      </c>
      <c r="T269" s="11">
        <v>170</v>
      </c>
      <c r="U269" s="11">
        <v>170</v>
      </c>
      <c r="V269" s="11">
        <v>80</v>
      </c>
      <c r="W269" s="11">
        <v>8</v>
      </c>
    </row>
    <row r="270" spans="2:23">
      <c r="C270" s="177" t="s">
        <v>27</v>
      </c>
      <c r="H270" s="25" t="s">
        <v>45</v>
      </c>
      <c r="J270" s="58" t="s">
        <v>34</v>
      </c>
      <c r="N270" s="10">
        <v>-3</v>
      </c>
      <c r="Q270" s="148">
        <f t="shared" si="4"/>
        <v>-3</v>
      </c>
      <c r="S270" s="11">
        <v>24.8</v>
      </c>
      <c r="T270" s="11">
        <v>170</v>
      </c>
      <c r="U270" s="11">
        <v>170</v>
      </c>
      <c r="V270" s="11">
        <v>120</v>
      </c>
      <c r="W270" s="11">
        <v>45</v>
      </c>
    </row>
    <row r="271" spans="2:23">
      <c r="C271" s="177" t="s">
        <v>27</v>
      </c>
      <c r="D271" s="151" t="s">
        <v>324</v>
      </c>
      <c r="E271" s="159" t="s">
        <v>29</v>
      </c>
      <c r="F271" s="153">
        <v>42846</v>
      </c>
      <c r="G271" s="58" t="s">
        <v>325</v>
      </c>
      <c r="H271" s="25" t="s">
        <v>39</v>
      </c>
      <c r="I271" s="177" t="s">
        <v>32</v>
      </c>
      <c r="J271" s="58" t="s">
        <v>33</v>
      </c>
      <c r="K271" s="10">
        <v>0.25</v>
      </c>
      <c r="L271" s="161">
        <v>1</v>
      </c>
      <c r="N271" s="10">
        <v>-1.5</v>
      </c>
      <c r="O271" s="10">
        <v>0</v>
      </c>
      <c r="P271" s="115">
        <v>0</v>
      </c>
      <c r="Q271" s="148">
        <f t="shared" si="4"/>
        <v>-1.5</v>
      </c>
      <c r="R271" s="163" t="s">
        <v>219</v>
      </c>
      <c r="S271" s="11">
        <v>24.29</v>
      </c>
      <c r="T271" s="11">
        <v>170</v>
      </c>
      <c r="U271" s="11">
        <v>170</v>
      </c>
      <c r="V271" s="11">
        <v>35</v>
      </c>
      <c r="W271" s="11">
        <v>15</v>
      </c>
    </row>
    <row r="272" spans="2:23">
      <c r="C272" s="177" t="s">
        <v>27</v>
      </c>
      <c r="H272" s="25" t="s">
        <v>39</v>
      </c>
      <c r="J272" s="58" t="s">
        <v>34</v>
      </c>
      <c r="K272" s="10">
        <v>0.25</v>
      </c>
      <c r="L272" s="10">
        <v>1</v>
      </c>
      <c r="N272" s="10">
        <v>-1.75</v>
      </c>
      <c r="O272" s="10">
        <v>-0.5</v>
      </c>
      <c r="P272" s="115">
        <v>95</v>
      </c>
      <c r="Q272" s="148">
        <f t="shared" si="4"/>
        <v>-2</v>
      </c>
      <c r="S272" s="11">
        <v>24.1</v>
      </c>
      <c r="T272" s="11">
        <v>170</v>
      </c>
      <c r="U272" s="11">
        <v>170</v>
      </c>
      <c r="V272" s="11">
        <v>80</v>
      </c>
      <c r="W272" s="11">
        <v>6</v>
      </c>
    </row>
    <row r="273" spans="2:23">
      <c r="C273" s="177" t="s">
        <v>27</v>
      </c>
      <c r="D273" s="111" t="s">
        <v>326</v>
      </c>
      <c r="E273" s="159" t="s">
        <v>37</v>
      </c>
      <c r="F273" s="160">
        <v>41821</v>
      </c>
      <c r="G273" s="58" t="s">
        <v>327</v>
      </c>
      <c r="H273" s="25" t="s">
        <v>45</v>
      </c>
      <c r="I273" s="177" t="s">
        <v>32</v>
      </c>
      <c r="J273" s="58" t="s">
        <v>33</v>
      </c>
      <c r="N273" s="10">
        <v>-1.5</v>
      </c>
      <c r="O273" s="10">
        <v>-0.5</v>
      </c>
      <c r="P273" s="115">
        <v>165</v>
      </c>
      <c r="Q273" s="148">
        <f t="shared" si="4"/>
        <v>-1.75</v>
      </c>
      <c r="R273" s="163" t="s">
        <v>219</v>
      </c>
      <c r="S273" s="11">
        <v>24.4</v>
      </c>
      <c r="T273" s="11">
        <v>80</v>
      </c>
      <c r="U273" s="11">
        <v>170</v>
      </c>
      <c r="V273" s="11">
        <v>120</v>
      </c>
      <c r="W273" s="11">
        <v>45</v>
      </c>
    </row>
    <row r="274" spans="2:23">
      <c r="C274" s="177" t="s">
        <v>27</v>
      </c>
      <c r="H274" s="25" t="s">
        <v>45</v>
      </c>
      <c r="J274" s="58" t="s">
        <v>34</v>
      </c>
      <c r="N274" s="10">
        <v>-1.25</v>
      </c>
      <c r="O274" s="10">
        <v>-0.75</v>
      </c>
      <c r="P274" s="115">
        <v>175</v>
      </c>
      <c r="Q274" s="148">
        <f t="shared" si="4"/>
        <v>-1.625</v>
      </c>
      <c r="S274" s="11">
        <v>24.45</v>
      </c>
      <c r="T274" s="11">
        <v>80</v>
      </c>
      <c r="U274" s="11">
        <v>120</v>
      </c>
      <c r="V274" s="11">
        <v>60</v>
      </c>
      <c r="W274" s="11">
        <v>8</v>
      </c>
    </row>
    <row r="275" spans="2:23">
      <c r="C275" s="177" t="s">
        <v>27</v>
      </c>
      <c r="D275" s="111" t="s">
        <v>328</v>
      </c>
      <c r="E275" s="159" t="s">
        <v>37</v>
      </c>
      <c r="F275" s="160">
        <v>40865</v>
      </c>
      <c r="G275" s="58" t="s">
        <v>329</v>
      </c>
      <c r="H275" s="25" t="s">
        <v>31</v>
      </c>
      <c r="I275" s="177" t="s">
        <v>32</v>
      </c>
      <c r="J275" s="58" t="s">
        <v>33</v>
      </c>
      <c r="N275" s="10">
        <v>-1</v>
      </c>
      <c r="O275" s="10">
        <v>-0.5</v>
      </c>
      <c r="P275" s="115">
        <v>10</v>
      </c>
      <c r="Q275" s="148">
        <f t="shared" si="4"/>
        <v>-1.25</v>
      </c>
      <c r="S275" s="11">
        <v>24.06</v>
      </c>
      <c r="T275" s="11">
        <v>170</v>
      </c>
      <c r="U275" s="11">
        <v>170</v>
      </c>
      <c r="V275" s="11">
        <v>120</v>
      </c>
      <c r="W275" s="11">
        <v>45</v>
      </c>
    </row>
    <row r="276" spans="2:23">
      <c r="C276" s="177" t="s">
        <v>27</v>
      </c>
      <c r="H276" s="25" t="s">
        <v>31</v>
      </c>
      <c r="J276" s="58" t="s">
        <v>34</v>
      </c>
      <c r="N276" s="10">
        <v>-1</v>
      </c>
      <c r="O276" s="10">
        <v>-0.25</v>
      </c>
      <c r="P276" s="115">
        <v>85</v>
      </c>
      <c r="Q276" s="148">
        <f t="shared" si="4"/>
        <v>-1.125</v>
      </c>
      <c r="S276" s="11">
        <v>23.81</v>
      </c>
      <c r="T276" s="11">
        <v>170</v>
      </c>
      <c r="U276" s="11">
        <v>170</v>
      </c>
      <c r="V276" s="11">
        <v>25</v>
      </c>
      <c r="W276" s="11">
        <v>6</v>
      </c>
    </row>
    <row r="277" spans="2:23">
      <c r="C277" s="81" t="s">
        <v>139</v>
      </c>
      <c r="D277" s="151" t="s">
        <v>330</v>
      </c>
      <c r="E277" s="159" t="s">
        <v>37</v>
      </c>
      <c r="F277" s="160">
        <v>42832</v>
      </c>
      <c r="G277" s="186" t="s">
        <v>331</v>
      </c>
      <c r="H277" s="25" t="s">
        <v>31</v>
      </c>
      <c r="I277" s="81" t="s">
        <v>32</v>
      </c>
      <c r="J277" s="81" t="s">
        <v>33</v>
      </c>
      <c r="K277" s="10">
        <v>0.4</v>
      </c>
      <c r="L277" s="10">
        <v>1</v>
      </c>
      <c r="M277" s="172"/>
      <c r="N277" s="10">
        <v>-0.75</v>
      </c>
      <c r="O277" s="10">
        <v>-0.75</v>
      </c>
      <c r="P277" s="115">
        <v>180</v>
      </c>
      <c r="Q277" s="148">
        <f t="shared" si="4"/>
        <v>-1.125</v>
      </c>
      <c r="R277" s="175"/>
      <c r="S277" s="11">
        <v>23.21</v>
      </c>
      <c r="T277" s="11">
        <v>3</v>
      </c>
      <c r="U277" s="11">
        <v>3</v>
      </c>
      <c r="V277" s="11">
        <v>2</v>
      </c>
      <c r="W277" s="11">
        <v>2</v>
      </c>
    </row>
    <row r="278" spans="2:23">
      <c r="C278" s="177"/>
      <c r="H278" s="25" t="s">
        <v>31</v>
      </c>
      <c r="J278" s="58" t="s">
        <v>34</v>
      </c>
      <c r="K278" s="10">
        <v>0.3</v>
      </c>
      <c r="L278" s="10">
        <v>1</v>
      </c>
      <c r="M278" s="172"/>
      <c r="N278" s="10">
        <v>-1.5</v>
      </c>
      <c r="O278" s="10">
        <v>-0.75</v>
      </c>
      <c r="P278" s="115">
        <v>165</v>
      </c>
      <c r="Q278" s="148">
        <f t="shared" si="4"/>
        <v>-1.875</v>
      </c>
      <c r="S278" s="11">
        <v>23.57</v>
      </c>
      <c r="T278" s="11">
        <v>2</v>
      </c>
      <c r="U278" s="11">
        <v>0</v>
      </c>
      <c r="V278" s="11">
        <v>2</v>
      </c>
      <c r="W278" s="11">
        <v>4</v>
      </c>
    </row>
    <row r="279" spans="2:23">
      <c r="C279" s="177" t="s">
        <v>27</v>
      </c>
      <c r="D279" s="111" t="s">
        <v>332</v>
      </c>
      <c r="E279" s="159" t="s">
        <v>37</v>
      </c>
      <c r="F279" s="160">
        <v>42637</v>
      </c>
      <c r="G279" s="58" t="s">
        <v>333</v>
      </c>
      <c r="H279" s="25" t="s">
        <v>39</v>
      </c>
      <c r="I279" s="177" t="s">
        <v>32</v>
      </c>
      <c r="J279" s="58" t="s">
        <v>33</v>
      </c>
      <c r="N279" s="10">
        <v>-2</v>
      </c>
      <c r="Q279" s="148">
        <f t="shared" si="4"/>
        <v>-2</v>
      </c>
      <c r="S279" s="11">
        <v>26.12</v>
      </c>
    </row>
    <row r="280" spans="2:23">
      <c r="C280" s="177" t="s">
        <v>27</v>
      </c>
      <c r="H280" s="25" t="s">
        <v>39</v>
      </c>
      <c r="J280" s="58" t="s">
        <v>34</v>
      </c>
      <c r="N280" s="10">
        <v>-2</v>
      </c>
      <c r="Q280" s="148">
        <f t="shared" si="4"/>
        <v>-2</v>
      </c>
      <c r="S280" s="11">
        <v>26.03</v>
      </c>
    </row>
    <row r="281" spans="2:23">
      <c r="B281" s="158"/>
      <c r="C281" s="177" t="s">
        <v>27</v>
      </c>
      <c r="D281" s="151" t="s">
        <v>334</v>
      </c>
      <c r="E281" s="159" t="s">
        <v>37</v>
      </c>
      <c r="F281" s="160">
        <v>41957</v>
      </c>
      <c r="G281" s="58" t="s">
        <v>335</v>
      </c>
      <c r="H281" s="25" t="s">
        <v>39</v>
      </c>
      <c r="I281" s="177" t="s">
        <v>32</v>
      </c>
      <c r="J281" s="58" t="s">
        <v>33</v>
      </c>
      <c r="K281" s="172"/>
      <c r="L281" s="172"/>
      <c r="M281" s="172"/>
      <c r="N281" s="172"/>
      <c r="O281" s="172"/>
      <c r="P281" s="173"/>
      <c r="Q281" s="179"/>
      <c r="S281" s="11">
        <v>23.59</v>
      </c>
    </row>
    <row r="282" spans="2:23">
      <c r="C282" s="177" t="s">
        <v>27</v>
      </c>
      <c r="H282" s="25" t="s">
        <v>39</v>
      </c>
      <c r="J282" s="58" t="s">
        <v>34</v>
      </c>
      <c r="K282" s="172"/>
      <c r="L282" s="172"/>
      <c r="M282" s="172"/>
      <c r="N282" s="172"/>
      <c r="O282" s="172"/>
      <c r="P282" s="173"/>
      <c r="Q282" s="179"/>
      <c r="S282" s="11">
        <v>24.15</v>
      </c>
    </row>
    <row r="283" spans="2:23">
      <c r="B283" s="158"/>
      <c r="C283" s="177" t="s">
        <v>27</v>
      </c>
      <c r="D283" s="151" t="s">
        <v>336</v>
      </c>
      <c r="E283" s="159" t="s">
        <v>29</v>
      </c>
      <c r="F283" s="160">
        <v>41934</v>
      </c>
      <c r="G283" s="58" t="s">
        <v>337</v>
      </c>
      <c r="H283" s="25" t="s">
        <v>48</v>
      </c>
      <c r="I283" s="177" t="s">
        <v>32</v>
      </c>
      <c r="J283" s="58" t="s">
        <v>33</v>
      </c>
      <c r="K283" s="10">
        <v>0.4</v>
      </c>
      <c r="L283" s="161">
        <v>1</v>
      </c>
      <c r="M283" s="161">
        <v>1</v>
      </c>
      <c r="N283" s="10">
        <v>-2.25</v>
      </c>
      <c r="O283" s="10">
        <v>0</v>
      </c>
      <c r="P283" s="115">
        <v>0</v>
      </c>
      <c r="Q283" s="148">
        <f>N283+0.5*O283</f>
        <v>-2.25</v>
      </c>
      <c r="S283" s="11">
        <v>24.33</v>
      </c>
    </row>
    <row r="284" spans="2:23">
      <c r="H284" s="25" t="s">
        <v>48</v>
      </c>
      <c r="J284" s="81" t="s">
        <v>34</v>
      </c>
      <c r="K284" s="10">
        <v>0.5</v>
      </c>
      <c r="L284" s="154">
        <v>1</v>
      </c>
      <c r="M284" s="146">
        <v>1</v>
      </c>
      <c r="N284" s="10">
        <v>-2.25</v>
      </c>
      <c r="O284" s="10">
        <v>-0.75</v>
      </c>
      <c r="P284" s="115">
        <v>165</v>
      </c>
      <c r="Q284" s="148">
        <f>N284+0.5*O284</f>
        <v>-2.625</v>
      </c>
      <c r="S284" s="11">
        <v>24.39</v>
      </c>
    </row>
    <row r="285" ht="18" customHeight="1" spans="2:23">
      <c r="C285" s="81" t="s">
        <v>27</v>
      </c>
      <c r="D285" s="187" t="s">
        <v>338</v>
      </c>
      <c r="E285" s="188" t="s">
        <v>29</v>
      </c>
      <c r="F285" s="189">
        <v>41823</v>
      </c>
      <c r="G285" s="186" t="s">
        <v>339</v>
      </c>
      <c r="H285" s="25" t="s">
        <v>48</v>
      </c>
      <c r="I285" s="177" t="s">
        <v>32</v>
      </c>
      <c r="J285" s="58" t="s">
        <v>33</v>
      </c>
      <c r="K285" s="172"/>
      <c r="L285" s="172"/>
      <c r="M285" s="172"/>
      <c r="N285" s="172"/>
      <c r="O285" s="172"/>
      <c r="P285" s="173"/>
      <c r="Q285" s="179"/>
      <c r="S285" s="11">
        <v>23.44</v>
      </c>
    </row>
    <row r="286" spans="2:23">
      <c r="C286" s="81" t="s">
        <v>27</v>
      </c>
      <c r="H286" s="25" t="s">
        <v>48</v>
      </c>
      <c r="J286" s="58" t="s">
        <v>34</v>
      </c>
      <c r="K286" s="172"/>
      <c r="L286" s="172"/>
      <c r="M286" s="172"/>
      <c r="N286" s="172"/>
      <c r="O286" s="172"/>
      <c r="P286" s="173"/>
      <c r="Q286" s="179"/>
      <c r="S286" s="11">
        <v>23.56</v>
      </c>
    </row>
    <row r="287" spans="2:23">
      <c r="C287" s="81" t="s">
        <v>27</v>
      </c>
      <c r="G287" s="186" t="s">
        <v>340</v>
      </c>
      <c r="H287" s="25" t="s">
        <v>31</v>
      </c>
      <c r="I287" s="177" t="s">
        <v>32</v>
      </c>
      <c r="J287" s="58" t="s">
        <v>33</v>
      </c>
      <c r="K287" s="172"/>
      <c r="L287" s="172"/>
      <c r="M287" s="172"/>
      <c r="N287" s="172"/>
      <c r="O287" s="172"/>
      <c r="P287" s="173"/>
      <c r="Q287" s="179"/>
      <c r="S287" s="175"/>
    </row>
    <row r="288" spans="2:23">
      <c r="C288" s="81" t="s">
        <v>27</v>
      </c>
      <c r="H288" s="25" t="s">
        <v>31</v>
      </c>
      <c r="J288" s="58" t="s">
        <v>34</v>
      </c>
      <c r="K288" s="172"/>
      <c r="L288" s="172"/>
      <c r="M288" s="172"/>
      <c r="N288" s="172"/>
      <c r="O288" s="172"/>
      <c r="P288" s="173"/>
      <c r="Q288" s="179"/>
      <c r="S288" s="175"/>
    </row>
    <row r="289" spans="2:37">
      <c r="C289" s="81" t="s">
        <v>27</v>
      </c>
      <c r="D289" s="151" t="s">
        <v>341</v>
      </c>
      <c r="E289" s="159" t="s">
        <v>37</v>
      </c>
      <c r="F289" s="160">
        <v>42210</v>
      </c>
      <c r="G289" s="186" t="s">
        <v>342</v>
      </c>
      <c r="H289" s="84" t="s">
        <v>45</v>
      </c>
      <c r="I289" s="177" t="s">
        <v>32</v>
      </c>
      <c r="J289" s="58" t="s">
        <v>33</v>
      </c>
      <c r="K289" s="172"/>
      <c r="L289" s="172"/>
      <c r="M289" s="172"/>
      <c r="N289" s="172"/>
      <c r="O289" s="172"/>
      <c r="P289" s="173"/>
      <c r="Q289" s="179"/>
      <c r="S289" s="175"/>
    </row>
    <row r="290" spans="2:37">
      <c r="C290" s="81" t="s">
        <v>27</v>
      </c>
      <c r="H290" s="4" t="s">
        <v>45</v>
      </c>
      <c r="J290" s="58" t="s">
        <v>34</v>
      </c>
      <c r="K290" s="172"/>
      <c r="L290" s="172"/>
      <c r="M290" s="172"/>
      <c r="N290" s="172"/>
      <c r="O290" s="172"/>
      <c r="P290" s="173"/>
      <c r="Q290" s="179"/>
      <c r="S290" s="175"/>
    </row>
    <row r="291" spans="2:37">
      <c r="C291" s="81" t="s">
        <v>27</v>
      </c>
      <c r="D291" s="151" t="s">
        <v>343</v>
      </c>
      <c r="E291" s="159" t="s">
        <v>37</v>
      </c>
      <c r="F291" s="160">
        <v>41795</v>
      </c>
      <c r="G291" s="186" t="s">
        <v>344</v>
      </c>
      <c r="H291" s="84" t="s">
        <v>48</v>
      </c>
      <c r="I291" s="177" t="s">
        <v>32</v>
      </c>
      <c r="J291" s="58" t="s">
        <v>33</v>
      </c>
      <c r="K291" s="10">
        <v>0.4</v>
      </c>
      <c r="L291" s="10">
        <v>1</v>
      </c>
      <c r="M291" s="10">
        <v>1</v>
      </c>
      <c r="N291" s="10">
        <v>-0.75</v>
      </c>
      <c r="O291" s="10">
        <v>-1</v>
      </c>
      <c r="P291" s="115">
        <v>180</v>
      </c>
      <c r="Q291" s="148">
        <f>N291+0.5*O291</f>
        <v>-1.25</v>
      </c>
      <c r="R291" s="163" t="s">
        <v>219</v>
      </c>
      <c r="S291" s="11">
        <v>24.74</v>
      </c>
    </row>
    <row r="292" spans="2:37">
      <c r="C292" s="81" t="s">
        <v>27</v>
      </c>
      <c r="H292" s="4" t="s">
        <v>48</v>
      </c>
      <c r="J292" s="58" t="s">
        <v>34</v>
      </c>
      <c r="K292" s="10">
        <v>0.2</v>
      </c>
      <c r="L292" s="10">
        <v>1</v>
      </c>
      <c r="M292" s="10">
        <v>1</v>
      </c>
      <c r="N292" s="10">
        <v>-1.75</v>
      </c>
      <c r="O292" s="10">
        <v>-0.75</v>
      </c>
      <c r="P292" s="115">
        <v>165</v>
      </c>
      <c r="Q292" s="148">
        <f>N292+0.5*O292</f>
        <v>-2.125</v>
      </c>
      <c r="S292" s="11">
        <v>24.97</v>
      </c>
    </row>
    <row r="293" ht="18" customHeight="1" spans="2:37">
      <c r="C293" s="81" t="s">
        <v>27</v>
      </c>
      <c r="D293" s="187" t="s">
        <v>345</v>
      </c>
      <c r="E293" s="188" t="s">
        <v>37</v>
      </c>
      <c r="F293" s="189">
        <v>42611</v>
      </c>
      <c r="G293" s="186" t="s">
        <v>346</v>
      </c>
      <c r="H293" s="84" t="s">
        <v>39</v>
      </c>
      <c r="I293" s="177" t="s">
        <v>32</v>
      </c>
      <c r="J293" s="58" t="s">
        <v>33</v>
      </c>
      <c r="K293" s="172"/>
      <c r="L293" s="172"/>
      <c r="M293" s="172"/>
      <c r="N293" s="172"/>
      <c r="O293" s="172"/>
      <c r="P293" s="173"/>
      <c r="Q293" s="179"/>
      <c r="R293" s="163" t="s">
        <v>219</v>
      </c>
      <c r="S293" s="11">
        <v>25</v>
      </c>
    </row>
    <row r="294" spans="2:37">
      <c r="C294" s="81" t="s">
        <v>27</v>
      </c>
      <c r="H294" s="4" t="s">
        <v>39</v>
      </c>
      <c r="J294" s="58" t="s">
        <v>34</v>
      </c>
      <c r="K294" s="172"/>
      <c r="L294" s="172"/>
      <c r="M294" s="172"/>
      <c r="N294" s="172"/>
      <c r="O294" s="172"/>
      <c r="P294" s="173"/>
      <c r="Q294" s="179"/>
      <c r="S294" s="11">
        <v>24.93</v>
      </c>
    </row>
    <row r="295" spans="2:37">
      <c r="B295" s="158">
        <v>45881</v>
      </c>
      <c r="C295" s="81" t="s">
        <v>139</v>
      </c>
      <c r="D295" s="151" t="s">
        <v>347</v>
      </c>
      <c r="E295" s="159" t="s">
        <v>29</v>
      </c>
      <c r="F295" s="160">
        <v>42190</v>
      </c>
      <c r="G295" s="186" t="s">
        <v>348</v>
      </c>
      <c r="H295" s="190" t="s">
        <v>31</v>
      </c>
      <c r="I295" s="81" t="s">
        <v>32</v>
      </c>
      <c r="J295" s="81" t="s">
        <v>33</v>
      </c>
      <c r="N295" s="10">
        <v>-1.75</v>
      </c>
      <c r="O295" s="10">
        <v>-1</v>
      </c>
      <c r="P295" s="115">
        <v>5</v>
      </c>
      <c r="Q295" s="148">
        <f t="shared" ref="Q295:Q334" si="5">N295+0.5*O295</f>
        <v>-2.25</v>
      </c>
      <c r="S295" s="11">
        <v>24.8</v>
      </c>
    </row>
    <row r="296" spans="2:37">
      <c r="C296" s="81" t="s">
        <v>139</v>
      </c>
      <c r="H296" s="191" t="s">
        <v>31</v>
      </c>
      <c r="J296" s="81" t="s">
        <v>34</v>
      </c>
      <c r="N296" s="10">
        <v>-0.75</v>
      </c>
      <c r="O296" s="10">
        <v>-1.25</v>
      </c>
      <c r="P296" s="115">
        <v>180</v>
      </c>
      <c r="Q296" s="148">
        <f t="shared" si="5"/>
        <v>-1.375</v>
      </c>
      <c r="S296" s="11">
        <v>24.53</v>
      </c>
    </row>
    <row r="297" spans="2:37">
      <c r="B297" s="158">
        <v>45903</v>
      </c>
      <c r="C297" s="81" t="s">
        <v>27</v>
      </c>
      <c r="D297" s="151" t="s">
        <v>349</v>
      </c>
      <c r="E297" s="159" t="s">
        <v>29</v>
      </c>
      <c r="F297" s="160">
        <v>41941</v>
      </c>
      <c r="G297" s="186" t="s">
        <v>350</v>
      </c>
      <c r="H297" s="84" t="s">
        <v>48</v>
      </c>
      <c r="I297" s="177" t="s">
        <v>32</v>
      </c>
      <c r="J297" s="58" t="s">
        <v>33</v>
      </c>
      <c r="K297" s="10">
        <v>0.5</v>
      </c>
      <c r="L297" s="10">
        <v>1</v>
      </c>
      <c r="M297" s="10">
        <v>1</v>
      </c>
      <c r="N297" s="10">
        <v>-1</v>
      </c>
      <c r="O297" s="10">
        <v>-0.5</v>
      </c>
      <c r="P297" s="115">
        <v>170</v>
      </c>
      <c r="Q297" s="148">
        <f t="shared" si="5"/>
        <v>-1.25</v>
      </c>
      <c r="S297" s="11">
        <v>23.68</v>
      </c>
      <c r="T297" s="11">
        <v>170</v>
      </c>
      <c r="U297" s="11">
        <v>120</v>
      </c>
      <c r="V297" s="11">
        <v>80</v>
      </c>
      <c r="W297" s="11">
        <v>45</v>
      </c>
    </row>
    <row r="298" spans="2:37">
      <c r="C298" s="81" t="s">
        <v>27</v>
      </c>
      <c r="H298" s="4" t="s">
        <v>48</v>
      </c>
      <c r="J298" s="58" t="s">
        <v>34</v>
      </c>
      <c r="K298" s="10">
        <v>0.6</v>
      </c>
      <c r="L298" s="10">
        <v>1</v>
      </c>
      <c r="M298" s="10">
        <v>1</v>
      </c>
      <c r="N298" s="10">
        <v>-0.75</v>
      </c>
      <c r="O298" s="10">
        <v>-0.25</v>
      </c>
      <c r="P298" s="115">
        <v>140</v>
      </c>
      <c r="Q298" s="148">
        <f t="shared" si="5"/>
        <v>-0.875</v>
      </c>
      <c r="S298" s="11">
        <v>23.49</v>
      </c>
      <c r="T298" s="11">
        <v>170</v>
      </c>
      <c r="U298" s="11">
        <v>120</v>
      </c>
      <c r="V298" s="11">
        <v>80</v>
      </c>
      <c r="W298" s="11">
        <v>45</v>
      </c>
    </row>
    <row r="299" spans="2:37">
      <c r="B299" s="158">
        <v>45906</v>
      </c>
      <c r="C299" s="81" t="s">
        <v>27</v>
      </c>
      <c r="D299" s="151" t="s">
        <v>351</v>
      </c>
      <c r="E299" s="159" t="s">
        <v>29</v>
      </c>
      <c r="F299" s="160">
        <v>42288</v>
      </c>
      <c r="G299" s="186" t="s">
        <v>352</v>
      </c>
      <c r="H299" s="84" t="s">
        <v>45</v>
      </c>
      <c r="I299" s="177" t="s">
        <v>32</v>
      </c>
      <c r="J299" s="58" t="s">
        <v>33</v>
      </c>
      <c r="K299" s="10">
        <v>0.25</v>
      </c>
      <c r="L299" s="10">
        <v>1</v>
      </c>
      <c r="M299" s="10">
        <v>1</v>
      </c>
      <c r="N299" s="10">
        <v>-3.25</v>
      </c>
      <c r="O299" s="10">
        <v>-0.25</v>
      </c>
      <c r="P299" s="115">
        <v>140</v>
      </c>
      <c r="Q299" s="148">
        <f t="shared" si="5"/>
        <v>-3.375</v>
      </c>
      <c r="R299" s="163" t="s">
        <v>219</v>
      </c>
      <c r="S299" s="11">
        <v>24.72</v>
      </c>
      <c r="T299" s="11">
        <v>170</v>
      </c>
      <c r="U299" s="11">
        <v>170</v>
      </c>
      <c r="V299" s="11">
        <v>60</v>
      </c>
      <c r="W299" s="11">
        <v>6</v>
      </c>
      <c r="AJ299" s="1">
        <v>2</v>
      </c>
      <c r="AK299" s="1">
        <v>1</v>
      </c>
    </row>
    <row r="300" spans="2:37">
      <c r="C300" s="81" t="s">
        <v>27</v>
      </c>
      <c r="H300" s="4" t="s">
        <v>45</v>
      </c>
      <c r="J300" s="58" t="s">
        <v>34</v>
      </c>
      <c r="K300" s="10">
        <v>0.5</v>
      </c>
      <c r="L300" s="10">
        <v>1</v>
      </c>
      <c r="M300" s="10">
        <v>1</v>
      </c>
      <c r="N300" s="10">
        <v>-3</v>
      </c>
      <c r="Q300" s="148">
        <f t="shared" si="5"/>
        <v>-3</v>
      </c>
      <c r="S300" s="11">
        <v>24.64</v>
      </c>
      <c r="T300" s="11">
        <v>170</v>
      </c>
      <c r="U300" s="11">
        <v>170</v>
      </c>
      <c r="V300" s="11">
        <v>80</v>
      </c>
      <c r="W300" s="11">
        <v>24</v>
      </c>
    </row>
    <row r="301" spans="2:37">
      <c r="B301" s="158">
        <v>45907</v>
      </c>
      <c r="C301" s="81" t="s">
        <v>27</v>
      </c>
      <c r="D301" s="151" t="s">
        <v>353</v>
      </c>
      <c r="E301" s="159" t="s">
        <v>29</v>
      </c>
      <c r="F301" s="160">
        <v>42094</v>
      </c>
      <c r="G301" s="186" t="s">
        <v>354</v>
      </c>
      <c r="H301" s="84" t="s">
        <v>31</v>
      </c>
      <c r="I301" s="81" t="s">
        <v>32</v>
      </c>
      <c r="J301" s="58" t="s">
        <v>33</v>
      </c>
      <c r="K301" s="10">
        <v>0.3</v>
      </c>
      <c r="L301" s="10">
        <v>1</v>
      </c>
      <c r="M301" s="10">
        <v>1</v>
      </c>
      <c r="N301" s="10">
        <v>-2</v>
      </c>
      <c r="O301" s="10">
        <v>-1.25</v>
      </c>
      <c r="P301" s="115">
        <v>170</v>
      </c>
      <c r="Q301" s="148">
        <f t="shared" si="5"/>
        <v>-2.625</v>
      </c>
      <c r="R301" s="163" t="s">
        <v>219</v>
      </c>
      <c r="S301" s="11">
        <v>23.64</v>
      </c>
      <c r="T301" s="11">
        <v>170</v>
      </c>
      <c r="U301" s="11">
        <v>170</v>
      </c>
      <c r="V301" s="11">
        <v>80</v>
      </c>
      <c r="W301" s="11">
        <v>45</v>
      </c>
    </row>
    <row r="302" spans="2:37">
      <c r="C302" s="81" t="s">
        <v>27</v>
      </c>
      <c r="H302" s="4" t="s">
        <v>31</v>
      </c>
      <c r="J302" s="58" t="s">
        <v>34</v>
      </c>
      <c r="K302" s="10">
        <v>0.3</v>
      </c>
      <c r="L302" s="10">
        <v>1</v>
      </c>
      <c r="M302" s="10">
        <v>1</v>
      </c>
      <c r="N302" s="10">
        <v>2</v>
      </c>
      <c r="O302" s="10">
        <v>-1.25</v>
      </c>
      <c r="P302" s="115">
        <v>170</v>
      </c>
      <c r="Q302" s="148">
        <f t="shared" si="5"/>
        <v>1.375</v>
      </c>
      <c r="S302" s="11">
        <v>23.86</v>
      </c>
      <c r="T302" s="11">
        <v>170</v>
      </c>
      <c r="U302" s="11">
        <v>170</v>
      </c>
      <c r="V302" s="11">
        <v>80</v>
      </c>
      <c r="W302" s="11">
        <v>45</v>
      </c>
    </row>
    <row r="303" spans="2:37">
      <c r="C303" s="81" t="s">
        <v>27</v>
      </c>
      <c r="D303" s="151" t="s">
        <v>355</v>
      </c>
      <c r="E303" s="159" t="s">
        <v>29</v>
      </c>
      <c r="F303" s="160">
        <v>42690</v>
      </c>
      <c r="G303" s="186" t="s">
        <v>356</v>
      </c>
      <c r="H303" s="84" t="s">
        <v>45</v>
      </c>
      <c r="I303" s="81" t="s">
        <v>32</v>
      </c>
      <c r="J303" s="58" t="s">
        <v>33</v>
      </c>
      <c r="K303" s="10">
        <v>0.2</v>
      </c>
      <c r="L303" s="10">
        <v>1</v>
      </c>
      <c r="M303" s="10">
        <v>1</v>
      </c>
      <c r="N303" s="10">
        <v>-2.75</v>
      </c>
      <c r="O303" s="10">
        <v>-0.5</v>
      </c>
      <c r="P303" s="115">
        <v>175</v>
      </c>
      <c r="Q303" s="148">
        <f t="shared" si="5"/>
        <v>-3</v>
      </c>
      <c r="R303" s="163" t="s">
        <v>222</v>
      </c>
      <c r="S303" s="11">
        <v>24.88</v>
      </c>
      <c r="T303" s="11">
        <v>170</v>
      </c>
      <c r="U303" s="11">
        <v>170</v>
      </c>
      <c r="V303" s="11">
        <v>120</v>
      </c>
      <c r="W303" s="11">
        <v>45</v>
      </c>
    </row>
    <row r="304" spans="2:37">
      <c r="C304" s="81" t="s">
        <v>27</v>
      </c>
      <c r="H304" s="4" t="s">
        <v>45</v>
      </c>
      <c r="J304" s="58" t="s">
        <v>34</v>
      </c>
      <c r="K304" s="10">
        <v>0.2</v>
      </c>
      <c r="L304" s="10">
        <v>1</v>
      </c>
      <c r="M304" s="10">
        <v>1</v>
      </c>
      <c r="N304" s="10">
        <v>-2.5</v>
      </c>
      <c r="O304" s="10">
        <v>-1</v>
      </c>
      <c r="P304" s="115">
        <v>170</v>
      </c>
      <c r="Q304" s="148">
        <f t="shared" si="5"/>
        <v>-3</v>
      </c>
      <c r="S304" s="11">
        <v>24.75</v>
      </c>
      <c r="T304" s="11">
        <v>45</v>
      </c>
      <c r="U304" s="11">
        <v>120</v>
      </c>
      <c r="V304" s="11">
        <v>6</v>
      </c>
      <c r="W304" s="11">
        <v>4</v>
      </c>
    </row>
    <row r="305" spans="2:23">
      <c r="B305" s="158">
        <v>45906</v>
      </c>
      <c r="C305" s="81" t="s">
        <v>27</v>
      </c>
      <c r="D305" s="151" t="s">
        <v>357</v>
      </c>
      <c r="E305" s="159" t="s">
        <v>37</v>
      </c>
      <c r="F305" s="160">
        <v>42449</v>
      </c>
      <c r="G305" s="186" t="s">
        <v>358</v>
      </c>
      <c r="H305" s="84" t="s">
        <v>48</v>
      </c>
      <c r="I305" s="81" t="s">
        <v>32</v>
      </c>
      <c r="J305" s="81" t="s">
        <v>33</v>
      </c>
      <c r="K305" s="10">
        <v>0.3</v>
      </c>
      <c r="L305" s="10">
        <v>1</v>
      </c>
      <c r="M305" s="10">
        <v>1</v>
      </c>
      <c r="N305" s="10">
        <v>-1.5</v>
      </c>
      <c r="O305" s="10">
        <v>-0.5</v>
      </c>
      <c r="P305" s="115">
        <v>180</v>
      </c>
      <c r="Q305" s="148">
        <f t="shared" si="5"/>
        <v>-1.75</v>
      </c>
      <c r="S305" s="11">
        <v>23.72</v>
      </c>
    </row>
    <row r="306" spans="2:23">
      <c r="C306" s="81" t="s">
        <v>27</v>
      </c>
      <c r="H306" s="4" t="s">
        <v>48</v>
      </c>
      <c r="J306" s="81" t="s">
        <v>34</v>
      </c>
      <c r="K306" s="10">
        <v>0.3</v>
      </c>
      <c r="L306" s="10">
        <v>1</v>
      </c>
      <c r="M306" s="10">
        <v>1</v>
      </c>
      <c r="N306" s="10">
        <v>-1.5</v>
      </c>
      <c r="O306" s="10">
        <v>-0.75</v>
      </c>
      <c r="P306" s="115">
        <v>180</v>
      </c>
      <c r="Q306" s="148">
        <f t="shared" si="5"/>
        <v>-1.875</v>
      </c>
      <c r="S306" s="11">
        <v>23.86</v>
      </c>
    </row>
    <row r="307" spans="2:23">
      <c r="B307" s="158">
        <v>45913</v>
      </c>
      <c r="C307" s="81" t="s">
        <v>27</v>
      </c>
      <c r="D307" s="151" t="s">
        <v>359</v>
      </c>
      <c r="E307" s="159" t="s">
        <v>29</v>
      </c>
      <c r="F307" s="160">
        <v>41983</v>
      </c>
      <c r="G307" s="186" t="s">
        <v>360</v>
      </c>
      <c r="H307" s="84" t="s">
        <v>31</v>
      </c>
      <c r="I307" s="81" t="s">
        <v>32</v>
      </c>
      <c r="J307" s="58" t="s">
        <v>33</v>
      </c>
      <c r="K307" s="10">
        <v>0.5</v>
      </c>
      <c r="L307" s="10">
        <v>1</v>
      </c>
      <c r="M307" s="10">
        <v>1</v>
      </c>
      <c r="N307" s="10">
        <v>-1.25</v>
      </c>
      <c r="O307" s="10">
        <v>-0.25</v>
      </c>
      <c r="P307" s="115">
        <v>170</v>
      </c>
      <c r="Q307" s="148">
        <f t="shared" si="5"/>
        <v>-1.375</v>
      </c>
      <c r="S307" s="11">
        <v>24</v>
      </c>
    </row>
    <row r="308" spans="2:23">
      <c r="C308" s="81" t="s">
        <v>27</v>
      </c>
      <c r="H308" s="4" t="s">
        <v>31</v>
      </c>
      <c r="J308" s="58" t="s">
        <v>34</v>
      </c>
      <c r="K308" s="10">
        <v>0.4</v>
      </c>
      <c r="L308" s="10">
        <v>1</v>
      </c>
      <c r="M308" s="10">
        <v>1</v>
      </c>
      <c r="N308" s="10">
        <v>-1.5</v>
      </c>
      <c r="O308" s="10">
        <v>-0.5</v>
      </c>
      <c r="P308" s="115">
        <v>165</v>
      </c>
      <c r="Q308" s="148">
        <f t="shared" si="5"/>
        <v>-1.75</v>
      </c>
      <c r="S308" s="11">
        <v>24.19</v>
      </c>
    </row>
    <row r="309" spans="2:23">
      <c r="B309" s="158">
        <v>45913</v>
      </c>
      <c r="C309" s="81" t="s">
        <v>27</v>
      </c>
      <c r="D309" s="151" t="s">
        <v>361</v>
      </c>
      <c r="E309" s="159" t="s">
        <v>29</v>
      </c>
      <c r="F309" s="160">
        <v>41539</v>
      </c>
      <c r="G309" s="186" t="s">
        <v>362</v>
      </c>
      <c r="H309" s="84" t="s">
        <v>48</v>
      </c>
      <c r="I309" s="81" t="s">
        <v>32</v>
      </c>
      <c r="J309" s="58" t="s">
        <v>33</v>
      </c>
      <c r="K309" s="10">
        <v>0.5</v>
      </c>
      <c r="L309" s="10">
        <v>1</v>
      </c>
      <c r="M309" s="10">
        <v>1</v>
      </c>
      <c r="N309" s="10">
        <v>-1</v>
      </c>
      <c r="O309" s="10">
        <v>-0.25</v>
      </c>
      <c r="P309" s="115">
        <v>180</v>
      </c>
      <c r="Q309" s="148">
        <f t="shared" si="5"/>
        <v>-1.125</v>
      </c>
      <c r="S309" s="11">
        <v>23.53</v>
      </c>
      <c r="T309" s="11">
        <v>170</v>
      </c>
      <c r="U309" s="11">
        <v>170</v>
      </c>
      <c r="V309" s="11">
        <v>120</v>
      </c>
      <c r="W309" s="11">
        <v>45</v>
      </c>
    </row>
    <row r="310" spans="2:23">
      <c r="C310" s="81" t="s">
        <v>27</v>
      </c>
      <c r="H310" s="4" t="s">
        <v>48</v>
      </c>
      <c r="J310" s="58" t="s">
        <v>34</v>
      </c>
      <c r="K310" s="10">
        <v>0.5</v>
      </c>
      <c r="L310" s="10">
        <v>1</v>
      </c>
      <c r="M310" s="10">
        <v>1</v>
      </c>
      <c r="N310" s="10">
        <v>-0.5</v>
      </c>
      <c r="O310" s="10">
        <v>-1.25</v>
      </c>
      <c r="P310" s="115">
        <v>160</v>
      </c>
      <c r="Q310" s="148">
        <f t="shared" si="5"/>
        <v>-1.125</v>
      </c>
      <c r="S310" s="11">
        <v>23.58</v>
      </c>
      <c r="T310" s="11">
        <v>170</v>
      </c>
      <c r="U310" s="11">
        <v>170</v>
      </c>
      <c r="V310" s="11">
        <v>120</v>
      </c>
      <c r="W310" s="11">
        <v>45</v>
      </c>
    </row>
    <row r="311" spans="2:23">
      <c r="C311" s="81" t="s">
        <v>27</v>
      </c>
      <c r="D311" s="151" t="s">
        <v>363</v>
      </c>
      <c r="E311" s="159" t="s">
        <v>37</v>
      </c>
      <c r="F311" s="160">
        <v>43151</v>
      </c>
      <c r="G311" s="186" t="s">
        <v>364</v>
      </c>
      <c r="H311" s="84" t="s">
        <v>39</v>
      </c>
      <c r="I311" s="81" t="s">
        <v>32</v>
      </c>
      <c r="J311" s="58" t="s">
        <v>33</v>
      </c>
      <c r="K311" s="10">
        <v>-2</v>
      </c>
      <c r="L311" s="10">
        <v>-1.5</v>
      </c>
      <c r="M311" s="115">
        <v>5</v>
      </c>
      <c r="N311" s="10">
        <v>-2</v>
      </c>
      <c r="O311" s="10">
        <v>-1.5</v>
      </c>
      <c r="P311" s="115">
        <v>5</v>
      </c>
      <c r="Q311" s="148">
        <f t="shared" si="5"/>
        <v>-2.75</v>
      </c>
      <c r="R311" s="163" t="s">
        <v>222</v>
      </c>
      <c r="S311" s="11">
        <v>25.58</v>
      </c>
      <c r="T311" s="11">
        <v>170</v>
      </c>
      <c r="U311" s="11">
        <v>60</v>
      </c>
      <c r="V311" s="11">
        <v>35</v>
      </c>
      <c r="W311" s="11">
        <v>3</v>
      </c>
    </row>
    <row r="312" spans="2:23">
      <c r="C312" s="81" t="s">
        <v>27</v>
      </c>
      <c r="H312" s="4" t="s">
        <v>39</v>
      </c>
      <c r="J312" s="58" t="s">
        <v>34</v>
      </c>
      <c r="K312" s="10">
        <v>-0.5</v>
      </c>
      <c r="L312" s="10">
        <v>-1.5</v>
      </c>
      <c r="M312" s="115">
        <v>180</v>
      </c>
      <c r="N312" s="10">
        <v>-0.5</v>
      </c>
      <c r="O312" s="10">
        <v>-1.5</v>
      </c>
      <c r="P312" s="115">
        <v>180</v>
      </c>
      <c r="Q312" s="148">
        <f t="shared" si="5"/>
        <v>-1.25</v>
      </c>
      <c r="S312" s="11">
        <v>25.14</v>
      </c>
      <c r="T312" s="11">
        <v>170</v>
      </c>
      <c r="U312" s="11">
        <v>120</v>
      </c>
      <c r="V312" s="11">
        <v>45</v>
      </c>
      <c r="W312" s="11">
        <v>3</v>
      </c>
    </row>
    <row r="313" spans="2:23">
      <c r="B313" s="158">
        <v>45910</v>
      </c>
      <c r="C313" s="81" t="s">
        <v>27</v>
      </c>
      <c r="D313" s="192" t="s">
        <v>365</v>
      </c>
      <c r="E313" s="159" t="s">
        <v>37</v>
      </c>
      <c r="F313" s="160">
        <v>43277</v>
      </c>
      <c r="G313" s="186" t="s">
        <v>366</v>
      </c>
      <c r="H313" s="84" t="s">
        <v>48</v>
      </c>
      <c r="I313" s="81" t="s">
        <v>32</v>
      </c>
      <c r="J313" s="81" t="s">
        <v>33</v>
      </c>
      <c r="K313" s="10">
        <v>0.4</v>
      </c>
      <c r="L313" s="10">
        <v>1</v>
      </c>
      <c r="M313" s="10">
        <v>1</v>
      </c>
      <c r="N313" s="10">
        <v>-1.75</v>
      </c>
      <c r="O313" s="10">
        <v>0</v>
      </c>
      <c r="P313" s="115">
        <v>0</v>
      </c>
      <c r="Q313" s="148">
        <f t="shared" si="5"/>
        <v>-1.75</v>
      </c>
      <c r="R313" s="163" t="s">
        <v>219</v>
      </c>
      <c r="S313" s="11">
        <v>23.61</v>
      </c>
      <c r="T313" s="11">
        <v>170</v>
      </c>
      <c r="U313" s="11">
        <v>0</v>
      </c>
      <c r="V313" s="11">
        <v>0</v>
      </c>
      <c r="W313" s="11">
        <v>0</v>
      </c>
    </row>
    <row r="314" spans="2:23">
      <c r="C314" s="81" t="s">
        <v>27</v>
      </c>
      <c r="H314" s="4" t="s">
        <v>48</v>
      </c>
      <c r="J314" s="81" t="s">
        <v>34</v>
      </c>
      <c r="K314" s="10">
        <v>0.5</v>
      </c>
      <c r="L314" s="10">
        <v>1</v>
      </c>
      <c r="M314" s="10">
        <v>1</v>
      </c>
      <c r="N314" s="10">
        <v>-2.5</v>
      </c>
      <c r="O314" s="10">
        <v>0</v>
      </c>
      <c r="P314" s="115">
        <v>0</v>
      </c>
      <c r="Q314" s="148">
        <f t="shared" si="5"/>
        <v>-2.5</v>
      </c>
      <c r="S314" s="11">
        <v>24</v>
      </c>
      <c r="T314" s="11">
        <v>170</v>
      </c>
      <c r="U314" s="11">
        <v>0</v>
      </c>
      <c r="V314" s="11">
        <v>0</v>
      </c>
      <c r="W314" s="11">
        <v>0</v>
      </c>
    </row>
    <row r="315" spans="2:23">
      <c r="C315" s="81" t="s">
        <v>27</v>
      </c>
      <c r="D315" s="151" t="s">
        <v>367</v>
      </c>
      <c r="E315" s="159" t="s">
        <v>29</v>
      </c>
      <c r="F315" s="160">
        <v>41939</v>
      </c>
      <c r="G315" s="186" t="s">
        <v>368</v>
      </c>
      <c r="H315" s="93" t="s">
        <v>45</v>
      </c>
      <c r="I315" s="81" t="s">
        <v>32</v>
      </c>
      <c r="J315" s="81" t="s">
        <v>33</v>
      </c>
      <c r="N315" s="10">
        <v>-1</v>
      </c>
      <c r="O315" s="10">
        <v>0</v>
      </c>
      <c r="P315" s="115">
        <v>0</v>
      </c>
      <c r="Q315" s="148">
        <f t="shared" si="5"/>
        <v>-1</v>
      </c>
      <c r="R315" s="163" t="s">
        <v>219</v>
      </c>
      <c r="S315" s="11">
        <v>24.19</v>
      </c>
      <c r="T315" s="11">
        <v>170</v>
      </c>
      <c r="U315" s="11">
        <v>170</v>
      </c>
      <c r="V315" s="11">
        <v>35</v>
      </c>
      <c r="W315" s="11">
        <v>15</v>
      </c>
    </row>
    <row r="316" spans="2:23">
      <c r="C316" s="81" t="s">
        <v>27</v>
      </c>
      <c r="H316" s="4" t="s">
        <v>45</v>
      </c>
      <c r="J316" s="81" t="s">
        <v>34</v>
      </c>
      <c r="N316" s="10">
        <v>-1</v>
      </c>
      <c r="O316" s="10">
        <v>-0.5</v>
      </c>
      <c r="P316" s="115">
        <v>160</v>
      </c>
      <c r="Q316" s="148">
        <f t="shared" si="5"/>
        <v>-1.25</v>
      </c>
      <c r="S316" s="11">
        <v>24.09</v>
      </c>
      <c r="T316" s="11">
        <v>170</v>
      </c>
      <c r="U316" s="11">
        <v>170</v>
      </c>
      <c r="V316" s="11">
        <v>120</v>
      </c>
      <c r="W316" s="11">
        <v>15</v>
      </c>
    </row>
    <row r="317" spans="2:23">
      <c r="B317" s="158"/>
      <c r="C317" s="81" t="s">
        <v>27</v>
      </c>
      <c r="D317" s="151" t="s">
        <v>369</v>
      </c>
      <c r="E317" s="159" t="s">
        <v>29</v>
      </c>
      <c r="F317" s="153">
        <v>42706</v>
      </c>
      <c r="G317" s="186" t="s">
        <v>370</v>
      </c>
      <c r="H317" s="93" t="s">
        <v>31</v>
      </c>
      <c r="I317" s="81" t="s">
        <v>32</v>
      </c>
      <c r="J317" s="81" t="s">
        <v>33</v>
      </c>
      <c r="K317" s="10">
        <v>0.4</v>
      </c>
      <c r="L317" s="161">
        <v>1</v>
      </c>
      <c r="M317" s="161">
        <v>1</v>
      </c>
      <c r="N317" s="10">
        <v>-1.75</v>
      </c>
      <c r="O317" s="10">
        <v>0</v>
      </c>
      <c r="P317" s="115">
        <v>0</v>
      </c>
      <c r="Q317" s="148">
        <f t="shared" si="5"/>
        <v>-1.75</v>
      </c>
      <c r="R317" s="163" t="s">
        <v>219</v>
      </c>
      <c r="S317" s="11">
        <v>23.43</v>
      </c>
      <c r="T317" s="11">
        <v>170</v>
      </c>
      <c r="U317" s="11">
        <v>170</v>
      </c>
      <c r="V317" s="11">
        <v>60</v>
      </c>
      <c r="W317" s="11">
        <v>24</v>
      </c>
    </row>
    <row r="318" spans="2:23">
      <c r="C318" s="81" t="s">
        <v>27</v>
      </c>
      <c r="H318" s="4" t="s">
        <v>31</v>
      </c>
      <c r="J318" s="81" t="s">
        <v>34</v>
      </c>
      <c r="K318" s="10">
        <v>0.4</v>
      </c>
      <c r="L318" s="161">
        <v>1</v>
      </c>
      <c r="M318" s="161">
        <v>1</v>
      </c>
      <c r="N318" s="10">
        <v>-1.5</v>
      </c>
      <c r="O318" s="10">
        <v>-0.25</v>
      </c>
      <c r="P318" s="115">
        <v>25</v>
      </c>
      <c r="Q318" s="148">
        <f t="shared" si="5"/>
        <v>-1.625</v>
      </c>
      <c r="S318" s="11">
        <v>23.44</v>
      </c>
      <c r="T318" s="11">
        <v>170</v>
      </c>
      <c r="U318" s="11">
        <v>170</v>
      </c>
      <c r="V318" s="11">
        <v>60</v>
      </c>
      <c r="W318" s="11">
        <v>24</v>
      </c>
    </row>
    <row r="319" spans="2:23">
      <c r="C319" s="81" t="s">
        <v>27</v>
      </c>
      <c r="D319" s="151" t="s">
        <v>371</v>
      </c>
      <c r="E319" s="159" t="s">
        <v>29</v>
      </c>
      <c r="F319" s="160">
        <v>42679</v>
      </c>
      <c r="G319" s="186" t="s">
        <v>372</v>
      </c>
      <c r="H319" s="84" t="s">
        <v>45</v>
      </c>
      <c r="I319" s="81" t="s">
        <v>32</v>
      </c>
      <c r="J319" s="58" t="s">
        <v>33</v>
      </c>
      <c r="K319" s="10">
        <v>0.8</v>
      </c>
      <c r="L319" s="10">
        <v>1</v>
      </c>
      <c r="M319" s="10">
        <v>1</v>
      </c>
      <c r="N319" s="10">
        <v>-1</v>
      </c>
      <c r="O319" s="10">
        <v>0</v>
      </c>
      <c r="P319" s="115">
        <v>0</v>
      </c>
      <c r="Q319" s="148">
        <f t="shared" si="5"/>
        <v>-1</v>
      </c>
      <c r="R319" s="163" t="s">
        <v>222</v>
      </c>
      <c r="S319" s="11">
        <v>23.65</v>
      </c>
      <c r="T319" s="11">
        <v>170</v>
      </c>
      <c r="U319" s="11">
        <v>170</v>
      </c>
      <c r="V319" s="11">
        <v>80</v>
      </c>
      <c r="W319" s="11">
        <v>65</v>
      </c>
    </row>
    <row r="320" spans="2:23">
      <c r="C320" s="81" t="s">
        <v>27</v>
      </c>
      <c r="H320" s="4" t="s">
        <v>45</v>
      </c>
      <c r="J320" s="58" t="s">
        <v>34</v>
      </c>
      <c r="K320" s="10">
        <v>0.8</v>
      </c>
      <c r="L320" s="10">
        <v>1</v>
      </c>
      <c r="M320" s="10">
        <v>1</v>
      </c>
      <c r="N320" s="10">
        <v>-0.75</v>
      </c>
      <c r="O320" s="10">
        <v>-0.5</v>
      </c>
      <c r="P320" s="115">
        <v>180</v>
      </c>
      <c r="Q320" s="148">
        <f t="shared" si="5"/>
        <v>-1</v>
      </c>
      <c r="S320" s="11">
        <v>23.76</v>
      </c>
      <c r="T320" s="11">
        <v>170</v>
      </c>
      <c r="U320" s="11">
        <v>170</v>
      </c>
      <c r="V320" s="11">
        <v>120</v>
      </c>
      <c r="W320" s="11">
        <v>0</v>
      </c>
    </row>
    <row r="321" spans="1:23">
      <c r="C321" s="81" t="s">
        <v>27</v>
      </c>
      <c r="D321" s="111" t="s">
        <v>373</v>
      </c>
      <c r="E321" s="112" t="s">
        <v>37</v>
      </c>
      <c r="F321" s="160">
        <v>42459</v>
      </c>
      <c r="G321" s="186" t="s">
        <v>374</v>
      </c>
      <c r="H321" s="84" t="s">
        <v>31</v>
      </c>
      <c r="I321" s="81" t="s">
        <v>32</v>
      </c>
      <c r="J321" s="58" t="s">
        <v>33</v>
      </c>
      <c r="K321" s="10">
        <v>-3.5</v>
      </c>
      <c r="L321" s="10">
        <v>-1</v>
      </c>
      <c r="M321" s="115">
        <v>180</v>
      </c>
      <c r="N321" s="10">
        <v>-3.5</v>
      </c>
      <c r="O321" s="10">
        <v>-1</v>
      </c>
      <c r="P321" s="115">
        <v>180</v>
      </c>
      <c r="Q321" s="148">
        <f t="shared" si="5"/>
        <v>-4</v>
      </c>
      <c r="R321" s="163" t="s">
        <v>197</v>
      </c>
      <c r="S321" s="11">
        <v>25.73</v>
      </c>
      <c r="T321" s="11">
        <v>170</v>
      </c>
      <c r="U321" s="11">
        <v>170</v>
      </c>
      <c r="V321" s="11">
        <v>120</v>
      </c>
      <c r="W321" s="11">
        <v>45</v>
      </c>
    </row>
    <row r="322" spans="1:23">
      <c r="C322" s="81" t="s">
        <v>27</v>
      </c>
      <c r="H322" s="4" t="s">
        <v>31</v>
      </c>
      <c r="J322" s="58" t="s">
        <v>34</v>
      </c>
      <c r="K322" s="10">
        <v>-2.25</v>
      </c>
      <c r="L322" s="10">
        <v>-1.75</v>
      </c>
      <c r="M322" s="115">
        <v>10</v>
      </c>
      <c r="N322" s="10">
        <v>-2.25</v>
      </c>
      <c r="O322" s="10">
        <v>-1.75</v>
      </c>
      <c r="P322" s="115">
        <v>10</v>
      </c>
      <c r="Q322" s="148">
        <f t="shared" si="5"/>
        <v>-3.125</v>
      </c>
      <c r="S322" s="11">
        <v>25.31</v>
      </c>
      <c r="T322" s="163">
        <v>170</v>
      </c>
      <c r="U322" s="163">
        <v>170</v>
      </c>
      <c r="V322" s="163">
        <v>120</v>
      </c>
      <c r="W322" s="163">
        <v>65</v>
      </c>
    </row>
    <row r="323" ht="18" customHeight="1" spans="1:23">
      <c r="C323" s="81" t="s">
        <v>27</v>
      </c>
      <c r="D323" s="187" t="s">
        <v>375</v>
      </c>
      <c r="E323" s="188" t="s">
        <v>29</v>
      </c>
      <c r="F323" s="189">
        <v>42773</v>
      </c>
      <c r="G323" s="193" t="s">
        <v>376</v>
      </c>
      <c r="H323" s="93" t="s">
        <v>31</v>
      </c>
      <c r="I323" s="81" t="s">
        <v>32</v>
      </c>
      <c r="J323" s="81" t="s">
        <v>33</v>
      </c>
      <c r="K323" s="10">
        <v>0.5</v>
      </c>
      <c r="L323" s="10">
        <v>1</v>
      </c>
      <c r="M323" s="10">
        <v>1</v>
      </c>
      <c r="N323" s="10">
        <v>-0.75</v>
      </c>
      <c r="O323" s="10">
        <v>-0.75</v>
      </c>
      <c r="P323" s="115">
        <v>170</v>
      </c>
      <c r="Q323" s="148">
        <f t="shared" si="5"/>
        <v>-1.125</v>
      </c>
      <c r="R323" s="163" t="s">
        <v>219</v>
      </c>
      <c r="S323" s="11">
        <v>22.9</v>
      </c>
      <c r="T323" s="11">
        <v>170</v>
      </c>
      <c r="U323" s="11">
        <v>170</v>
      </c>
      <c r="V323" s="11">
        <v>9</v>
      </c>
      <c r="W323" s="11">
        <v>6</v>
      </c>
    </row>
    <row r="324" spans="1:23">
      <c r="C324" s="81" t="s">
        <v>27</v>
      </c>
      <c r="H324" s="4" t="s">
        <v>31</v>
      </c>
      <c r="J324" s="81" t="s">
        <v>34</v>
      </c>
      <c r="K324" s="10">
        <v>0.4</v>
      </c>
      <c r="L324" s="10">
        <v>1</v>
      </c>
      <c r="M324" s="10">
        <v>1</v>
      </c>
      <c r="N324" s="10">
        <v>-1</v>
      </c>
      <c r="O324" s="10">
        <v>-0.25</v>
      </c>
      <c r="P324" s="115">
        <v>180</v>
      </c>
      <c r="Q324" s="148">
        <f t="shared" si="5"/>
        <v>-1.125</v>
      </c>
      <c r="S324" s="11">
        <v>22.97</v>
      </c>
      <c r="T324" s="11">
        <v>170</v>
      </c>
      <c r="U324" s="11">
        <v>170</v>
      </c>
      <c r="V324" s="11">
        <v>6</v>
      </c>
      <c r="W324" s="11">
        <v>6</v>
      </c>
    </row>
    <row r="325" ht="18" customHeight="1" spans="1:23">
      <c r="C325" s="81" t="s">
        <v>27</v>
      </c>
      <c r="D325" s="187" t="s">
        <v>377</v>
      </c>
      <c r="E325" s="188" t="s">
        <v>29</v>
      </c>
      <c r="F325" s="189">
        <v>42426</v>
      </c>
      <c r="G325" s="193" t="s">
        <v>378</v>
      </c>
      <c r="H325" s="4" t="s">
        <v>48</v>
      </c>
      <c r="I325" s="81" t="s">
        <v>32</v>
      </c>
      <c r="J325" s="81" t="s">
        <v>33</v>
      </c>
      <c r="K325" s="10">
        <v>0.5</v>
      </c>
      <c r="L325" s="10">
        <v>1</v>
      </c>
      <c r="M325" s="10">
        <v>1</v>
      </c>
      <c r="N325" s="10">
        <v>-1.75</v>
      </c>
      <c r="O325" s="10">
        <v>0</v>
      </c>
      <c r="P325" s="115">
        <v>0</v>
      </c>
      <c r="Q325" s="148">
        <f t="shared" si="5"/>
        <v>-1.75</v>
      </c>
      <c r="R325" s="163" t="s">
        <v>219</v>
      </c>
      <c r="S325" s="11">
        <v>23.79</v>
      </c>
      <c r="T325" s="11">
        <v>170</v>
      </c>
      <c r="U325" s="11">
        <v>170</v>
      </c>
      <c r="V325" s="11">
        <v>60</v>
      </c>
      <c r="W325" s="11">
        <v>24</v>
      </c>
    </row>
    <row r="326" spans="1:23">
      <c r="C326" s="81" t="s">
        <v>27</v>
      </c>
      <c r="H326" s="95" t="s">
        <v>48</v>
      </c>
      <c r="J326" s="81" t="s">
        <v>34</v>
      </c>
      <c r="K326" s="161">
        <v>0.5</v>
      </c>
      <c r="L326" s="10">
        <v>1</v>
      </c>
      <c r="M326" s="10">
        <v>1</v>
      </c>
      <c r="N326" s="10">
        <v>-1.25</v>
      </c>
      <c r="O326" s="10">
        <v>-0.75</v>
      </c>
      <c r="P326" s="115">
        <v>160</v>
      </c>
      <c r="Q326" s="148">
        <f t="shared" si="5"/>
        <v>-1.625</v>
      </c>
      <c r="S326" s="11">
        <v>23.74</v>
      </c>
      <c r="T326" s="11">
        <v>120</v>
      </c>
      <c r="U326" s="11">
        <v>120</v>
      </c>
      <c r="V326" s="11">
        <v>25</v>
      </c>
      <c r="W326" s="11">
        <v>8</v>
      </c>
    </row>
    <row r="327" spans="1:23">
      <c r="C327" s="81" t="s">
        <v>27</v>
      </c>
      <c r="D327" s="151" t="s">
        <v>379</v>
      </c>
      <c r="E327" s="159" t="s">
        <v>37</v>
      </c>
      <c r="F327" s="160">
        <v>41839</v>
      </c>
      <c r="G327" s="186" t="s">
        <v>380</v>
      </c>
      <c r="H327" s="84" t="s">
        <v>31</v>
      </c>
      <c r="I327" s="81" t="s">
        <v>32</v>
      </c>
      <c r="J327" s="81" t="s">
        <v>33</v>
      </c>
      <c r="K327" s="10">
        <v>0.6</v>
      </c>
      <c r="L327" s="10">
        <v>1</v>
      </c>
      <c r="M327" s="10">
        <v>1</v>
      </c>
      <c r="N327" s="10">
        <v>-0.25</v>
      </c>
      <c r="O327" s="10">
        <v>-1.5</v>
      </c>
      <c r="P327" s="115">
        <v>180</v>
      </c>
      <c r="Q327" s="148">
        <f t="shared" si="5"/>
        <v>-1</v>
      </c>
      <c r="R327" s="163" t="s">
        <v>219</v>
      </c>
      <c r="S327" s="11">
        <v>24.51</v>
      </c>
    </row>
    <row r="328" spans="1:23">
      <c r="C328" s="81" t="s">
        <v>27</v>
      </c>
      <c r="H328" s="95" t="s">
        <v>31</v>
      </c>
      <c r="J328" s="81" t="s">
        <v>34</v>
      </c>
      <c r="K328" s="10">
        <v>0.6</v>
      </c>
      <c r="L328" s="10">
        <v>1</v>
      </c>
      <c r="M328" s="10">
        <v>1</v>
      </c>
      <c r="N328" s="10">
        <v>-0.5</v>
      </c>
      <c r="O328" s="10">
        <v>-1.25</v>
      </c>
      <c r="P328" s="115">
        <v>175</v>
      </c>
      <c r="Q328" s="148">
        <f t="shared" si="5"/>
        <v>-1.125</v>
      </c>
      <c r="S328" s="11">
        <v>24.63</v>
      </c>
    </row>
    <row r="329" spans="1:23">
      <c r="C329" s="81" t="s">
        <v>27</v>
      </c>
      <c r="D329" s="151" t="s">
        <v>381</v>
      </c>
      <c r="E329" s="159" t="s">
        <v>29</v>
      </c>
      <c r="F329" s="160">
        <v>42093</v>
      </c>
      <c r="G329" s="186" t="s">
        <v>382</v>
      </c>
      <c r="H329" s="95" t="s">
        <v>31</v>
      </c>
      <c r="I329" s="81" t="s">
        <v>32</v>
      </c>
      <c r="J329" s="81" t="s">
        <v>33</v>
      </c>
      <c r="N329" s="10">
        <v>-1.75</v>
      </c>
      <c r="O329" s="10">
        <v>0</v>
      </c>
      <c r="P329" s="115">
        <v>0</v>
      </c>
      <c r="Q329" s="148">
        <f t="shared" si="5"/>
        <v>-1.75</v>
      </c>
      <c r="R329" s="163" t="s">
        <v>219</v>
      </c>
      <c r="S329" s="11">
        <v>24.05</v>
      </c>
      <c r="T329" s="11">
        <v>170</v>
      </c>
      <c r="U329" s="11">
        <v>170</v>
      </c>
      <c r="V329" s="11">
        <v>60</v>
      </c>
      <c r="W329" s="11">
        <v>0</v>
      </c>
    </row>
    <row r="330" spans="1:23">
      <c r="C330" s="81" t="s">
        <v>27</v>
      </c>
      <c r="H330" s="95" t="s">
        <v>31</v>
      </c>
      <c r="J330" s="81" t="s">
        <v>34</v>
      </c>
      <c r="N330" s="10">
        <v>-1.75</v>
      </c>
      <c r="O330" s="10">
        <v>0</v>
      </c>
      <c r="P330" s="115">
        <v>0</v>
      </c>
      <c r="Q330" s="148">
        <f t="shared" si="5"/>
        <v>-1.75</v>
      </c>
      <c r="S330" s="11">
        <v>23.98</v>
      </c>
      <c r="T330" s="11">
        <v>170</v>
      </c>
      <c r="U330" s="11">
        <v>170</v>
      </c>
      <c r="V330" s="11">
        <v>60</v>
      </c>
      <c r="W330" s="11">
        <v>0</v>
      </c>
    </row>
    <row r="331" ht="18" customHeight="1" spans="1:23">
      <c r="C331" s="81" t="s">
        <v>27</v>
      </c>
      <c r="D331" s="187" t="s">
        <v>383</v>
      </c>
      <c r="E331" s="188" t="s">
        <v>29</v>
      </c>
      <c r="F331" s="189">
        <v>41808</v>
      </c>
      <c r="G331" s="193" t="s">
        <v>384</v>
      </c>
      <c r="H331" s="95" t="s">
        <v>48</v>
      </c>
      <c r="I331" s="81" t="s">
        <v>32</v>
      </c>
      <c r="J331" s="81" t="s">
        <v>33</v>
      </c>
      <c r="N331" s="10">
        <v>-2</v>
      </c>
      <c r="O331" s="10">
        <v>-1</v>
      </c>
      <c r="P331" s="115">
        <v>170</v>
      </c>
      <c r="Q331" s="148">
        <f t="shared" si="5"/>
        <v>-2.5</v>
      </c>
      <c r="R331" s="163" t="s">
        <v>219</v>
      </c>
      <c r="S331" s="11">
        <v>25.59</v>
      </c>
      <c r="T331" s="11">
        <v>170</v>
      </c>
      <c r="U331" s="11">
        <v>170</v>
      </c>
      <c r="V331" s="11">
        <v>120</v>
      </c>
      <c r="W331" s="11">
        <v>15</v>
      </c>
    </row>
    <row r="332" spans="1:23">
      <c r="C332" s="81" t="s">
        <v>27</v>
      </c>
      <c r="H332" s="95" t="s">
        <v>48</v>
      </c>
      <c r="J332" s="81" t="s">
        <v>34</v>
      </c>
      <c r="N332" s="10">
        <v>-3.25</v>
      </c>
      <c r="O332" s="10">
        <v>-1.5</v>
      </c>
      <c r="P332" s="115">
        <v>5</v>
      </c>
      <c r="Q332" s="148">
        <f t="shared" si="5"/>
        <v>-4</v>
      </c>
      <c r="S332" s="11">
        <v>25.91</v>
      </c>
      <c r="T332" s="11">
        <v>170</v>
      </c>
      <c r="U332" s="11">
        <v>170</v>
      </c>
      <c r="V332" s="11">
        <v>120</v>
      </c>
      <c r="W332" s="11">
        <v>3</v>
      </c>
    </row>
    <row r="333" spans="1:23">
      <c r="B333" s="158">
        <v>45900</v>
      </c>
      <c r="C333" s="81" t="s">
        <v>139</v>
      </c>
      <c r="D333" s="151" t="s">
        <v>385</v>
      </c>
      <c r="E333" s="159" t="s">
        <v>37</v>
      </c>
      <c r="F333" s="159" t="s">
        <v>386</v>
      </c>
      <c r="G333" s="186" t="s">
        <v>387</v>
      </c>
      <c r="H333" s="84" t="s">
        <v>45</v>
      </c>
      <c r="I333" s="81" t="s">
        <v>32</v>
      </c>
      <c r="J333" s="81" t="s">
        <v>33</v>
      </c>
      <c r="K333" s="10">
        <v>0.8</v>
      </c>
      <c r="L333" s="161">
        <v>1</v>
      </c>
      <c r="M333" s="172"/>
      <c r="N333" s="10">
        <v>-1.5</v>
      </c>
      <c r="O333" s="10">
        <v>-1</v>
      </c>
      <c r="P333" s="115">
        <v>10</v>
      </c>
      <c r="Q333" s="148">
        <f t="shared" si="5"/>
        <v>-2</v>
      </c>
      <c r="R333" s="163" t="s">
        <v>34</v>
      </c>
      <c r="S333" s="11">
        <v>25.4</v>
      </c>
      <c r="T333" s="11">
        <v>6</v>
      </c>
      <c r="U333" s="11">
        <v>4</v>
      </c>
      <c r="V333" s="11">
        <v>5</v>
      </c>
      <c r="W333" s="11">
        <v>5</v>
      </c>
    </row>
    <row r="334" spans="1:23">
      <c r="B334" s="158"/>
      <c r="C334" s="81" t="s">
        <v>139</v>
      </c>
      <c r="D334" s="151"/>
      <c r="E334" s="159"/>
      <c r="F334" s="159"/>
      <c r="G334" s="186"/>
      <c r="H334" s="4" t="s">
        <v>45</v>
      </c>
      <c r="I334" s="81"/>
      <c r="J334" s="81" t="s">
        <v>34</v>
      </c>
      <c r="K334" s="10">
        <v>0.6</v>
      </c>
      <c r="L334" s="10">
        <v>1</v>
      </c>
      <c r="M334" s="172"/>
      <c r="Q334" s="148">
        <f t="shared" si="5"/>
        <v>0</v>
      </c>
      <c r="S334" s="11">
        <v>25.65</v>
      </c>
      <c r="T334" s="11">
        <v>7</v>
      </c>
      <c r="U334" s="11">
        <v>6</v>
      </c>
      <c r="V334" s="11">
        <v>7</v>
      </c>
      <c r="W334" s="11">
        <v>6</v>
      </c>
    </row>
    <row r="335" ht="18" customHeight="1" spans="1:23">
      <c r="A335" s="194"/>
      <c r="B335" s="195"/>
      <c r="C335" s="96" t="s">
        <v>27</v>
      </c>
      <c r="D335" s="187" t="s">
        <v>388</v>
      </c>
      <c r="E335" s="188" t="s">
        <v>29</v>
      </c>
      <c r="F335" s="189">
        <v>41059</v>
      </c>
      <c r="G335" s="196" t="s">
        <v>389</v>
      </c>
      <c r="H335" s="95" t="s">
        <v>45</v>
      </c>
      <c r="I335" s="87" t="s">
        <v>32</v>
      </c>
      <c r="J335" s="87" t="s">
        <v>33</v>
      </c>
      <c r="K335" s="172"/>
      <c r="L335" s="172"/>
      <c r="M335" s="172"/>
      <c r="N335" s="172"/>
      <c r="O335" s="172"/>
      <c r="P335" s="173"/>
      <c r="Q335" s="179"/>
      <c r="R335" s="163" t="s">
        <v>222</v>
      </c>
      <c r="S335" s="11">
        <v>24.7</v>
      </c>
      <c r="T335" s="163">
        <v>170</v>
      </c>
      <c r="U335" s="163">
        <v>170</v>
      </c>
      <c r="V335" s="163">
        <v>80</v>
      </c>
      <c r="W335" s="11">
        <v>3</v>
      </c>
    </row>
    <row r="336" spans="1:23">
      <c r="A336" s="194"/>
      <c r="B336" s="195"/>
      <c r="C336" s="96" t="s">
        <v>27</v>
      </c>
      <c r="D336" s="188"/>
      <c r="E336" s="188"/>
      <c r="F336" s="188"/>
      <c r="G336" s="196"/>
      <c r="H336" s="95" t="s">
        <v>45</v>
      </c>
      <c r="I336" s="194"/>
      <c r="J336" s="87" t="s">
        <v>34</v>
      </c>
      <c r="K336" s="172"/>
      <c r="L336" s="172"/>
      <c r="M336" s="172"/>
      <c r="N336" s="172"/>
      <c r="O336" s="172"/>
      <c r="P336" s="173"/>
      <c r="Q336" s="179"/>
      <c r="S336" s="11">
        <v>24.74</v>
      </c>
      <c r="T336" s="163">
        <v>170</v>
      </c>
      <c r="U336" s="163">
        <v>170</v>
      </c>
      <c r="V336" s="163">
        <v>80</v>
      </c>
      <c r="W336" s="11">
        <v>45</v>
      </c>
    </row>
    <row r="337" spans="1:23">
      <c r="A337" s="194"/>
      <c r="B337" s="195"/>
      <c r="C337" s="96" t="s">
        <v>27</v>
      </c>
      <c r="D337" s="188"/>
      <c r="E337" s="188"/>
      <c r="F337" s="188"/>
      <c r="G337" s="196" t="s">
        <v>390</v>
      </c>
      <c r="H337" s="95" t="s">
        <v>31</v>
      </c>
      <c r="I337" s="87" t="s">
        <v>32</v>
      </c>
      <c r="J337" s="87" t="s">
        <v>33</v>
      </c>
      <c r="N337" s="10">
        <v>0</v>
      </c>
      <c r="O337" s="10">
        <v>-0.25</v>
      </c>
      <c r="P337" s="115">
        <v>155</v>
      </c>
      <c r="Q337" s="148">
        <f>N337+0.5*O337</f>
        <v>-0.125</v>
      </c>
      <c r="R337" s="163" t="s">
        <v>222</v>
      </c>
      <c r="S337" s="11">
        <v>23.78</v>
      </c>
      <c r="T337" s="11">
        <v>170</v>
      </c>
      <c r="U337" s="11">
        <v>170</v>
      </c>
      <c r="V337" s="11">
        <v>120</v>
      </c>
      <c r="W337" s="11">
        <v>8</v>
      </c>
    </row>
    <row r="338" spans="1:23">
      <c r="A338" s="194"/>
      <c r="B338" s="195"/>
      <c r="C338" s="96" t="s">
        <v>27</v>
      </c>
      <c r="D338" s="188"/>
      <c r="E338" s="188"/>
      <c r="F338" s="188"/>
      <c r="G338" s="196"/>
      <c r="H338" s="95" t="s">
        <v>31</v>
      </c>
      <c r="I338" s="194"/>
      <c r="J338" s="87" t="s">
        <v>34</v>
      </c>
      <c r="N338" s="10">
        <v>-0.75</v>
      </c>
      <c r="O338" s="10">
        <v>-0.5</v>
      </c>
      <c r="P338" s="115">
        <v>170</v>
      </c>
      <c r="Q338" s="148">
        <f>N338+0.5*O338</f>
        <v>-1</v>
      </c>
      <c r="S338" s="11">
        <v>24.19</v>
      </c>
      <c r="T338" s="11">
        <v>170</v>
      </c>
      <c r="U338" s="11">
        <v>170</v>
      </c>
      <c r="V338" s="11">
        <v>35</v>
      </c>
      <c r="W338" s="11">
        <v>15</v>
      </c>
    </row>
    <row r="339" ht="18" customHeight="1" spans="1:23">
      <c r="A339" s="194"/>
      <c r="B339" s="195"/>
      <c r="C339" s="96" t="s">
        <v>27</v>
      </c>
      <c r="D339" s="187" t="s">
        <v>391</v>
      </c>
      <c r="E339" s="188" t="s">
        <v>29</v>
      </c>
      <c r="F339" s="189">
        <v>41413</v>
      </c>
      <c r="G339" s="196" t="s">
        <v>392</v>
      </c>
      <c r="H339" s="95" t="s">
        <v>45</v>
      </c>
      <c r="I339" s="87" t="s">
        <v>32</v>
      </c>
      <c r="J339" s="87" t="s">
        <v>33</v>
      </c>
      <c r="K339" s="10">
        <v>0.3</v>
      </c>
      <c r="L339" s="10">
        <v>1</v>
      </c>
      <c r="M339" s="10">
        <v>1</v>
      </c>
      <c r="N339" s="10">
        <v>-1.75</v>
      </c>
      <c r="O339" s="10">
        <v>-1</v>
      </c>
      <c r="P339" s="115">
        <v>165</v>
      </c>
      <c r="Q339" s="148">
        <f>N339+0.5*O339</f>
        <v>-2.25</v>
      </c>
      <c r="R339" s="163" t="s">
        <v>222</v>
      </c>
      <c r="S339" s="11">
        <v>23.57</v>
      </c>
      <c r="T339" s="11">
        <v>170</v>
      </c>
      <c r="U339" s="11">
        <v>170</v>
      </c>
      <c r="V339" s="11">
        <v>120</v>
      </c>
      <c r="W339" s="11">
        <v>45</v>
      </c>
    </row>
    <row r="340" spans="1:23">
      <c r="A340" s="194"/>
      <c r="B340" s="195"/>
      <c r="C340" s="96" t="s">
        <v>27</v>
      </c>
      <c r="D340" s="188"/>
      <c r="E340" s="188"/>
      <c r="F340" s="188"/>
      <c r="G340" s="196"/>
      <c r="H340" s="99" t="s">
        <v>45</v>
      </c>
      <c r="I340" s="194"/>
      <c r="J340" s="87" t="s">
        <v>34</v>
      </c>
      <c r="K340" s="10">
        <v>0.2</v>
      </c>
      <c r="L340" s="10">
        <v>1</v>
      </c>
      <c r="M340" s="10">
        <v>1</v>
      </c>
      <c r="N340" s="10">
        <v>-1.5</v>
      </c>
      <c r="O340" s="10">
        <v>-1</v>
      </c>
      <c r="P340" s="115">
        <v>175</v>
      </c>
      <c r="Q340" s="148">
        <f>N340+0.5*O340</f>
        <v>-2</v>
      </c>
      <c r="S340" s="11">
        <v>23.55</v>
      </c>
      <c r="T340" s="11">
        <v>170</v>
      </c>
      <c r="U340" s="11">
        <v>170</v>
      </c>
      <c r="V340" s="11">
        <v>120</v>
      </c>
      <c r="W340" s="11">
        <v>45</v>
      </c>
    </row>
    <row r="341" spans="1:23">
      <c r="A341" s="194"/>
      <c r="B341" s="195"/>
      <c r="C341" s="96"/>
      <c r="D341" s="188"/>
      <c r="E341" s="188"/>
      <c r="F341" s="188"/>
      <c r="G341" s="196" t="s">
        <v>393</v>
      </c>
      <c r="H341" s="84" t="s">
        <v>31</v>
      </c>
      <c r="I341" s="87" t="s">
        <v>32</v>
      </c>
      <c r="J341" s="87" t="s">
        <v>33</v>
      </c>
      <c r="N341" s="10">
        <v>-1.25</v>
      </c>
      <c r="O341" s="10">
        <v>-0.75</v>
      </c>
      <c r="P341" s="115">
        <v>170</v>
      </c>
      <c r="Q341" s="148">
        <f>N341+0.5*O341</f>
        <v>-1.625</v>
      </c>
      <c r="S341" s="175"/>
    </row>
    <row r="342" spans="1:23">
      <c r="A342" s="194"/>
      <c r="B342" s="195"/>
      <c r="C342" s="96"/>
      <c r="D342" s="188"/>
      <c r="E342" s="188"/>
      <c r="F342" s="188"/>
      <c r="G342" s="196"/>
      <c r="H342" s="4" t="s">
        <v>31</v>
      </c>
      <c r="I342" s="194"/>
      <c r="J342" s="87" t="s">
        <v>34</v>
      </c>
      <c r="K342" s="172"/>
      <c r="L342" s="172"/>
      <c r="M342" s="172"/>
      <c r="N342" s="172"/>
      <c r="O342" s="172"/>
      <c r="P342" s="173"/>
      <c r="Q342" s="179"/>
      <c r="S342" s="175"/>
    </row>
    <row r="343" ht="18" customHeight="1" spans="1:23">
      <c r="A343" s="194"/>
      <c r="B343" s="195"/>
      <c r="C343" s="96" t="s">
        <v>27</v>
      </c>
      <c r="D343" s="187" t="s">
        <v>394</v>
      </c>
      <c r="E343" s="188" t="s">
        <v>37</v>
      </c>
      <c r="F343" s="189">
        <v>42822</v>
      </c>
      <c r="G343" s="196" t="s">
        <v>395</v>
      </c>
      <c r="H343" s="84" t="s">
        <v>48</v>
      </c>
      <c r="I343" s="87" t="s">
        <v>32</v>
      </c>
      <c r="J343" s="87" t="s">
        <v>33</v>
      </c>
      <c r="N343" s="10">
        <v>-2</v>
      </c>
      <c r="O343" s="10">
        <v>-0.75</v>
      </c>
      <c r="P343" s="115">
        <v>170</v>
      </c>
      <c r="Q343" s="148">
        <f t="shared" ref="Q343:Q348" si="6">N343+0.5*O343</f>
        <v>-2.375</v>
      </c>
      <c r="R343" s="163" t="s">
        <v>222</v>
      </c>
      <c r="S343" s="11">
        <v>24.17</v>
      </c>
      <c r="T343" s="11">
        <v>170</v>
      </c>
      <c r="U343" s="11">
        <v>45</v>
      </c>
      <c r="V343" s="11">
        <v>6</v>
      </c>
      <c r="W343" s="11">
        <v>8</v>
      </c>
    </row>
    <row r="344" spans="1:23">
      <c r="A344" s="194"/>
      <c r="B344" s="195"/>
      <c r="C344" s="96" t="s">
        <v>27</v>
      </c>
      <c r="D344" s="188"/>
      <c r="E344" s="188"/>
      <c r="F344" s="188"/>
      <c r="G344" s="196"/>
      <c r="H344" s="4" t="s">
        <v>48</v>
      </c>
      <c r="I344" s="194"/>
      <c r="J344" s="87" t="s">
        <v>34</v>
      </c>
      <c r="N344" s="10">
        <v>-2</v>
      </c>
      <c r="O344" s="10">
        <v>-0.75</v>
      </c>
      <c r="P344" s="115">
        <v>170</v>
      </c>
      <c r="Q344" s="148">
        <f t="shared" si="6"/>
        <v>-2.375</v>
      </c>
      <c r="S344" s="11">
        <v>24.19</v>
      </c>
      <c r="T344" s="11">
        <v>170</v>
      </c>
      <c r="U344" s="11">
        <v>170</v>
      </c>
      <c r="V344" s="11">
        <v>25</v>
      </c>
      <c r="W344" s="11">
        <v>8</v>
      </c>
    </row>
    <row r="345" spans="1:23">
      <c r="A345" s="194"/>
      <c r="B345" s="195"/>
      <c r="C345" s="96" t="s">
        <v>27</v>
      </c>
      <c r="D345" s="188"/>
      <c r="E345" s="188"/>
      <c r="F345" s="188"/>
      <c r="G345" s="196" t="s">
        <v>396</v>
      </c>
      <c r="H345" s="95" t="s">
        <v>39</v>
      </c>
      <c r="I345" s="87" t="s">
        <v>32</v>
      </c>
      <c r="J345" s="87" t="s">
        <v>33</v>
      </c>
      <c r="K345" s="10">
        <v>0.5</v>
      </c>
      <c r="L345" s="10">
        <v>1</v>
      </c>
      <c r="M345" s="10">
        <v>1</v>
      </c>
      <c r="N345" s="10">
        <v>-0.75</v>
      </c>
      <c r="O345" s="10">
        <v>0</v>
      </c>
      <c r="P345" s="115">
        <v>0</v>
      </c>
      <c r="Q345" s="148">
        <f t="shared" si="6"/>
        <v>-0.75</v>
      </c>
      <c r="R345" s="163" t="s">
        <v>222</v>
      </c>
      <c r="S345" s="11">
        <v>24.21</v>
      </c>
    </row>
    <row r="346" spans="1:23">
      <c r="A346" s="194"/>
      <c r="B346" s="195"/>
      <c r="C346" s="96" t="s">
        <v>27</v>
      </c>
      <c r="D346" s="188"/>
      <c r="E346" s="188"/>
      <c r="F346" s="188"/>
      <c r="G346" s="196"/>
      <c r="H346" s="99" t="s">
        <v>39</v>
      </c>
      <c r="I346" s="194"/>
      <c r="J346" s="87" t="s">
        <v>34</v>
      </c>
      <c r="K346" s="10">
        <v>0.5</v>
      </c>
      <c r="L346" s="10">
        <v>1</v>
      </c>
      <c r="M346" s="10">
        <v>1</v>
      </c>
      <c r="N346" s="10">
        <v>-0.75</v>
      </c>
      <c r="O346" s="10">
        <v>-0.25</v>
      </c>
      <c r="P346" s="115">
        <v>115</v>
      </c>
      <c r="Q346" s="148">
        <f t="shared" si="6"/>
        <v>-0.875</v>
      </c>
      <c r="S346" s="11">
        <v>24.19</v>
      </c>
    </row>
    <row r="347" ht="18" customHeight="1" spans="1:23">
      <c r="A347" s="194"/>
      <c r="B347" s="195"/>
      <c r="C347" s="96" t="s">
        <v>27</v>
      </c>
      <c r="D347" s="187" t="s">
        <v>397</v>
      </c>
      <c r="E347" s="188" t="s">
        <v>37</v>
      </c>
      <c r="F347" s="189">
        <v>43159</v>
      </c>
      <c r="G347" s="196" t="s">
        <v>398</v>
      </c>
      <c r="H347" s="95" t="s">
        <v>39</v>
      </c>
      <c r="I347" s="87" t="s">
        <v>32</v>
      </c>
      <c r="J347" s="87" t="s">
        <v>33</v>
      </c>
      <c r="N347" s="10">
        <v>-2.25</v>
      </c>
      <c r="O347" s="10">
        <v>-0.25</v>
      </c>
      <c r="P347" s="115">
        <v>175</v>
      </c>
      <c r="Q347" s="148">
        <f t="shared" si="6"/>
        <v>-2.375</v>
      </c>
      <c r="R347" s="163" t="s">
        <v>219</v>
      </c>
      <c r="S347" s="11">
        <v>24.21</v>
      </c>
      <c r="T347" s="11">
        <v>170</v>
      </c>
      <c r="U347" s="11">
        <v>45</v>
      </c>
      <c r="V347" s="11">
        <v>15</v>
      </c>
      <c r="W347" s="11">
        <v>3</v>
      </c>
    </row>
    <row r="348" spans="1:23">
      <c r="A348" s="194"/>
      <c r="B348" s="195"/>
      <c r="C348" s="96" t="s">
        <v>27</v>
      </c>
      <c r="D348" s="188"/>
      <c r="E348" s="188"/>
      <c r="F348" s="188"/>
      <c r="G348" s="197"/>
      <c r="H348" s="99" t="s">
        <v>39</v>
      </c>
      <c r="I348" s="194"/>
      <c r="J348" s="87" t="s">
        <v>34</v>
      </c>
      <c r="N348" s="10">
        <v>-2.25</v>
      </c>
      <c r="O348" s="10">
        <v>-0.5</v>
      </c>
      <c r="P348" s="115">
        <v>170</v>
      </c>
      <c r="Q348" s="148">
        <f t="shared" si="6"/>
        <v>-2.5</v>
      </c>
      <c r="S348" s="11">
        <v>24.3</v>
      </c>
      <c r="T348" s="11">
        <v>75</v>
      </c>
      <c r="U348" s="11">
        <v>80</v>
      </c>
      <c r="V348" s="11">
        <v>25</v>
      </c>
      <c r="W348" s="11">
        <v>0</v>
      </c>
    </row>
    <row r="349" ht="18" customHeight="1" spans="1:23">
      <c r="A349" s="194"/>
      <c r="B349" s="195"/>
      <c r="C349" s="96" t="s">
        <v>27</v>
      </c>
      <c r="D349" s="187" t="s">
        <v>399</v>
      </c>
      <c r="E349" s="188" t="s">
        <v>29</v>
      </c>
      <c r="F349" s="189">
        <v>41744</v>
      </c>
      <c r="G349" s="198" t="s">
        <v>400</v>
      </c>
      <c r="H349" s="100" t="s">
        <v>31</v>
      </c>
      <c r="I349" s="87" t="s">
        <v>32</v>
      </c>
      <c r="J349" s="87" t="s">
        <v>33</v>
      </c>
      <c r="K349" s="172"/>
      <c r="L349" s="172"/>
      <c r="M349" s="172"/>
      <c r="N349" s="172"/>
      <c r="O349" s="172"/>
      <c r="P349" s="173"/>
      <c r="Q349" s="179"/>
      <c r="S349" s="11">
        <v>25.23</v>
      </c>
      <c r="T349" s="11">
        <v>170</v>
      </c>
      <c r="U349" s="11">
        <v>170</v>
      </c>
      <c r="V349" s="11">
        <v>60</v>
      </c>
      <c r="W349" s="11">
        <v>15</v>
      </c>
    </row>
    <row r="350" spans="1:23">
      <c r="A350" s="194"/>
      <c r="B350" s="195"/>
      <c r="C350" s="96" t="s">
        <v>27</v>
      </c>
      <c r="D350" s="188"/>
      <c r="E350" s="188"/>
      <c r="F350" s="188"/>
      <c r="G350" s="198"/>
      <c r="H350" s="99" t="s">
        <v>31</v>
      </c>
      <c r="I350" s="194"/>
      <c r="J350" s="87" t="s">
        <v>34</v>
      </c>
      <c r="K350" s="172"/>
      <c r="L350" s="172"/>
      <c r="M350" s="172"/>
      <c r="N350" s="172"/>
      <c r="O350" s="172"/>
      <c r="P350" s="173"/>
      <c r="Q350" s="179"/>
      <c r="S350" s="11">
        <v>25.29</v>
      </c>
      <c r="T350" s="11">
        <v>170</v>
      </c>
      <c r="U350" s="11">
        <v>170</v>
      </c>
      <c r="V350" s="11">
        <v>120</v>
      </c>
      <c r="W350" s="11">
        <v>8</v>
      </c>
    </row>
    <row r="351" spans="1:23">
      <c r="A351" s="194"/>
      <c r="B351" s="195"/>
      <c r="C351" s="194"/>
      <c r="D351" s="188"/>
      <c r="E351" s="188"/>
      <c r="F351" s="188"/>
      <c r="G351" s="198" t="s">
        <v>401</v>
      </c>
      <c r="H351" s="84" t="s">
        <v>48</v>
      </c>
      <c r="I351" s="87" t="s">
        <v>32</v>
      </c>
      <c r="J351" s="87" t="s">
        <v>33</v>
      </c>
      <c r="K351" s="10">
        <v>0.25</v>
      </c>
      <c r="L351" s="10">
        <v>1</v>
      </c>
      <c r="M351" s="10">
        <v>0.25</v>
      </c>
      <c r="N351" s="10">
        <v>-1.5</v>
      </c>
      <c r="O351" s="10">
        <v>-0.75</v>
      </c>
      <c r="P351" s="115">
        <v>180</v>
      </c>
      <c r="Q351" s="148">
        <f t="shared" ref="Q351:Q356" si="7">N351+0.5*O351</f>
        <v>-1.875</v>
      </c>
      <c r="R351" s="175"/>
      <c r="S351" s="11">
        <v>25.18</v>
      </c>
      <c r="T351" s="175"/>
      <c r="U351" s="175"/>
      <c r="V351" s="175"/>
      <c r="W351" s="175"/>
    </row>
    <row r="352" spans="1:23">
      <c r="A352" s="194"/>
      <c r="B352" s="195"/>
      <c r="C352" s="194"/>
      <c r="D352" s="188"/>
      <c r="E352" s="188"/>
      <c r="F352" s="188"/>
      <c r="G352" s="199"/>
      <c r="H352" s="4" t="s">
        <v>48</v>
      </c>
      <c r="I352" s="194"/>
      <c r="J352" s="87" t="s">
        <v>34</v>
      </c>
      <c r="K352" s="10">
        <v>0.25</v>
      </c>
      <c r="L352" s="10">
        <v>1</v>
      </c>
      <c r="M352" s="10">
        <v>0.25</v>
      </c>
      <c r="N352" s="10">
        <v>-1.5</v>
      </c>
      <c r="O352" s="10">
        <v>-0.75</v>
      </c>
      <c r="P352" s="115">
        <v>175</v>
      </c>
      <c r="Q352" s="148">
        <f t="shared" si="7"/>
        <v>-1.875</v>
      </c>
      <c r="R352" s="175"/>
      <c r="S352" s="11">
        <v>25.16</v>
      </c>
      <c r="T352" s="175"/>
      <c r="U352" s="175"/>
      <c r="V352" s="175"/>
      <c r="W352" s="175"/>
    </row>
    <row r="353" ht="18" customHeight="1" spans="1:23">
      <c r="A353" s="194"/>
      <c r="B353" s="195"/>
      <c r="C353" s="96" t="s">
        <v>27</v>
      </c>
      <c r="D353" s="187" t="s">
        <v>402</v>
      </c>
      <c r="E353" s="188" t="s">
        <v>37</v>
      </c>
      <c r="F353" s="189">
        <v>43030</v>
      </c>
      <c r="G353" s="197" t="s">
        <v>403</v>
      </c>
      <c r="H353" s="95" t="s">
        <v>31</v>
      </c>
      <c r="I353" s="87" t="s">
        <v>32</v>
      </c>
      <c r="J353" s="87" t="s">
        <v>33</v>
      </c>
      <c r="K353" s="10">
        <v>0.2</v>
      </c>
      <c r="L353" s="10">
        <v>1</v>
      </c>
      <c r="M353" s="10">
        <v>1</v>
      </c>
      <c r="N353" s="10">
        <v>-0.75</v>
      </c>
      <c r="O353" s="10">
        <v>-0.75</v>
      </c>
      <c r="P353" s="115">
        <v>175</v>
      </c>
      <c r="Q353" s="148">
        <f t="shared" si="7"/>
        <v>-1.125</v>
      </c>
      <c r="R353" s="163" t="s">
        <v>222</v>
      </c>
      <c r="S353" s="11">
        <v>24.31</v>
      </c>
      <c r="T353" s="11">
        <v>170</v>
      </c>
      <c r="U353" s="11">
        <v>170</v>
      </c>
      <c r="V353" s="11">
        <v>25</v>
      </c>
      <c r="W353" s="11">
        <v>4</v>
      </c>
    </row>
    <row r="354" spans="1:23">
      <c r="A354" s="194"/>
      <c r="B354" s="195"/>
      <c r="C354" s="96" t="s">
        <v>27</v>
      </c>
      <c r="D354" s="188"/>
      <c r="E354" s="188"/>
      <c r="F354" s="188"/>
      <c r="G354" s="198"/>
      <c r="H354" s="99" t="s">
        <v>31</v>
      </c>
      <c r="I354" s="194"/>
      <c r="J354" s="87" t="s">
        <v>34</v>
      </c>
      <c r="K354" s="10">
        <v>0.25</v>
      </c>
      <c r="L354" s="10">
        <v>1</v>
      </c>
      <c r="M354" s="10">
        <v>1</v>
      </c>
      <c r="N354" s="10">
        <v>-1</v>
      </c>
      <c r="O354" s="10">
        <v>-0.5</v>
      </c>
      <c r="P354" s="115">
        <v>180</v>
      </c>
      <c r="Q354" s="148">
        <f t="shared" si="7"/>
        <v>-1.25</v>
      </c>
      <c r="S354" s="11">
        <v>24.35</v>
      </c>
      <c r="T354" s="11">
        <v>170</v>
      </c>
      <c r="U354" s="11">
        <v>120</v>
      </c>
      <c r="V354" s="11">
        <v>9</v>
      </c>
      <c r="W354" s="11">
        <v>6</v>
      </c>
    </row>
    <row r="355" ht="18" customHeight="1" spans="1:23">
      <c r="A355" s="194"/>
      <c r="B355" s="195"/>
      <c r="C355" s="96" t="s">
        <v>27</v>
      </c>
      <c r="D355" s="187" t="s">
        <v>404</v>
      </c>
      <c r="E355" s="188" t="s">
        <v>29</v>
      </c>
      <c r="F355" s="189">
        <v>41650</v>
      </c>
      <c r="G355" s="198" t="s">
        <v>405</v>
      </c>
      <c r="H355" s="100" t="s">
        <v>48</v>
      </c>
      <c r="I355" s="87" t="s">
        <v>32</v>
      </c>
      <c r="J355" s="87" t="s">
        <v>33</v>
      </c>
      <c r="N355" s="10">
        <v>-1.75</v>
      </c>
      <c r="O355" s="10">
        <v>0</v>
      </c>
      <c r="P355" s="115">
        <v>0</v>
      </c>
      <c r="Q355" s="148">
        <f t="shared" si="7"/>
        <v>-1.75</v>
      </c>
      <c r="S355" s="11">
        <v>23.92</v>
      </c>
      <c r="T355" s="11">
        <v>170</v>
      </c>
      <c r="U355" s="11">
        <v>170</v>
      </c>
      <c r="V355" s="11">
        <v>80</v>
      </c>
      <c r="W355" s="11">
        <v>4</v>
      </c>
    </row>
    <row r="356" spans="1:23">
      <c r="A356" s="194"/>
      <c r="B356" s="195"/>
      <c r="C356" s="96" t="s">
        <v>27</v>
      </c>
      <c r="D356" s="188"/>
      <c r="E356" s="188"/>
      <c r="F356" s="188"/>
      <c r="G356" s="198"/>
      <c r="H356" s="99" t="s">
        <v>48</v>
      </c>
      <c r="I356" s="194"/>
      <c r="J356" s="87" t="s">
        <v>34</v>
      </c>
      <c r="N356" s="10">
        <v>-2.25</v>
      </c>
      <c r="O356" s="10">
        <v>0</v>
      </c>
      <c r="P356" s="115">
        <v>0</v>
      </c>
      <c r="Q356" s="148">
        <f t="shared" si="7"/>
        <v>-2.25</v>
      </c>
      <c r="S356" s="11">
        <v>24.05</v>
      </c>
      <c r="T356" s="11">
        <v>170</v>
      </c>
      <c r="U356" s="11">
        <v>170</v>
      </c>
      <c r="V356" s="11">
        <v>120</v>
      </c>
      <c r="W356" s="11">
        <v>65</v>
      </c>
    </row>
    <row r="357" ht="18" customHeight="1" spans="1:23">
      <c r="A357" s="194"/>
      <c r="B357" s="195"/>
      <c r="C357" s="96" t="s">
        <v>27</v>
      </c>
      <c r="D357" s="187" t="s">
        <v>406</v>
      </c>
      <c r="E357" s="188" t="s">
        <v>37</v>
      </c>
      <c r="F357" s="189">
        <v>41858</v>
      </c>
      <c r="G357" s="198" t="s">
        <v>407</v>
      </c>
      <c r="H357" s="95" t="s">
        <v>48</v>
      </c>
      <c r="I357" s="87" t="s">
        <v>32</v>
      </c>
      <c r="J357" s="87" t="s">
        <v>33</v>
      </c>
      <c r="K357" s="172"/>
      <c r="L357" s="172"/>
      <c r="M357" s="172"/>
      <c r="N357" s="172"/>
      <c r="O357" s="172"/>
      <c r="P357" s="173"/>
      <c r="Q357" s="179"/>
      <c r="S357" s="175"/>
    </row>
    <row r="358" spans="1:23">
      <c r="A358" s="194"/>
      <c r="B358" s="195"/>
      <c r="C358" s="96" t="s">
        <v>27</v>
      </c>
      <c r="D358" s="188"/>
      <c r="E358" s="188"/>
      <c r="F358" s="188"/>
      <c r="G358" s="198"/>
      <c r="H358" s="99" t="s">
        <v>48</v>
      </c>
      <c r="I358" s="194"/>
      <c r="J358" s="87" t="s">
        <v>34</v>
      </c>
      <c r="K358" s="172"/>
      <c r="L358" s="172"/>
      <c r="M358" s="172"/>
      <c r="N358" s="172"/>
      <c r="O358" s="172"/>
      <c r="P358" s="173"/>
      <c r="Q358" s="179"/>
      <c r="S358" s="175"/>
    </row>
    <row r="359" ht="18" customHeight="1" spans="1:23">
      <c r="A359" s="194"/>
      <c r="B359" s="195"/>
      <c r="C359" s="96" t="s">
        <v>27</v>
      </c>
      <c r="D359" s="187" t="s">
        <v>408</v>
      </c>
      <c r="E359" s="188" t="s">
        <v>37</v>
      </c>
      <c r="F359" s="189">
        <v>42622</v>
      </c>
      <c r="G359" s="198" t="s">
        <v>409</v>
      </c>
      <c r="H359" s="95" t="s">
        <v>39</v>
      </c>
      <c r="I359" s="87" t="s">
        <v>32</v>
      </c>
      <c r="J359" s="87" t="s">
        <v>33</v>
      </c>
      <c r="K359" s="10">
        <v>0.8</v>
      </c>
      <c r="L359" s="10">
        <v>1</v>
      </c>
      <c r="M359" s="10">
        <v>1</v>
      </c>
      <c r="N359" s="10">
        <v>-1.5</v>
      </c>
      <c r="O359" s="10">
        <v>-0.75</v>
      </c>
      <c r="P359" s="115">
        <v>175</v>
      </c>
      <c r="Q359" s="148">
        <f>N359+0.5*O359</f>
        <v>-1.875</v>
      </c>
      <c r="S359" s="11">
        <v>23.42</v>
      </c>
      <c r="T359" s="11">
        <v>170</v>
      </c>
      <c r="U359" s="11">
        <v>170</v>
      </c>
      <c r="V359" s="11">
        <v>60</v>
      </c>
      <c r="W359" s="11">
        <v>15</v>
      </c>
    </row>
    <row r="360" spans="1:23">
      <c r="A360" s="194"/>
      <c r="B360" s="195"/>
      <c r="C360" s="96" t="s">
        <v>27</v>
      </c>
      <c r="D360" s="188"/>
      <c r="E360" s="188"/>
      <c r="F360" s="188"/>
      <c r="G360" s="198"/>
      <c r="H360" s="99" t="s">
        <v>39</v>
      </c>
      <c r="I360" s="194"/>
      <c r="J360" s="87" t="s">
        <v>34</v>
      </c>
      <c r="K360" s="10">
        <v>0.8</v>
      </c>
      <c r="L360" s="10">
        <v>1</v>
      </c>
      <c r="M360" s="10">
        <v>1</v>
      </c>
      <c r="N360" s="10">
        <v>-0.5</v>
      </c>
      <c r="O360" s="10">
        <v>-0.75</v>
      </c>
      <c r="P360" s="115">
        <v>180</v>
      </c>
      <c r="Q360" s="148">
        <f>N360+0.5*O360</f>
        <v>-0.875</v>
      </c>
      <c r="S360" s="11">
        <v>22.93</v>
      </c>
      <c r="T360" s="11">
        <v>170</v>
      </c>
      <c r="U360" s="11">
        <v>170</v>
      </c>
      <c r="V360" s="11">
        <v>60</v>
      </c>
      <c r="W360" s="11">
        <v>15</v>
      </c>
    </row>
    <row r="361" ht="18" customHeight="1" spans="1:23">
      <c r="A361" s="194"/>
      <c r="B361" s="195"/>
      <c r="C361" s="96" t="s">
        <v>27</v>
      </c>
      <c r="D361" s="187" t="s">
        <v>410</v>
      </c>
      <c r="E361" s="188" t="s">
        <v>29</v>
      </c>
      <c r="F361" s="189">
        <v>41665</v>
      </c>
      <c r="G361" s="198" t="s">
        <v>411</v>
      </c>
      <c r="H361" s="100" t="s">
        <v>48</v>
      </c>
      <c r="I361" s="87" t="s">
        <v>32</v>
      </c>
      <c r="J361" s="87" t="s">
        <v>33</v>
      </c>
      <c r="K361" s="172"/>
      <c r="L361" s="172"/>
      <c r="M361" s="172"/>
      <c r="N361" s="172"/>
      <c r="O361" s="172"/>
      <c r="P361" s="173"/>
      <c r="Q361" s="179"/>
      <c r="S361" s="11">
        <v>23.56</v>
      </c>
      <c r="T361" s="11">
        <v>170</v>
      </c>
      <c r="U361" s="11">
        <v>170</v>
      </c>
      <c r="V361" s="11">
        <v>35</v>
      </c>
      <c r="W361" s="11">
        <v>4</v>
      </c>
    </row>
    <row r="362" spans="1:23">
      <c r="A362" s="194"/>
      <c r="B362" s="195"/>
      <c r="C362" s="96" t="s">
        <v>27</v>
      </c>
      <c r="D362" s="188"/>
      <c r="E362" s="188"/>
      <c r="F362" s="188"/>
      <c r="G362" s="198"/>
      <c r="H362" s="99" t="s">
        <v>48</v>
      </c>
      <c r="I362" s="194"/>
      <c r="J362" s="87" t="s">
        <v>34</v>
      </c>
      <c r="K362" s="172"/>
      <c r="L362" s="172"/>
      <c r="M362" s="172"/>
      <c r="N362" s="172"/>
      <c r="O362" s="172"/>
      <c r="P362" s="173"/>
      <c r="Q362" s="179"/>
      <c r="S362" s="11">
        <v>23.58</v>
      </c>
      <c r="T362" s="11">
        <v>170</v>
      </c>
      <c r="U362" s="11">
        <v>170</v>
      </c>
      <c r="V362" s="11">
        <v>35</v>
      </c>
      <c r="W362" s="11">
        <v>6</v>
      </c>
    </row>
    <row r="363" ht="18" customHeight="1" spans="1:23">
      <c r="A363" s="194"/>
      <c r="B363" s="195"/>
      <c r="C363" s="96" t="s">
        <v>27</v>
      </c>
      <c r="D363" s="187" t="s">
        <v>412</v>
      </c>
      <c r="E363" s="188" t="s">
        <v>29</v>
      </c>
      <c r="F363" s="189">
        <v>42660</v>
      </c>
      <c r="G363" s="198" t="s">
        <v>413</v>
      </c>
      <c r="H363" s="95" t="s">
        <v>39</v>
      </c>
      <c r="I363" s="87" t="s">
        <v>32</v>
      </c>
      <c r="J363" s="87" t="s">
        <v>33</v>
      </c>
      <c r="K363" s="10">
        <v>0.6</v>
      </c>
      <c r="L363" s="10">
        <v>1</v>
      </c>
      <c r="M363" s="10">
        <v>1</v>
      </c>
      <c r="N363" s="10">
        <v>-1</v>
      </c>
      <c r="O363" s="10">
        <v>0</v>
      </c>
      <c r="P363" s="115">
        <v>0</v>
      </c>
      <c r="Q363" s="148">
        <f>N363+0.5*O363</f>
        <v>-1</v>
      </c>
      <c r="R363" s="163" t="s">
        <v>219</v>
      </c>
      <c r="S363" s="11">
        <v>24.54</v>
      </c>
      <c r="T363" s="11">
        <v>170</v>
      </c>
      <c r="U363" s="11">
        <v>120</v>
      </c>
      <c r="V363" s="11">
        <v>9</v>
      </c>
      <c r="W363" s="11">
        <v>6</v>
      </c>
    </row>
    <row r="364" spans="1:23">
      <c r="A364" s="194"/>
      <c r="B364" s="195"/>
      <c r="C364" s="96" t="s">
        <v>27</v>
      </c>
      <c r="D364" s="188"/>
      <c r="E364" s="188"/>
      <c r="F364" s="188"/>
      <c r="G364" s="198"/>
      <c r="H364" s="99" t="s">
        <v>39</v>
      </c>
      <c r="I364" s="194"/>
      <c r="J364" s="87" t="s">
        <v>34</v>
      </c>
      <c r="K364" s="10">
        <v>1</v>
      </c>
      <c r="L364" s="10">
        <v>1</v>
      </c>
      <c r="M364" s="10">
        <v>1</v>
      </c>
      <c r="N364" s="10">
        <v>-0.5</v>
      </c>
      <c r="O364" s="10">
        <v>-0.5</v>
      </c>
      <c r="P364" s="115">
        <v>20</v>
      </c>
      <c r="Q364" s="148">
        <f>N364+0.5*O364</f>
        <v>-0.75</v>
      </c>
      <c r="S364" s="11">
        <v>24.6</v>
      </c>
      <c r="T364" s="11">
        <v>170</v>
      </c>
      <c r="U364" s="11">
        <v>170</v>
      </c>
      <c r="V364" s="11">
        <v>15</v>
      </c>
      <c r="W364" s="11">
        <v>4</v>
      </c>
    </row>
    <row r="365" ht="18" customHeight="1" spans="1:23">
      <c r="A365" s="194"/>
      <c r="B365" s="195"/>
      <c r="C365" s="96" t="s">
        <v>27</v>
      </c>
      <c r="D365" s="187" t="s">
        <v>414</v>
      </c>
      <c r="E365" s="188" t="s">
        <v>37</v>
      </c>
      <c r="F365" s="189">
        <v>42749</v>
      </c>
      <c r="G365" s="198" t="s">
        <v>415</v>
      </c>
      <c r="H365" s="95" t="s">
        <v>48</v>
      </c>
      <c r="I365" s="87" t="s">
        <v>32</v>
      </c>
      <c r="J365" s="87" t="s">
        <v>33</v>
      </c>
      <c r="K365" s="172"/>
      <c r="L365" s="172"/>
      <c r="M365" s="172"/>
      <c r="N365" s="172"/>
      <c r="O365" s="172"/>
      <c r="P365" s="173"/>
      <c r="Q365" s="179"/>
      <c r="R365" s="163" t="s">
        <v>197</v>
      </c>
      <c r="S365" s="11">
        <v>23.93</v>
      </c>
      <c r="T365" s="11">
        <v>170</v>
      </c>
      <c r="U365" s="11">
        <v>170</v>
      </c>
      <c r="V365" s="11">
        <v>120</v>
      </c>
      <c r="W365" s="11">
        <v>24</v>
      </c>
    </row>
    <row r="366" spans="1:23">
      <c r="A366" s="194"/>
      <c r="B366" s="195"/>
      <c r="C366" s="96" t="s">
        <v>27</v>
      </c>
      <c r="D366" s="188"/>
      <c r="E366" s="188"/>
      <c r="F366" s="188"/>
      <c r="G366" s="198"/>
      <c r="H366" s="102" t="s">
        <v>48</v>
      </c>
      <c r="I366" s="194"/>
      <c r="J366" s="87" t="s">
        <v>34</v>
      </c>
      <c r="K366" s="172"/>
      <c r="L366" s="172"/>
      <c r="M366" s="172"/>
      <c r="N366" s="172"/>
      <c r="O366" s="172"/>
      <c r="P366" s="173"/>
      <c r="Q366" s="179"/>
      <c r="S366" s="11">
        <v>24.23</v>
      </c>
      <c r="T366" s="11">
        <v>170</v>
      </c>
      <c r="U366" s="11">
        <v>170</v>
      </c>
      <c r="V366" s="11">
        <v>120</v>
      </c>
      <c r="W366" s="11">
        <v>15</v>
      </c>
    </row>
    <row r="367" ht="18" customHeight="1" spans="1:23">
      <c r="A367" s="194"/>
      <c r="B367" s="195"/>
      <c r="C367" s="96" t="s">
        <v>27</v>
      </c>
      <c r="D367" s="187" t="s">
        <v>416</v>
      </c>
      <c r="E367" s="188" t="s">
        <v>37</v>
      </c>
      <c r="F367" s="189">
        <v>41697</v>
      </c>
      <c r="G367" s="198" t="s">
        <v>417</v>
      </c>
      <c r="H367" s="200" t="s">
        <v>39</v>
      </c>
      <c r="I367" s="87" t="s">
        <v>32</v>
      </c>
      <c r="J367" s="87" t="s">
        <v>33</v>
      </c>
      <c r="K367" s="10">
        <v>0.3</v>
      </c>
      <c r="L367" s="10">
        <v>1</v>
      </c>
      <c r="M367" s="10">
        <v>1</v>
      </c>
      <c r="N367" s="10">
        <v>-1.5</v>
      </c>
      <c r="O367" s="10">
        <v>0</v>
      </c>
      <c r="P367" s="115">
        <v>0</v>
      </c>
      <c r="Q367" s="148">
        <f>N367+0.5*O367</f>
        <v>-1.5</v>
      </c>
      <c r="R367" s="163" t="s">
        <v>219</v>
      </c>
      <c r="S367" s="11">
        <v>23.9</v>
      </c>
      <c r="T367" s="11">
        <v>170</v>
      </c>
      <c r="U367" s="11">
        <v>120</v>
      </c>
      <c r="V367" s="11">
        <v>45</v>
      </c>
      <c r="W367" s="11">
        <v>65</v>
      </c>
    </row>
    <row r="368" spans="1:23">
      <c r="A368" s="194"/>
      <c r="B368" s="195"/>
      <c r="C368" s="96" t="s">
        <v>27</v>
      </c>
      <c r="D368" s="188"/>
      <c r="E368" s="188"/>
      <c r="F368" s="188"/>
      <c r="G368" s="198"/>
      <c r="H368" s="201" t="s">
        <v>39</v>
      </c>
      <c r="I368" s="194"/>
      <c r="J368" s="87" t="s">
        <v>34</v>
      </c>
      <c r="K368" s="10">
        <v>0.25</v>
      </c>
      <c r="L368" s="10">
        <v>1</v>
      </c>
      <c r="M368" s="10">
        <v>1</v>
      </c>
      <c r="N368" s="10">
        <v>-1.75</v>
      </c>
      <c r="O368" s="10">
        <v>0</v>
      </c>
      <c r="P368" s="115">
        <v>0</v>
      </c>
      <c r="Q368" s="148">
        <f>N368+0.5*O368</f>
        <v>-1.75</v>
      </c>
      <c r="S368" s="11">
        <v>23.9</v>
      </c>
      <c r="T368" s="11">
        <v>170</v>
      </c>
      <c r="U368" s="11">
        <v>170</v>
      </c>
      <c r="V368" s="11">
        <v>15</v>
      </c>
      <c r="W368" s="11">
        <v>8</v>
      </c>
    </row>
    <row r="369" spans="1:23">
      <c r="A369" s="194"/>
      <c r="B369" s="195"/>
      <c r="C369" s="96"/>
      <c r="D369" s="187"/>
      <c r="E369" s="188"/>
      <c r="F369" s="189"/>
      <c r="G369" s="198" t="s">
        <v>418</v>
      </c>
      <c r="H369" s="190" t="s">
        <v>45</v>
      </c>
      <c r="I369" s="202" t="s">
        <v>32</v>
      </c>
      <c r="J369" s="203" t="s">
        <v>33</v>
      </c>
      <c r="K369" s="10">
        <v>0.8</v>
      </c>
      <c r="N369" s="10">
        <v>-0.25</v>
      </c>
      <c r="O369" s="10">
        <v>-0.5</v>
      </c>
      <c r="P369" s="115">
        <v>95</v>
      </c>
      <c r="Q369" s="148">
        <f>N369+0.5*O369</f>
        <v>-0.5</v>
      </c>
      <c r="R369" s="163" t="s">
        <v>34</v>
      </c>
      <c r="S369" s="175"/>
      <c r="T369" s="11">
        <v>7</v>
      </c>
      <c r="U369" s="11">
        <v>3</v>
      </c>
      <c r="V369" s="11">
        <v>5</v>
      </c>
      <c r="W369" s="11">
        <v>5</v>
      </c>
    </row>
    <row r="370" spans="1:23">
      <c r="A370" s="194"/>
      <c r="B370" s="195"/>
      <c r="C370" s="96"/>
      <c r="D370" s="187"/>
      <c r="E370" s="188"/>
      <c r="F370" s="189"/>
      <c r="G370" s="198"/>
      <c r="H370" s="191" t="s">
        <v>45</v>
      </c>
      <c r="I370" s="194"/>
      <c r="J370" s="203" t="s">
        <v>34</v>
      </c>
      <c r="K370" s="172"/>
      <c r="L370" s="172"/>
      <c r="M370" s="172"/>
      <c r="N370" s="172"/>
      <c r="O370" s="172"/>
      <c r="P370" s="173"/>
      <c r="Q370" s="179"/>
      <c r="S370" s="175"/>
    </row>
    <row r="371" ht="18" customHeight="1" spans="1:23">
      <c r="A371" s="194"/>
      <c r="B371" s="195"/>
      <c r="C371" s="96" t="s">
        <v>27</v>
      </c>
      <c r="D371" s="187" t="s">
        <v>419</v>
      </c>
      <c r="E371" s="188" t="s">
        <v>37</v>
      </c>
      <c r="F371" s="189">
        <v>43295</v>
      </c>
      <c r="G371" s="198" t="s">
        <v>420</v>
      </c>
      <c r="H371" s="104" t="s">
        <v>48</v>
      </c>
      <c r="I371" s="87" t="s">
        <v>32</v>
      </c>
      <c r="J371" s="87" t="s">
        <v>33</v>
      </c>
      <c r="K371" s="10">
        <v>0.3</v>
      </c>
      <c r="L371" s="10">
        <v>1</v>
      </c>
      <c r="M371" s="10">
        <v>1</v>
      </c>
      <c r="N371" s="10">
        <v>-1.75</v>
      </c>
      <c r="O371" s="10">
        <v>-0.75</v>
      </c>
      <c r="P371" s="115">
        <v>175</v>
      </c>
      <c r="Q371" s="148">
        <f>N371+0.5*O371</f>
        <v>-2.125</v>
      </c>
      <c r="R371" s="163" t="s">
        <v>34</v>
      </c>
      <c r="S371" s="11">
        <v>24.01</v>
      </c>
      <c r="T371" s="11">
        <v>170</v>
      </c>
      <c r="U371" s="11">
        <v>170</v>
      </c>
      <c r="V371" s="11">
        <v>9</v>
      </c>
      <c r="W371" s="11">
        <v>6</v>
      </c>
    </row>
    <row r="372" spans="1:23">
      <c r="A372" s="194"/>
      <c r="B372" s="195"/>
      <c r="C372" s="96" t="s">
        <v>27</v>
      </c>
      <c r="D372" s="188"/>
      <c r="E372" s="188"/>
      <c r="F372" s="188"/>
      <c r="G372" s="198"/>
      <c r="H372" s="4" t="s">
        <v>48</v>
      </c>
      <c r="I372" s="194"/>
      <c r="J372" s="87" t="s">
        <v>34</v>
      </c>
      <c r="K372" s="10">
        <v>0.4</v>
      </c>
      <c r="L372" s="10">
        <v>1</v>
      </c>
      <c r="M372" s="10">
        <v>1</v>
      </c>
      <c r="N372" s="10">
        <v>-1</v>
      </c>
      <c r="O372" s="10">
        <v>-1</v>
      </c>
      <c r="P372" s="115">
        <v>10</v>
      </c>
      <c r="Q372" s="148">
        <f>N372+0.5*O372</f>
        <v>-1.5</v>
      </c>
      <c r="S372" s="11">
        <v>23.66</v>
      </c>
      <c r="T372" s="11">
        <v>170</v>
      </c>
      <c r="U372" s="11">
        <v>170</v>
      </c>
      <c r="V372" s="11">
        <v>9</v>
      </c>
      <c r="W372" s="11">
        <v>4</v>
      </c>
    </row>
    <row r="373" ht="18" customHeight="1" spans="1:23">
      <c r="A373" s="194"/>
      <c r="B373" s="195"/>
      <c r="C373" s="96" t="s">
        <v>27</v>
      </c>
      <c r="D373" s="187" t="s">
        <v>421</v>
      </c>
      <c r="E373" s="188" t="s">
        <v>29</v>
      </c>
      <c r="F373" s="189">
        <v>43338</v>
      </c>
      <c r="G373" s="198" t="s">
        <v>422</v>
      </c>
      <c r="H373" s="104" t="s">
        <v>39</v>
      </c>
      <c r="I373" s="87" t="s">
        <v>32</v>
      </c>
      <c r="J373" s="87" t="s">
        <v>33</v>
      </c>
      <c r="N373" s="10">
        <v>-0.5</v>
      </c>
      <c r="O373" s="10">
        <v>-0.5</v>
      </c>
      <c r="P373" s="115">
        <v>150</v>
      </c>
      <c r="Q373" s="148">
        <f>N373+0.5*O373</f>
        <v>-0.75</v>
      </c>
      <c r="R373" s="163" t="s">
        <v>222</v>
      </c>
      <c r="S373" s="11">
        <v>22.93</v>
      </c>
      <c r="T373" s="11">
        <v>170</v>
      </c>
      <c r="U373" s="11">
        <v>170</v>
      </c>
      <c r="V373" s="11">
        <v>120</v>
      </c>
      <c r="W373" s="11">
        <v>35</v>
      </c>
    </row>
    <row r="374" spans="1:23">
      <c r="A374" s="194"/>
      <c r="B374" s="195"/>
      <c r="C374" s="96" t="s">
        <v>27</v>
      </c>
      <c r="D374" s="188"/>
      <c r="E374" s="188"/>
      <c r="F374" s="188"/>
      <c r="G374" s="198"/>
      <c r="H374" s="4" t="s">
        <v>39</v>
      </c>
      <c r="I374" s="194"/>
      <c r="J374" s="87" t="s">
        <v>34</v>
      </c>
      <c r="N374" s="10">
        <v>-1.25</v>
      </c>
      <c r="O374" s="10">
        <v>-0.5</v>
      </c>
      <c r="P374" s="115">
        <v>25</v>
      </c>
      <c r="Q374" s="148">
        <f>N374+0.5*O374</f>
        <v>-1.5</v>
      </c>
      <c r="S374" s="11">
        <v>23.18</v>
      </c>
      <c r="T374" s="11">
        <v>170</v>
      </c>
      <c r="U374" s="11">
        <v>120</v>
      </c>
      <c r="V374" s="11">
        <v>25</v>
      </c>
      <c r="W374" s="11">
        <v>0</v>
      </c>
    </row>
    <row r="375" ht="18" customHeight="1" spans="1:23">
      <c r="A375" s="194"/>
      <c r="B375" s="195"/>
      <c r="C375" s="96" t="s">
        <v>27</v>
      </c>
      <c r="D375" s="187" t="s">
        <v>423</v>
      </c>
      <c r="E375" s="188" t="s">
        <v>29</v>
      </c>
      <c r="F375" s="189">
        <v>41703</v>
      </c>
      <c r="G375" s="198" t="s">
        <v>424</v>
      </c>
      <c r="H375" s="104" t="s">
        <v>45</v>
      </c>
      <c r="I375" s="87" t="s">
        <v>32</v>
      </c>
      <c r="J375" s="87" t="s">
        <v>33</v>
      </c>
      <c r="K375" s="10">
        <v>0.3</v>
      </c>
      <c r="L375" s="161">
        <v>1</v>
      </c>
      <c r="M375" s="161">
        <v>1</v>
      </c>
      <c r="N375" s="172"/>
      <c r="O375" s="172"/>
      <c r="P375" s="173"/>
      <c r="Q375" s="179"/>
      <c r="R375" s="163" t="s">
        <v>34</v>
      </c>
      <c r="S375" s="11">
        <v>24.11</v>
      </c>
      <c r="T375" s="11">
        <v>170</v>
      </c>
      <c r="U375" s="11">
        <v>170</v>
      </c>
      <c r="V375" s="11">
        <v>120</v>
      </c>
      <c r="W375" s="11">
        <v>35</v>
      </c>
    </row>
    <row r="376" spans="1:23">
      <c r="A376" s="194"/>
      <c r="B376" s="195"/>
      <c r="C376" s="96" t="s">
        <v>27</v>
      </c>
      <c r="D376" s="188"/>
      <c r="E376" s="188"/>
      <c r="F376" s="188"/>
      <c r="G376" s="198"/>
      <c r="H376" s="4" t="s">
        <v>45</v>
      </c>
      <c r="I376" s="194"/>
      <c r="J376" s="87" t="s">
        <v>34</v>
      </c>
      <c r="K376" s="10">
        <v>0.5</v>
      </c>
      <c r="L376" s="154">
        <v>1</v>
      </c>
      <c r="M376" s="146">
        <v>1</v>
      </c>
      <c r="N376" s="172"/>
      <c r="O376" s="172"/>
      <c r="P376" s="173"/>
      <c r="Q376" s="179"/>
      <c r="S376" s="11">
        <v>24.24</v>
      </c>
      <c r="T376" s="11">
        <v>170</v>
      </c>
      <c r="U376" s="11">
        <v>170</v>
      </c>
      <c r="V376" s="11">
        <v>80</v>
      </c>
      <c r="W376" s="11">
        <v>24</v>
      </c>
    </row>
    <row r="377" spans="1:23">
      <c r="A377" s="194"/>
      <c r="B377" s="195"/>
      <c r="C377" s="96" t="s">
        <v>27</v>
      </c>
      <c r="D377" s="204" t="s">
        <v>425</v>
      </c>
      <c r="E377" s="204" t="s">
        <v>37</v>
      </c>
      <c r="F377" s="188"/>
      <c r="G377" s="198" t="s">
        <v>426</v>
      </c>
      <c r="H377" s="104" t="s">
        <v>39</v>
      </c>
      <c r="I377" s="87" t="s">
        <v>32</v>
      </c>
      <c r="J377" s="87" t="s">
        <v>33</v>
      </c>
      <c r="K377" s="10">
        <v>0.4</v>
      </c>
      <c r="L377" s="161">
        <v>1</v>
      </c>
      <c r="M377" s="161">
        <v>1</v>
      </c>
      <c r="N377" s="10">
        <v>-3.75</v>
      </c>
      <c r="O377" s="10">
        <v>0</v>
      </c>
      <c r="P377" s="115">
        <v>0</v>
      </c>
      <c r="Q377" s="148">
        <f t="shared" ref="Q377:Q394" si="8">N377+0.5*O377</f>
        <v>-3.75</v>
      </c>
      <c r="R377" s="163" t="s">
        <v>34</v>
      </c>
      <c r="S377" s="11">
        <v>27.13</v>
      </c>
      <c r="T377" s="11">
        <v>170</v>
      </c>
      <c r="U377" s="11">
        <v>170</v>
      </c>
      <c r="V377" s="11">
        <v>120</v>
      </c>
      <c r="W377" s="11">
        <v>45</v>
      </c>
    </row>
    <row r="378" spans="1:23">
      <c r="A378" s="194"/>
      <c r="B378" s="195"/>
      <c r="C378" s="96" t="s">
        <v>27</v>
      </c>
      <c r="D378" s="188"/>
      <c r="E378" s="188"/>
      <c r="F378" s="188"/>
      <c r="G378" s="198"/>
      <c r="H378" s="4" t="s">
        <v>39</v>
      </c>
      <c r="I378" s="194"/>
      <c r="J378" s="87" t="s">
        <v>34</v>
      </c>
      <c r="K378" s="10">
        <v>0.5</v>
      </c>
      <c r="L378" s="154">
        <v>1</v>
      </c>
      <c r="M378" s="146">
        <v>1</v>
      </c>
      <c r="N378" s="10">
        <v>-3.25</v>
      </c>
      <c r="O378" s="10">
        <v>-0.25</v>
      </c>
      <c r="P378" s="115">
        <v>180</v>
      </c>
      <c r="Q378" s="148">
        <f t="shared" si="8"/>
        <v>-3.375</v>
      </c>
      <c r="S378" s="11">
        <v>26.88</v>
      </c>
      <c r="T378" s="11">
        <v>170</v>
      </c>
      <c r="U378" s="11">
        <v>170</v>
      </c>
      <c r="V378" s="11">
        <v>60</v>
      </c>
      <c r="W378" s="11">
        <v>0</v>
      </c>
    </row>
    <row r="379" spans="1:23">
      <c r="C379" s="96" t="s">
        <v>27</v>
      </c>
      <c r="D379" s="151" t="s">
        <v>427</v>
      </c>
      <c r="E379" s="159" t="s">
        <v>37</v>
      </c>
      <c r="G379" s="198" t="s">
        <v>428</v>
      </c>
      <c r="H379" s="104" t="s">
        <v>48</v>
      </c>
      <c r="I379" s="87" t="s">
        <v>32</v>
      </c>
      <c r="J379" s="87" t="s">
        <v>33</v>
      </c>
      <c r="K379" s="10">
        <v>0.5</v>
      </c>
      <c r="L379" s="161">
        <v>1</v>
      </c>
      <c r="M379" s="161">
        <v>1</v>
      </c>
      <c r="N379" s="10">
        <v>-1.5</v>
      </c>
      <c r="O379" s="10">
        <v>0</v>
      </c>
      <c r="P379" s="115">
        <v>0</v>
      </c>
      <c r="Q379" s="148">
        <f t="shared" si="8"/>
        <v>-1.5</v>
      </c>
      <c r="S379" s="11">
        <v>23.96</v>
      </c>
      <c r="T379" s="11">
        <v>170</v>
      </c>
      <c r="U379" s="11">
        <v>45</v>
      </c>
      <c r="V379" s="11">
        <v>9</v>
      </c>
      <c r="W379" s="11">
        <v>3</v>
      </c>
    </row>
    <row r="380" spans="1:23">
      <c r="C380" s="96" t="s">
        <v>27</v>
      </c>
      <c r="G380" s="205"/>
      <c r="H380" s="4" t="s">
        <v>48</v>
      </c>
      <c r="J380" s="87" t="s">
        <v>34</v>
      </c>
      <c r="K380" s="10">
        <v>0.4</v>
      </c>
      <c r="L380" s="154">
        <v>1</v>
      </c>
      <c r="M380" s="146">
        <v>1</v>
      </c>
      <c r="N380" s="10">
        <v>-1</v>
      </c>
      <c r="O380" s="10">
        <v>0</v>
      </c>
      <c r="P380" s="115">
        <v>0</v>
      </c>
      <c r="Q380" s="148">
        <f t="shared" si="8"/>
        <v>-1</v>
      </c>
      <c r="S380" s="11">
        <v>23.79</v>
      </c>
      <c r="T380" s="11">
        <v>170</v>
      </c>
      <c r="U380" s="11">
        <v>80</v>
      </c>
      <c r="V380" s="11">
        <v>0</v>
      </c>
      <c r="W380" s="11">
        <v>4</v>
      </c>
    </row>
    <row r="381" spans="1:23">
      <c r="C381" s="96" t="s">
        <v>27</v>
      </c>
      <c r="D381" s="151" t="s">
        <v>429</v>
      </c>
      <c r="E381" s="159" t="s">
        <v>29</v>
      </c>
      <c r="G381" s="206" t="s">
        <v>430</v>
      </c>
      <c r="H381" s="104" t="s">
        <v>39</v>
      </c>
      <c r="I381" s="87" t="s">
        <v>32</v>
      </c>
      <c r="J381" s="87" t="s">
        <v>33</v>
      </c>
      <c r="K381" s="172"/>
      <c r="L381" s="172"/>
      <c r="M381" s="172"/>
      <c r="N381" s="10">
        <v>-0.5</v>
      </c>
      <c r="O381" s="10">
        <v>0</v>
      </c>
      <c r="P381" s="115">
        <v>0</v>
      </c>
      <c r="Q381" s="148">
        <f t="shared" si="8"/>
        <v>-0.5</v>
      </c>
      <c r="S381" s="11">
        <v>22.99</v>
      </c>
      <c r="T381" s="11">
        <v>170</v>
      </c>
      <c r="U381" s="11">
        <v>170</v>
      </c>
      <c r="V381" s="11">
        <v>45</v>
      </c>
      <c r="W381" s="11">
        <v>8</v>
      </c>
    </row>
    <row r="382" spans="1:23">
      <c r="C382" s="96" t="s">
        <v>27</v>
      </c>
      <c r="H382" s="4" t="s">
        <v>39</v>
      </c>
      <c r="J382" s="87" t="s">
        <v>34</v>
      </c>
      <c r="K382" s="172"/>
      <c r="L382" s="172"/>
      <c r="M382" s="172"/>
      <c r="N382" s="10">
        <v>-0.5</v>
      </c>
      <c r="O382" s="10">
        <v>-0.75</v>
      </c>
      <c r="P382" s="115">
        <v>150</v>
      </c>
      <c r="Q382" s="148">
        <f t="shared" si="8"/>
        <v>-0.875</v>
      </c>
      <c r="S382" s="11">
        <v>22.98</v>
      </c>
      <c r="T382" s="11">
        <v>170</v>
      </c>
      <c r="U382" s="11">
        <v>170</v>
      </c>
      <c r="V382" s="11">
        <v>35</v>
      </c>
      <c r="W382" s="11">
        <v>24</v>
      </c>
    </row>
    <row r="383" spans="1:23">
      <c r="C383" s="96" t="s">
        <v>27</v>
      </c>
      <c r="D383" s="151" t="s">
        <v>431</v>
      </c>
      <c r="E383" s="159" t="s">
        <v>37</v>
      </c>
      <c r="G383" s="206" t="s">
        <v>432</v>
      </c>
      <c r="H383" s="104" t="s">
        <v>31</v>
      </c>
      <c r="I383" s="87" t="s">
        <v>32</v>
      </c>
      <c r="J383" s="87" t="s">
        <v>33</v>
      </c>
      <c r="K383" s="172"/>
      <c r="L383" s="172"/>
      <c r="M383" s="172"/>
      <c r="N383" s="10">
        <v>-4</v>
      </c>
      <c r="O383" s="10">
        <v>-0.75</v>
      </c>
      <c r="P383" s="115">
        <v>25</v>
      </c>
      <c r="Q383" s="148">
        <f t="shared" si="8"/>
        <v>-4.375</v>
      </c>
      <c r="R383" s="163" t="s">
        <v>34</v>
      </c>
      <c r="S383" s="11">
        <v>25.25</v>
      </c>
      <c r="T383" s="11">
        <v>170</v>
      </c>
      <c r="U383" s="11">
        <v>170</v>
      </c>
      <c r="V383" s="11">
        <v>25</v>
      </c>
      <c r="W383" s="11">
        <v>8</v>
      </c>
    </row>
    <row r="384" spans="1:23">
      <c r="C384" s="96" t="s">
        <v>27</v>
      </c>
      <c r="H384" s="4" t="s">
        <v>31</v>
      </c>
      <c r="J384" s="87" t="s">
        <v>34</v>
      </c>
      <c r="K384" s="172"/>
      <c r="L384" s="172"/>
      <c r="M384" s="172"/>
      <c r="N384" s="10">
        <v>-4.25</v>
      </c>
      <c r="O384" s="10">
        <v>-1</v>
      </c>
      <c r="P384" s="115">
        <v>170</v>
      </c>
      <c r="Q384" s="148">
        <f t="shared" si="8"/>
        <v>-4.75</v>
      </c>
      <c r="S384" s="11">
        <v>25.58</v>
      </c>
      <c r="T384" s="11">
        <v>170</v>
      </c>
      <c r="U384" s="11">
        <v>170</v>
      </c>
      <c r="V384" s="11">
        <v>120</v>
      </c>
      <c r="W384" s="11">
        <v>8</v>
      </c>
    </row>
    <row r="385" spans="3:23">
      <c r="C385" s="96" t="s">
        <v>27</v>
      </c>
      <c r="D385" s="151" t="s">
        <v>433</v>
      </c>
      <c r="E385" s="159" t="s">
        <v>37</v>
      </c>
      <c r="F385" s="160">
        <v>42590</v>
      </c>
      <c r="G385" s="206" t="s">
        <v>434</v>
      </c>
      <c r="H385" s="104" t="s">
        <v>31</v>
      </c>
      <c r="I385" s="87" t="s">
        <v>32</v>
      </c>
      <c r="J385" s="87" t="s">
        <v>33</v>
      </c>
      <c r="K385" s="10">
        <v>0.6</v>
      </c>
      <c r="L385" s="161">
        <v>1</v>
      </c>
      <c r="M385" s="161">
        <v>1</v>
      </c>
      <c r="N385" s="10">
        <v>-2</v>
      </c>
      <c r="O385" s="10">
        <v>-0.75</v>
      </c>
      <c r="P385" s="115">
        <v>165</v>
      </c>
      <c r="Q385" s="148">
        <f t="shared" si="8"/>
        <v>-2.375</v>
      </c>
      <c r="R385" s="163" t="s">
        <v>219</v>
      </c>
      <c r="S385" s="11">
        <v>24.52</v>
      </c>
      <c r="T385" s="11">
        <v>170</v>
      </c>
      <c r="U385" s="11">
        <v>80</v>
      </c>
      <c r="V385" s="11">
        <v>0</v>
      </c>
      <c r="W385" s="11">
        <v>0</v>
      </c>
    </row>
    <row r="386" spans="3:23">
      <c r="C386" s="96" t="s">
        <v>27</v>
      </c>
      <c r="H386" s="4" t="s">
        <v>31</v>
      </c>
      <c r="J386" s="87" t="s">
        <v>34</v>
      </c>
      <c r="K386" s="10">
        <v>0.6</v>
      </c>
      <c r="L386" s="154">
        <v>1</v>
      </c>
      <c r="M386" s="146">
        <v>1</v>
      </c>
      <c r="N386" s="10">
        <v>-2.25</v>
      </c>
      <c r="O386" s="10">
        <v>-1</v>
      </c>
      <c r="P386" s="115">
        <v>175</v>
      </c>
      <c r="Q386" s="148">
        <f t="shared" si="8"/>
        <v>-2.75</v>
      </c>
      <c r="S386" s="11">
        <v>24.74</v>
      </c>
      <c r="T386" s="11">
        <v>170</v>
      </c>
      <c r="U386" s="11">
        <v>60</v>
      </c>
      <c r="V386" s="11">
        <v>9</v>
      </c>
      <c r="W386" s="11">
        <v>0</v>
      </c>
    </row>
    <row r="387" spans="3:23">
      <c r="C387" s="96" t="s">
        <v>27</v>
      </c>
      <c r="D387" s="151" t="s">
        <v>435</v>
      </c>
      <c r="E387" s="159" t="s">
        <v>37</v>
      </c>
      <c r="F387" s="160">
        <v>42722</v>
      </c>
      <c r="G387" s="206" t="s">
        <v>436</v>
      </c>
      <c r="H387" s="104" t="s">
        <v>45</v>
      </c>
      <c r="I387" s="87" t="s">
        <v>32</v>
      </c>
      <c r="J387" s="87" t="s">
        <v>33</v>
      </c>
      <c r="K387" s="10">
        <v>0.5</v>
      </c>
      <c r="L387" s="161">
        <v>1</v>
      </c>
      <c r="M387" s="161">
        <v>1</v>
      </c>
      <c r="N387" s="10">
        <v>-1</v>
      </c>
      <c r="O387" s="10">
        <v>0</v>
      </c>
      <c r="P387" s="115">
        <v>0</v>
      </c>
      <c r="Q387" s="148">
        <f t="shared" si="8"/>
        <v>-1</v>
      </c>
      <c r="R387" s="163" t="s">
        <v>219</v>
      </c>
      <c r="S387" s="11">
        <v>23.85</v>
      </c>
      <c r="T387" s="11">
        <v>170</v>
      </c>
      <c r="U387" s="11">
        <v>170</v>
      </c>
      <c r="V387" s="11">
        <v>15</v>
      </c>
      <c r="W387" s="11">
        <v>6</v>
      </c>
    </row>
    <row r="388" spans="3:23">
      <c r="C388" s="96" t="s">
        <v>27</v>
      </c>
      <c r="H388" s="4" t="s">
        <v>45</v>
      </c>
      <c r="J388" s="87" t="s">
        <v>34</v>
      </c>
      <c r="K388" s="10">
        <v>0.5</v>
      </c>
      <c r="L388" s="154">
        <v>1</v>
      </c>
      <c r="M388" s="146">
        <v>1</v>
      </c>
      <c r="N388" s="10">
        <v>-1</v>
      </c>
      <c r="O388" s="10">
        <v>0</v>
      </c>
      <c r="P388" s="115">
        <v>0</v>
      </c>
      <c r="Q388" s="148">
        <f t="shared" si="8"/>
        <v>-1</v>
      </c>
      <c r="S388" s="11">
        <v>23.95</v>
      </c>
      <c r="T388" s="11">
        <v>170</v>
      </c>
      <c r="U388" s="11">
        <v>80</v>
      </c>
      <c r="V388" s="11">
        <v>80</v>
      </c>
      <c r="W388" s="11">
        <v>15</v>
      </c>
    </row>
    <row r="389" spans="3:23">
      <c r="C389" s="96" t="s">
        <v>27</v>
      </c>
      <c r="D389" s="151" t="s">
        <v>437</v>
      </c>
      <c r="E389" s="159" t="s">
        <v>37</v>
      </c>
      <c r="F389" s="160">
        <v>43573</v>
      </c>
      <c r="G389" s="206" t="s">
        <v>438</v>
      </c>
      <c r="H389" s="104" t="s">
        <v>39</v>
      </c>
      <c r="I389" s="87" t="s">
        <v>32</v>
      </c>
      <c r="J389" s="87" t="s">
        <v>33</v>
      </c>
      <c r="K389" s="10">
        <v>0.4</v>
      </c>
      <c r="L389" s="161">
        <v>1</v>
      </c>
      <c r="M389" s="161">
        <v>1</v>
      </c>
      <c r="N389" s="10">
        <v>-0.75</v>
      </c>
      <c r="O389" s="10">
        <v>-0.75</v>
      </c>
      <c r="P389" s="115">
        <v>85</v>
      </c>
      <c r="Q389" s="148">
        <f t="shared" si="8"/>
        <v>-1.125</v>
      </c>
      <c r="R389" s="163" t="s">
        <v>219</v>
      </c>
      <c r="S389" s="11">
        <v>23.74</v>
      </c>
      <c r="T389" s="11">
        <v>170</v>
      </c>
      <c r="U389" s="11">
        <v>120</v>
      </c>
      <c r="V389" s="11">
        <v>15</v>
      </c>
      <c r="W389" s="11">
        <v>0</v>
      </c>
    </row>
    <row r="390" spans="3:23">
      <c r="C390" s="96" t="s">
        <v>27</v>
      </c>
      <c r="H390" s="4" t="s">
        <v>39</v>
      </c>
      <c r="J390" s="87" t="s">
        <v>34</v>
      </c>
      <c r="K390" s="10">
        <v>0.4</v>
      </c>
      <c r="L390" s="154">
        <v>1</v>
      </c>
      <c r="M390" s="146">
        <v>1</v>
      </c>
      <c r="N390" s="10">
        <v>-1</v>
      </c>
      <c r="O390" s="10">
        <v>-0.5</v>
      </c>
      <c r="P390" s="115">
        <v>45</v>
      </c>
      <c r="Q390" s="148">
        <f t="shared" si="8"/>
        <v>-1.25</v>
      </c>
      <c r="S390" s="11">
        <v>23.49</v>
      </c>
      <c r="T390" s="11">
        <v>170</v>
      </c>
      <c r="U390" s="11">
        <v>80</v>
      </c>
      <c r="V390" s="11">
        <v>25</v>
      </c>
      <c r="W390" s="11">
        <v>4</v>
      </c>
    </row>
    <row r="391" spans="3:23">
      <c r="C391" s="96" t="s">
        <v>27</v>
      </c>
      <c r="D391" s="151" t="s">
        <v>439</v>
      </c>
      <c r="E391" s="159" t="s">
        <v>29</v>
      </c>
      <c r="F391" s="160">
        <v>41598</v>
      </c>
      <c r="G391" s="206" t="s">
        <v>440</v>
      </c>
      <c r="H391" s="104" t="s">
        <v>48</v>
      </c>
      <c r="I391" s="87" t="s">
        <v>32</v>
      </c>
      <c r="J391" s="87" t="s">
        <v>33</v>
      </c>
      <c r="K391" s="10">
        <v>0.6</v>
      </c>
      <c r="L391" s="161">
        <v>1</v>
      </c>
      <c r="M391" s="161">
        <v>1</v>
      </c>
      <c r="N391" s="10">
        <v>-0.5</v>
      </c>
      <c r="O391" s="10">
        <v>0</v>
      </c>
      <c r="P391" s="115">
        <v>0</v>
      </c>
      <c r="Q391" s="148">
        <f t="shared" si="8"/>
        <v>-0.5</v>
      </c>
      <c r="R391" s="163" t="s">
        <v>219</v>
      </c>
      <c r="S391" s="11">
        <v>23.66</v>
      </c>
      <c r="T391" s="11">
        <v>170</v>
      </c>
      <c r="U391" s="11">
        <v>170</v>
      </c>
      <c r="V391" s="11">
        <v>45</v>
      </c>
      <c r="W391" s="11">
        <v>8</v>
      </c>
    </row>
    <row r="392" spans="3:23">
      <c r="C392" s="96" t="s">
        <v>27</v>
      </c>
      <c r="H392" s="4" t="s">
        <v>48</v>
      </c>
      <c r="J392" s="87" t="s">
        <v>34</v>
      </c>
      <c r="K392" s="10">
        <v>0.6</v>
      </c>
      <c r="L392" s="154">
        <v>1</v>
      </c>
      <c r="M392" s="146">
        <v>1</v>
      </c>
      <c r="N392" s="10">
        <v>-0.75</v>
      </c>
      <c r="O392" s="10">
        <v>0</v>
      </c>
      <c r="P392" s="115">
        <v>0</v>
      </c>
      <c r="Q392" s="148">
        <f t="shared" si="8"/>
        <v>-0.75</v>
      </c>
      <c r="S392" s="11">
        <v>23.7</v>
      </c>
      <c r="T392" s="11">
        <v>170</v>
      </c>
      <c r="U392" s="11">
        <v>170</v>
      </c>
      <c r="V392" s="11">
        <v>120</v>
      </c>
      <c r="W392" s="11">
        <v>6</v>
      </c>
    </row>
    <row r="393" spans="3:23">
      <c r="C393" s="96" t="s">
        <v>27</v>
      </c>
      <c r="D393" s="151" t="s">
        <v>441</v>
      </c>
      <c r="E393" s="159" t="s">
        <v>29</v>
      </c>
      <c r="F393" s="160">
        <v>42601</v>
      </c>
      <c r="G393" s="206" t="s">
        <v>442</v>
      </c>
      <c r="H393" s="4" t="s">
        <v>48</v>
      </c>
      <c r="I393" s="87" t="s">
        <v>32</v>
      </c>
      <c r="J393" s="87" t="s">
        <v>33</v>
      </c>
      <c r="K393" s="10">
        <v>0.25</v>
      </c>
      <c r="L393" s="161">
        <v>1</v>
      </c>
      <c r="M393" s="161">
        <v>1</v>
      </c>
      <c r="N393" s="10">
        <v>-2.5</v>
      </c>
      <c r="O393" s="10">
        <v>0</v>
      </c>
      <c r="P393" s="115">
        <v>0</v>
      </c>
      <c r="Q393" s="148">
        <f t="shared" si="8"/>
        <v>-2.5</v>
      </c>
      <c r="S393" s="11">
        <v>25.29</v>
      </c>
      <c r="T393" s="11">
        <v>170</v>
      </c>
      <c r="U393" s="11">
        <v>170</v>
      </c>
      <c r="V393" s="11">
        <v>80</v>
      </c>
      <c r="W393" s="11">
        <v>0</v>
      </c>
    </row>
    <row r="394" spans="3:23">
      <c r="C394" s="96" t="s">
        <v>27</v>
      </c>
      <c r="H394" s="4" t="s">
        <v>48</v>
      </c>
      <c r="J394" s="87" t="s">
        <v>34</v>
      </c>
      <c r="K394" s="10">
        <v>0.3</v>
      </c>
      <c r="L394" s="161">
        <v>1</v>
      </c>
      <c r="M394" s="161">
        <v>1</v>
      </c>
      <c r="N394" s="10">
        <v>-2.75</v>
      </c>
      <c r="O394" s="10">
        <v>0</v>
      </c>
      <c r="P394" s="115">
        <v>0</v>
      </c>
      <c r="Q394" s="148">
        <f t="shared" si="8"/>
        <v>-2.75</v>
      </c>
      <c r="S394" s="11">
        <v>25.31</v>
      </c>
      <c r="T394" s="11">
        <v>170</v>
      </c>
      <c r="U394" s="11">
        <v>170</v>
      </c>
      <c r="V394" s="11">
        <v>80</v>
      </c>
      <c r="W394" s="11">
        <v>24</v>
      </c>
    </row>
    <row r="395" spans="3:23">
      <c r="C395" s="96" t="s">
        <v>27</v>
      </c>
      <c r="D395" s="151" t="s">
        <v>443</v>
      </c>
      <c r="E395" s="159" t="s">
        <v>29</v>
      </c>
      <c r="F395" s="160">
        <v>41855</v>
      </c>
      <c r="G395" s="206" t="s">
        <v>444</v>
      </c>
      <c r="H395" s="4" t="s">
        <v>31</v>
      </c>
      <c r="I395" s="87" t="s">
        <v>32</v>
      </c>
      <c r="J395" s="87" t="s">
        <v>33</v>
      </c>
      <c r="K395" s="172"/>
      <c r="L395" s="172"/>
      <c r="M395" s="172"/>
      <c r="N395" s="172"/>
      <c r="O395" s="172"/>
      <c r="P395" s="173"/>
      <c r="Q395" s="179"/>
      <c r="R395" s="163" t="s">
        <v>222</v>
      </c>
      <c r="S395" s="11">
        <v>23.17</v>
      </c>
      <c r="T395" s="11">
        <v>170</v>
      </c>
      <c r="U395" s="11">
        <v>170</v>
      </c>
      <c r="V395" s="11">
        <v>45</v>
      </c>
      <c r="W395" s="11">
        <v>6</v>
      </c>
    </row>
    <row r="396" spans="3:23">
      <c r="C396" s="96" t="s">
        <v>27</v>
      </c>
      <c r="H396" s="4" t="s">
        <v>31</v>
      </c>
      <c r="J396" s="87" t="s">
        <v>34</v>
      </c>
      <c r="K396" s="172"/>
      <c r="L396" s="172"/>
      <c r="M396" s="172"/>
      <c r="N396" s="172"/>
      <c r="O396" s="172"/>
      <c r="P396" s="173"/>
      <c r="Q396" s="179"/>
      <c r="S396" s="11">
        <v>22.94</v>
      </c>
      <c r="T396" s="11">
        <v>170</v>
      </c>
      <c r="U396" s="11">
        <v>120</v>
      </c>
      <c r="V396" s="11">
        <v>15</v>
      </c>
      <c r="W396" s="11">
        <v>4</v>
      </c>
    </row>
    <row r="397" spans="3:23">
      <c r="C397" s="96" t="s">
        <v>27</v>
      </c>
      <c r="D397" s="151" t="s">
        <v>445</v>
      </c>
      <c r="E397" s="159" t="s">
        <v>37</v>
      </c>
      <c r="G397" s="206" t="s">
        <v>446</v>
      </c>
      <c r="H397" s="4" t="s">
        <v>31</v>
      </c>
      <c r="I397" s="87" t="s">
        <v>32</v>
      </c>
      <c r="J397" s="87" t="s">
        <v>33</v>
      </c>
      <c r="K397" s="172"/>
      <c r="L397" s="172"/>
      <c r="M397" s="172"/>
      <c r="N397" s="10">
        <v>-1.25</v>
      </c>
      <c r="O397" s="10">
        <v>-0.75</v>
      </c>
      <c r="P397" s="115">
        <v>5</v>
      </c>
      <c r="Q397" s="148">
        <f t="shared" ref="Q397:Q402" si="9">N397+0.5*O397</f>
        <v>-1.625</v>
      </c>
      <c r="R397" s="163" t="s">
        <v>197</v>
      </c>
      <c r="S397" s="11">
        <v>24.81</v>
      </c>
      <c r="T397" s="11">
        <v>170</v>
      </c>
      <c r="U397" s="11">
        <v>170</v>
      </c>
      <c r="V397" s="11">
        <v>120</v>
      </c>
      <c r="W397" s="11">
        <v>45</v>
      </c>
    </row>
    <row r="398" spans="3:23">
      <c r="C398" s="96" t="s">
        <v>27</v>
      </c>
      <c r="H398" s="4" t="s">
        <v>31</v>
      </c>
      <c r="J398" s="87" t="s">
        <v>34</v>
      </c>
      <c r="K398" s="172"/>
      <c r="L398" s="172"/>
      <c r="M398" s="172"/>
      <c r="N398" s="10">
        <v>-1</v>
      </c>
      <c r="O398" s="10">
        <v>-0.75</v>
      </c>
      <c r="P398" s="115">
        <v>5</v>
      </c>
      <c r="Q398" s="148">
        <f t="shared" si="9"/>
        <v>-1.375</v>
      </c>
      <c r="S398" s="11">
        <v>24.65</v>
      </c>
      <c r="T398" s="163">
        <v>170</v>
      </c>
      <c r="U398" s="163">
        <v>170</v>
      </c>
      <c r="V398" s="163">
        <v>120</v>
      </c>
      <c r="W398" s="11">
        <v>24</v>
      </c>
    </row>
    <row r="399" spans="3:23">
      <c r="C399" s="96" t="s">
        <v>27</v>
      </c>
      <c r="D399" s="151" t="s">
        <v>447</v>
      </c>
      <c r="E399" s="159" t="s">
        <v>29</v>
      </c>
      <c r="G399" s="206" t="s">
        <v>448</v>
      </c>
      <c r="H399" s="4" t="s">
        <v>39</v>
      </c>
      <c r="I399" s="87" t="s">
        <v>32</v>
      </c>
      <c r="J399" s="87" t="s">
        <v>33</v>
      </c>
      <c r="K399" s="10">
        <v>0.25</v>
      </c>
      <c r="L399" s="161">
        <v>1</v>
      </c>
      <c r="M399" s="161">
        <v>1</v>
      </c>
      <c r="N399" s="10">
        <v>-2.5</v>
      </c>
      <c r="O399" s="10">
        <v>-0.5</v>
      </c>
      <c r="P399" s="115">
        <v>20</v>
      </c>
      <c r="Q399" s="148">
        <f t="shared" si="9"/>
        <v>-2.75</v>
      </c>
      <c r="R399" s="163" t="s">
        <v>222</v>
      </c>
      <c r="S399" s="11">
        <v>24.19</v>
      </c>
      <c r="T399" s="11">
        <v>170</v>
      </c>
      <c r="U399" s="11">
        <v>170</v>
      </c>
      <c r="V399" s="11">
        <v>45</v>
      </c>
      <c r="W399" s="11">
        <v>24</v>
      </c>
    </row>
    <row r="400" spans="3:23">
      <c r="C400" s="96" t="s">
        <v>27</v>
      </c>
      <c r="H400" s="4" t="s">
        <v>39</v>
      </c>
      <c r="J400" s="87" t="s">
        <v>34</v>
      </c>
      <c r="K400" s="10">
        <v>0.25</v>
      </c>
      <c r="L400" s="161">
        <v>1</v>
      </c>
      <c r="M400" s="161">
        <v>1</v>
      </c>
      <c r="N400" s="10">
        <v>-1.5</v>
      </c>
      <c r="O400" s="10">
        <v>-0.75</v>
      </c>
      <c r="P400" s="115">
        <v>170</v>
      </c>
      <c r="Q400" s="148">
        <f t="shared" si="9"/>
        <v>-1.875</v>
      </c>
      <c r="S400" s="11">
        <v>24.1</v>
      </c>
      <c r="T400" s="163">
        <v>170</v>
      </c>
      <c r="U400" s="163">
        <v>170</v>
      </c>
      <c r="V400" s="11">
        <v>35</v>
      </c>
      <c r="W400" s="11">
        <v>6</v>
      </c>
    </row>
    <row r="401" spans="3:23">
      <c r="C401" s="96" t="s">
        <v>27</v>
      </c>
      <c r="D401" s="151" t="s">
        <v>449</v>
      </c>
      <c r="E401" s="159" t="s">
        <v>37</v>
      </c>
      <c r="G401" s="206" t="s">
        <v>450</v>
      </c>
      <c r="H401" s="4" t="s">
        <v>48</v>
      </c>
      <c r="I401" s="87" t="s">
        <v>32</v>
      </c>
      <c r="J401" s="87" t="s">
        <v>33</v>
      </c>
      <c r="K401" s="10">
        <v>0.4</v>
      </c>
      <c r="L401" s="161">
        <v>1</v>
      </c>
      <c r="M401" s="161">
        <v>1</v>
      </c>
      <c r="N401" s="10">
        <v>1.25</v>
      </c>
      <c r="O401" s="10">
        <v>0</v>
      </c>
      <c r="P401" s="115">
        <v>0</v>
      </c>
      <c r="Q401" s="148">
        <f t="shared" si="9"/>
        <v>1.25</v>
      </c>
      <c r="R401" s="163" t="s">
        <v>222</v>
      </c>
      <c r="S401" s="11">
        <v>24.1</v>
      </c>
      <c r="T401" s="11">
        <v>170</v>
      </c>
      <c r="U401" s="11">
        <v>120</v>
      </c>
      <c r="V401" s="11">
        <v>6</v>
      </c>
      <c r="W401" s="11">
        <v>6</v>
      </c>
    </row>
    <row r="402" spans="3:23">
      <c r="C402" s="96" t="s">
        <v>27</v>
      </c>
      <c r="H402" s="4" t="s">
        <v>48</v>
      </c>
      <c r="J402" s="87" t="s">
        <v>34</v>
      </c>
      <c r="K402" s="10">
        <v>0.3</v>
      </c>
      <c r="L402" s="161">
        <v>1</v>
      </c>
      <c r="M402" s="161">
        <v>1</v>
      </c>
      <c r="N402" s="10">
        <v>1.5</v>
      </c>
      <c r="O402" s="10">
        <v>0</v>
      </c>
      <c r="P402" s="115">
        <v>0</v>
      </c>
      <c r="Q402" s="148">
        <f t="shared" si="9"/>
        <v>1.5</v>
      </c>
      <c r="S402" s="11">
        <v>24.12</v>
      </c>
      <c r="T402" s="11">
        <v>170</v>
      </c>
      <c r="U402" s="11">
        <v>120</v>
      </c>
      <c r="V402" s="11">
        <v>120</v>
      </c>
      <c r="W402" s="11">
        <v>65</v>
      </c>
    </row>
    <row r="403" spans="3:23">
      <c r="C403" s="96" t="s">
        <v>27</v>
      </c>
      <c r="G403" s="206" t="s">
        <v>451</v>
      </c>
      <c r="H403" s="4" t="s">
        <v>39</v>
      </c>
      <c r="I403" s="87" t="s">
        <v>32</v>
      </c>
      <c r="J403" s="87" t="s">
        <v>33</v>
      </c>
      <c r="K403" s="172"/>
      <c r="L403" s="172"/>
      <c r="M403" s="172"/>
      <c r="N403" s="172"/>
      <c r="O403" s="172"/>
      <c r="P403" s="173"/>
      <c r="Q403" s="179"/>
      <c r="R403" s="163" t="s">
        <v>219</v>
      </c>
      <c r="S403" s="11">
        <v>23.15</v>
      </c>
      <c r="T403" s="11">
        <v>170</v>
      </c>
      <c r="U403" s="11">
        <v>170</v>
      </c>
      <c r="V403" s="11">
        <v>120</v>
      </c>
      <c r="W403" s="11">
        <v>8</v>
      </c>
    </row>
    <row r="404" spans="3:23">
      <c r="H404" s="4" t="s">
        <v>39</v>
      </c>
      <c r="J404" s="87" t="s">
        <v>34</v>
      </c>
      <c r="K404" s="172"/>
      <c r="L404" s="172"/>
      <c r="M404" s="172"/>
      <c r="N404" s="172"/>
      <c r="O404" s="172"/>
      <c r="P404" s="173"/>
      <c r="Q404" s="179"/>
      <c r="S404" s="11">
        <v>23.39</v>
      </c>
      <c r="T404" s="163">
        <v>170</v>
      </c>
      <c r="U404" s="163">
        <v>170</v>
      </c>
      <c r="V404" s="163">
        <v>120</v>
      </c>
      <c r="W404" s="11">
        <v>8</v>
      </c>
    </row>
    <row r="405" spans="3:23">
      <c r="G405" s="186" t="s">
        <v>452</v>
      </c>
      <c r="H405" s="4" t="s">
        <v>48</v>
      </c>
      <c r="I405" s="87" t="s">
        <v>32</v>
      </c>
      <c r="J405" s="87" t="s">
        <v>33</v>
      </c>
      <c r="K405" s="10">
        <v>0.3</v>
      </c>
      <c r="L405" s="161">
        <v>1</v>
      </c>
      <c r="M405" s="161">
        <v>1</v>
      </c>
      <c r="N405" s="10">
        <v>-3.25</v>
      </c>
      <c r="O405" s="10">
        <v>-0.5</v>
      </c>
      <c r="P405" s="115">
        <v>30</v>
      </c>
      <c r="Q405" s="148">
        <f>N405+0.5*O405</f>
        <v>-3.5</v>
      </c>
      <c r="S405" s="11">
        <v>24.61</v>
      </c>
      <c r="T405" s="11">
        <v>170</v>
      </c>
      <c r="U405" s="11">
        <v>170</v>
      </c>
      <c r="V405" s="11">
        <v>15</v>
      </c>
      <c r="W405" s="11">
        <v>4</v>
      </c>
    </row>
    <row r="406" spans="3:23">
      <c r="H406" s="4" t="s">
        <v>48</v>
      </c>
      <c r="J406" s="87" t="s">
        <v>34</v>
      </c>
      <c r="K406" s="10">
        <v>0.3</v>
      </c>
      <c r="L406" s="161">
        <v>1</v>
      </c>
      <c r="M406" s="161">
        <v>1</v>
      </c>
      <c r="N406" s="10">
        <v>-3.25</v>
      </c>
      <c r="O406" s="10">
        <v>-0.5</v>
      </c>
      <c r="P406" s="115">
        <v>15</v>
      </c>
      <c r="Q406" s="148">
        <f>N406+0.5*O406</f>
        <v>-3.5</v>
      </c>
      <c r="S406" s="11">
        <v>24.52</v>
      </c>
      <c r="T406" s="11">
        <v>170</v>
      </c>
      <c r="U406" s="11">
        <v>120</v>
      </c>
      <c r="V406" s="11">
        <v>120</v>
      </c>
      <c r="W406" s="11">
        <v>6</v>
      </c>
    </row>
    <row r="407" spans="3:23">
      <c r="G407" s="186" t="s">
        <v>453</v>
      </c>
      <c r="H407" s="4" t="s">
        <v>39</v>
      </c>
      <c r="I407" s="87" t="s">
        <v>32</v>
      </c>
      <c r="J407" s="87" t="s">
        <v>33</v>
      </c>
      <c r="K407" s="10">
        <v>0.6</v>
      </c>
      <c r="L407" s="161">
        <v>1</v>
      </c>
      <c r="M407" s="161">
        <v>1</v>
      </c>
      <c r="N407" s="10">
        <v>-0.75</v>
      </c>
      <c r="O407" s="10">
        <v>-0.75</v>
      </c>
      <c r="P407" s="115">
        <v>155</v>
      </c>
      <c r="Q407" s="148">
        <f>N407+0.5*O407</f>
        <v>-1.125</v>
      </c>
      <c r="R407" s="163" t="s">
        <v>219</v>
      </c>
      <c r="S407" s="11">
        <v>23.18</v>
      </c>
      <c r="T407" s="11">
        <v>170</v>
      </c>
      <c r="U407" s="11">
        <v>170</v>
      </c>
      <c r="V407" s="11">
        <v>6</v>
      </c>
      <c r="W407" s="11">
        <v>3</v>
      </c>
    </row>
    <row r="408" spans="3:23">
      <c r="H408" s="4" t="s">
        <v>39</v>
      </c>
      <c r="J408" s="87" t="s">
        <v>34</v>
      </c>
      <c r="K408" s="10">
        <v>0.6</v>
      </c>
      <c r="L408" s="161">
        <v>1</v>
      </c>
      <c r="M408" s="161">
        <v>1</v>
      </c>
      <c r="N408" s="10">
        <v>-0.25</v>
      </c>
      <c r="O408" s="10">
        <v>-1</v>
      </c>
      <c r="P408" s="115">
        <v>165</v>
      </c>
      <c r="Q408" s="148">
        <f>N408+0.5*O408</f>
        <v>-0.75</v>
      </c>
      <c r="S408" s="11">
        <v>23.09</v>
      </c>
      <c r="T408" s="163">
        <v>170</v>
      </c>
      <c r="U408" s="163">
        <v>170</v>
      </c>
      <c r="V408" s="11">
        <v>60</v>
      </c>
      <c r="W408" s="11">
        <v>35</v>
      </c>
    </row>
    <row r="409" spans="3:23">
      <c r="G409" s="186" t="s">
        <v>454</v>
      </c>
      <c r="H409" s="4" t="s">
        <v>45</v>
      </c>
      <c r="I409" s="87" t="s">
        <v>32</v>
      </c>
      <c r="J409" s="87" t="s">
        <v>33</v>
      </c>
      <c r="K409" s="172"/>
      <c r="L409" s="172"/>
      <c r="M409" s="172"/>
      <c r="N409" s="172"/>
      <c r="O409" s="172"/>
      <c r="P409" s="173"/>
      <c r="Q409" s="179"/>
      <c r="R409" s="163" t="s">
        <v>222</v>
      </c>
      <c r="S409" s="11">
        <v>23.21</v>
      </c>
      <c r="T409" s="11">
        <v>170</v>
      </c>
      <c r="U409" s="11">
        <v>170</v>
      </c>
      <c r="V409" s="11">
        <v>80</v>
      </c>
      <c r="W409" s="11">
        <v>15</v>
      </c>
    </row>
    <row r="410" spans="3:23">
      <c r="H410" s="4" t="s">
        <v>45</v>
      </c>
      <c r="J410" s="87" t="s">
        <v>34</v>
      </c>
      <c r="K410" s="172"/>
      <c r="L410" s="172"/>
      <c r="M410" s="172"/>
      <c r="N410" s="172"/>
      <c r="O410" s="172"/>
      <c r="P410" s="173"/>
      <c r="Q410" s="179"/>
      <c r="S410" s="11">
        <v>23.15</v>
      </c>
      <c r="T410" s="11">
        <v>170</v>
      </c>
      <c r="U410" s="11">
        <v>120</v>
      </c>
      <c r="V410" s="11">
        <v>120</v>
      </c>
      <c r="W410" s="11">
        <v>15</v>
      </c>
    </row>
    <row r="411" spans="3:23">
      <c r="G411" s="186" t="s">
        <v>455</v>
      </c>
      <c r="H411" s="4" t="s">
        <v>31</v>
      </c>
      <c r="I411" s="87" t="s">
        <v>32</v>
      </c>
      <c r="J411" s="87" t="s">
        <v>33</v>
      </c>
      <c r="L411" s="10">
        <v>1</v>
      </c>
      <c r="N411" s="10">
        <v>-0.5</v>
      </c>
      <c r="O411" s="10">
        <v>0</v>
      </c>
      <c r="P411" s="115">
        <v>0</v>
      </c>
      <c r="Q411" s="148">
        <f t="shared" ref="Q411:Q418" si="10">N411+0.5*O411</f>
        <v>-0.5</v>
      </c>
      <c r="R411" s="163" t="s">
        <v>219</v>
      </c>
      <c r="S411" s="11">
        <v>23.27</v>
      </c>
      <c r="T411" s="11">
        <v>170</v>
      </c>
      <c r="U411" s="11">
        <v>170</v>
      </c>
      <c r="V411" s="11">
        <v>45</v>
      </c>
      <c r="W411" s="11">
        <v>8</v>
      </c>
    </row>
    <row r="412" spans="3:23">
      <c r="H412" s="4" t="s">
        <v>31</v>
      </c>
      <c r="J412" s="87" t="s">
        <v>34</v>
      </c>
      <c r="L412" s="10">
        <v>1</v>
      </c>
      <c r="N412" s="10">
        <v>-1.25</v>
      </c>
      <c r="O412" s="10">
        <v>0</v>
      </c>
      <c r="P412" s="115">
        <v>0</v>
      </c>
      <c r="Q412" s="148">
        <f t="shared" si="10"/>
        <v>-1.25</v>
      </c>
      <c r="S412" s="11">
        <v>23.39</v>
      </c>
      <c r="T412" s="163">
        <v>170</v>
      </c>
      <c r="U412" s="163">
        <v>170</v>
      </c>
      <c r="V412" s="11">
        <v>60</v>
      </c>
      <c r="W412" s="11">
        <v>8</v>
      </c>
    </row>
    <row r="413" spans="3:23">
      <c r="G413" s="186" t="s">
        <v>456</v>
      </c>
      <c r="H413" s="4" t="s">
        <v>45</v>
      </c>
      <c r="I413" s="87" t="s">
        <v>32</v>
      </c>
      <c r="J413" s="87" t="s">
        <v>33</v>
      </c>
      <c r="K413" s="10">
        <v>0.4</v>
      </c>
      <c r="L413" s="10">
        <v>1</v>
      </c>
      <c r="M413" s="10">
        <v>1</v>
      </c>
      <c r="N413" s="10">
        <v>-2.5</v>
      </c>
      <c r="O413" s="10">
        <v>-1</v>
      </c>
      <c r="P413" s="115">
        <v>170</v>
      </c>
      <c r="Q413" s="148">
        <f t="shared" si="10"/>
        <v>-3</v>
      </c>
      <c r="R413" s="163" t="s">
        <v>219</v>
      </c>
      <c r="S413" s="11">
        <v>24.85</v>
      </c>
      <c r="T413" s="11">
        <v>170</v>
      </c>
      <c r="U413" s="11">
        <v>170</v>
      </c>
      <c r="V413" s="11">
        <v>120</v>
      </c>
      <c r="W413" s="11">
        <v>45</v>
      </c>
    </row>
    <row r="414" spans="3:23">
      <c r="H414" s="4" t="s">
        <v>45</v>
      </c>
      <c r="J414" s="87" t="s">
        <v>34</v>
      </c>
      <c r="K414" s="10">
        <v>0.5</v>
      </c>
      <c r="L414" s="10">
        <v>1</v>
      </c>
      <c r="M414" s="10">
        <v>1</v>
      </c>
      <c r="N414" s="10">
        <v>-1.75</v>
      </c>
      <c r="O414" s="10">
        <v>-1.25</v>
      </c>
      <c r="P414" s="115">
        <v>170</v>
      </c>
      <c r="Q414" s="148">
        <f t="shared" si="10"/>
        <v>-2.375</v>
      </c>
      <c r="S414" s="11">
        <v>24.74</v>
      </c>
      <c r="T414" s="11">
        <v>170</v>
      </c>
      <c r="U414" s="11">
        <v>170</v>
      </c>
      <c r="V414" s="11">
        <v>45</v>
      </c>
      <c r="W414" s="11">
        <v>6</v>
      </c>
    </row>
    <row r="415" spans="3:23">
      <c r="G415" s="186" t="s">
        <v>457</v>
      </c>
      <c r="H415" s="4" t="s">
        <v>39</v>
      </c>
      <c r="I415" s="87" t="s">
        <v>32</v>
      </c>
      <c r="J415" s="87" t="s">
        <v>33</v>
      </c>
      <c r="K415" s="10">
        <v>0.3</v>
      </c>
      <c r="L415" s="10">
        <v>1</v>
      </c>
      <c r="M415" s="10">
        <v>1</v>
      </c>
      <c r="N415" s="10">
        <v>-2.25</v>
      </c>
      <c r="O415" s="10">
        <v>-1.25</v>
      </c>
      <c r="P415" s="115">
        <v>170</v>
      </c>
      <c r="Q415" s="148">
        <f t="shared" si="10"/>
        <v>-2.875</v>
      </c>
      <c r="R415" s="163" t="s">
        <v>219</v>
      </c>
      <c r="S415" s="11">
        <v>24.69</v>
      </c>
      <c r="T415" s="11">
        <v>170</v>
      </c>
      <c r="U415" s="11">
        <v>170</v>
      </c>
      <c r="V415" s="11">
        <v>35</v>
      </c>
      <c r="W415" s="11">
        <v>3</v>
      </c>
    </row>
    <row r="416" spans="3:23">
      <c r="H416" s="4" t="s">
        <v>39</v>
      </c>
      <c r="J416" s="87" t="s">
        <v>34</v>
      </c>
      <c r="K416" s="10">
        <v>0.3</v>
      </c>
      <c r="L416" s="10">
        <v>1</v>
      </c>
      <c r="M416" s="10">
        <v>1</v>
      </c>
      <c r="N416" s="10">
        <v>-2</v>
      </c>
      <c r="O416" s="10">
        <v>-1</v>
      </c>
      <c r="P416" s="115">
        <v>170</v>
      </c>
      <c r="Q416" s="148">
        <f t="shared" si="10"/>
        <v>-2.5</v>
      </c>
      <c r="S416" s="11">
        <v>24.6</v>
      </c>
      <c r="T416" s="11">
        <v>170</v>
      </c>
      <c r="U416" s="11">
        <v>170</v>
      </c>
      <c r="V416" s="11">
        <v>35</v>
      </c>
      <c r="W416" s="11">
        <v>6</v>
      </c>
    </row>
    <row r="417" spans="7:23">
      <c r="G417" s="186" t="s">
        <v>458</v>
      </c>
      <c r="H417" s="84" t="s">
        <v>39</v>
      </c>
      <c r="I417" s="81" t="s">
        <v>32</v>
      </c>
      <c r="J417" s="81" t="s">
        <v>33</v>
      </c>
      <c r="K417" s="10">
        <v>0.25</v>
      </c>
      <c r="L417" s="10">
        <v>1</v>
      </c>
      <c r="M417" s="10">
        <v>0.25</v>
      </c>
      <c r="N417" s="10">
        <v>-3</v>
      </c>
      <c r="O417" s="10">
        <v>-0.5</v>
      </c>
      <c r="P417" s="115">
        <v>160</v>
      </c>
      <c r="Q417" s="148">
        <f t="shared" si="10"/>
        <v>-3.25</v>
      </c>
      <c r="R417" s="163" t="s">
        <v>222</v>
      </c>
      <c r="S417" s="11">
        <v>24.05</v>
      </c>
      <c r="T417" s="11">
        <v>8</v>
      </c>
      <c r="U417" s="11">
        <v>4</v>
      </c>
      <c r="V417" s="11">
        <v>5</v>
      </c>
      <c r="W417" s="11">
        <v>5</v>
      </c>
    </row>
    <row r="418" spans="7:23">
      <c r="H418" s="4" t="s">
        <v>39</v>
      </c>
      <c r="J418" s="81" t="s">
        <v>34</v>
      </c>
      <c r="K418" s="10">
        <v>0.3</v>
      </c>
      <c r="L418" s="10">
        <v>1</v>
      </c>
      <c r="M418" s="10">
        <v>0.3</v>
      </c>
      <c r="N418" s="10">
        <v>-2.25</v>
      </c>
      <c r="O418" s="10">
        <v>-0.5</v>
      </c>
      <c r="P418" s="115">
        <v>25</v>
      </c>
      <c r="Q418" s="148">
        <f t="shared" si="10"/>
        <v>-2.5</v>
      </c>
      <c r="S418" s="11">
        <v>23.98</v>
      </c>
      <c r="T418" s="11">
        <v>6</v>
      </c>
      <c r="U418" s="11">
        <v>3</v>
      </c>
      <c r="V418" s="11">
        <v>5</v>
      </c>
      <c r="W418" s="11">
        <v>4</v>
      </c>
    </row>
  </sheetData>
  <autoFilter xmlns:etc="http://www.wps.cn/officeDocument/2017/etCustomData" ref="A1:AH418" etc:filterBottomFollowUsedRange="0">
    <extLst/>
  </autoFilter>
  <mergeCells count="3">
    <mergeCell ref="K1:M1"/>
    <mergeCell ref="N1:P1"/>
    <mergeCell ref="T1:W1"/>
  </mergeCells>
  <dataValidations count="7">
    <dataValidation type="decimal" operator="between" allowBlank="1" showErrorMessage="1" errorTitle="错误提示" error="请输入一个小数：数字介于 0 至 1.0 之间" sqref="L333:M333 K1:M310 K313:M320 K323:M332 K334:M1048576" errorStyle="information">
      <formula1>0</formula1>
      <formula2>1</formula2>
    </dataValidation>
    <dataValidation type="whole" operator="between" allowBlank="1" showErrorMessage="1" errorTitle="错误提示" error="请输入一个整数：数字介于 0 至 180 之间" sqref="H265:H266 P1:P160 P163:P198 P201:P222 P225:P268 P271:P272 P277:P282 P285:P290 P293:P296 P299:P300 P309:P310 P313:P314 P319:P320 P325:P336 P341:P342 P349:P352 P355:P362 P365:P366 P369:P370 P375:P376 P395:P396 P403:P404 P409:P1048576 T$1:W$1048576" errorStyle="information">
      <formula1>0</formula1>
      <formula2>180</formula2>
    </dataValidation>
    <dataValidation allowBlank="1" showErrorMessage="1" sqref="K311:K312 K321:K322 N161:N162 N199:N200 N223:N224 N269:N270 N273:N276 N283:N284 N291:N292 N297:N298 N301:N308 N311:N312 N315:N318 N321:N324 N337:N340 N343:N348 N353:N354 N363:N364 N367:N368 N371:N374 N377:N394 N397:N402 N405:N408" errorStyle="information"/>
    <dataValidation type="decimal" operator="between" allowBlank="1" showErrorMessage="1" errorTitle="错误提示" error="请输入一个小数：数字介于 -6 至 0.25 之间" sqref="N1:N160 N163:N198 N201:N222 N225:N268 N271:N272 N277:N282 N285:N290 N293:N296 N299:N300 N309:N310 N313:N314 N319:N320 N325:N336 N341:N342 N349:N352 N355:N362 N365:N366 N369:N370 N375:N376 N395:N396 N403:N404 N409:N1048576" errorStyle="information">
      <formula1>-6</formula1>
      <formula2>0.25</formula2>
    </dataValidation>
    <dataValidation type="decimal" operator="between" allowBlank="1" showErrorMessage="1" errorTitle="错误提示" error="请输入一个小数：数字介于 -1.5 至 0 之间" sqref="O1:O160 O163:O198 O201:O222 O225:O268 O271:O272 O277:O282 O285:O290 O293:O296 O299:O300 O309:O310 O313:O314 O319:O320 O325:O336 O341:O342 O349:O352 O355:O362 O365:O366 O369:O370 O375:O376 O395:O396 O403:O404 O409:O1048576" errorStyle="information">
      <formula1>-1.5</formula1>
      <formula2>0</formula2>
    </dataValidation>
    <dataValidation type="decimal" operator="between" allowBlank="1" showErrorMessage="1" errorTitle="错误提示" error="请输入一个小数：数字介于 -6.5 至 0.25 之间" sqref="Q$1:Q$1048576" errorStyle="information">
      <formula1>-6.5</formula1>
      <formula2>0.25</formula2>
    </dataValidation>
    <dataValidation type="decimal" operator="between" allowBlank="1" showErrorMessage="1" errorTitle="错误提示" error="请输入一个小数：数字介于 20 至 30 之间" sqref="S$1:S$1048576" errorStyle="information">
      <formula1>20</formula1>
      <formula2>30</formula2>
    </dataValidation>
  </dataValidation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26"/>
  <sheetViews>
    <sheetView tabSelected="1" zoomScale="111" zoomScaleNormal="111" topLeftCell="I1" workbookViewId="0">
      <pane ySplit="2" topLeftCell="A21" activePane="bottomLeft" state="frozen"/>
      <selection/>
      <selection pane="bottomLeft" activeCell="O1" sqref="O$1:O$1048576"/>
    </sheetView>
  </sheetViews>
  <sheetFormatPr defaultColWidth="9" defaultRowHeight="18.75" customHeight="1"/>
  <cols>
    <col min="1" max="1" width="16.6730769230769" style="1" customWidth="1"/>
    <col min="2" max="2" width="10.0096153846154" style="1" customWidth="1"/>
    <col min="3" max="3" width="8.67307692307692" style="1" customWidth="1"/>
    <col min="4" max="4" width="15.3461538461538" style="2" customWidth="1"/>
    <col min="5" max="5" width="15.0096153846154" style="3" customWidth="1"/>
    <col min="6" max="6" width="10.3942307692308" style="4" customWidth="1"/>
    <col min="7" max="7" width="8.67307692307692" style="1" customWidth="1"/>
    <col min="8" max="9" width="14.1730769230769" style="5" customWidth="1"/>
    <col min="10" max="10" width="14.1730769230769" style="6" customWidth="1"/>
    <col min="11" max="12" width="8.79807692307692" style="7" customWidth="1"/>
    <col min="13" max="13" width="8.79807692307692" style="8" customWidth="1"/>
    <col min="14" max="16" width="13.1346153846154" style="9" customWidth="1"/>
    <col min="17" max="18" width="15.7307692307692" style="10" customWidth="1"/>
    <col min="19" max="19" width="12.3461538461538" style="11" customWidth="1"/>
    <col min="20" max="20" width="12.1730769230769" style="11" customWidth="1"/>
    <col min="21" max="21" width="13.3461538461538" style="11" customWidth="1"/>
    <col min="22" max="22" width="13.5" style="11" customWidth="1"/>
    <col min="23" max="16384" width="9" style="1" customWidth="1"/>
  </cols>
  <sheetData>
    <row r="1" ht="23.2" customHeight="1" spans="1:29">
      <c r="A1" s="12"/>
      <c r="B1" s="12"/>
      <c r="C1" s="12"/>
      <c r="D1" s="13"/>
      <c r="E1" s="14"/>
      <c r="G1" s="12"/>
      <c r="H1" s="15" t="s">
        <v>0</v>
      </c>
      <c r="I1" s="16"/>
      <c r="J1" s="17"/>
      <c r="K1" s="18" t="s">
        <v>1</v>
      </c>
      <c r="L1" s="19"/>
      <c r="M1" s="16"/>
      <c r="N1" s="17"/>
      <c r="O1" s="17"/>
      <c r="P1" s="17"/>
      <c r="Q1" s="20"/>
      <c r="R1" s="20"/>
      <c r="S1" s="21" t="s">
        <v>2</v>
      </c>
      <c r="T1" s="19"/>
      <c r="U1" s="19"/>
      <c r="V1" s="16"/>
    </row>
    <row r="2" ht="67" customHeight="1" spans="1:29">
      <c r="A2" s="22" t="s">
        <v>5</v>
      </c>
      <c r="B2" s="22" t="s">
        <v>6</v>
      </c>
      <c r="C2" s="22" t="s">
        <v>7</v>
      </c>
      <c r="D2" s="23" t="s">
        <v>8</v>
      </c>
      <c r="E2" s="24" t="s">
        <v>9</v>
      </c>
      <c r="F2" s="25" t="s">
        <v>10</v>
      </c>
      <c r="G2" s="22" t="s">
        <v>12</v>
      </c>
      <c r="H2" s="26" t="s">
        <v>14</v>
      </c>
      <c r="I2" s="26" t="s">
        <v>459</v>
      </c>
      <c r="J2" s="27" t="s">
        <v>460</v>
      </c>
      <c r="K2" s="28" t="s">
        <v>16</v>
      </c>
      <c r="L2" s="28" t="s">
        <v>17</v>
      </c>
      <c r="M2" s="29" t="s">
        <v>18</v>
      </c>
      <c r="N2" s="27" t="s">
        <v>461</v>
      </c>
      <c r="O2" s="27" t="s">
        <v>462</v>
      </c>
      <c r="P2" s="27" t="s">
        <v>21</v>
      </c>
      <c r="Q2" s="28" t="s">
        <v>463</v>
      </c>
      <c r="R2" s="30" t="s">
        <v>464</v>
      </c>
      <c r="S2" s="31" t="s">
        <v>22</v>
      </c>
      <c r="T2" s="31" t="s">
        <v>23</v>
      </c>
      <c r="U2" s="31" t="s">
        <v>24</v>
      </c>
      <c r="V2" s="31" t="s">
        <v>25</v>
      </c>
    </row>
    <row r="3" ht="17.6" customHeight="1" spans="1:29">
      <c r="A3" s="32" t="str">
        <f>[1]取镜!C3</f>
        <v>石家庄人民眼科</v>
      </c>
      <c r="B3" s="32" t="str">
        <f>[1]取镜!D3</f>
        <v>张茗尘</v>
      </c>
      <c r="C3" s="32" t="str">
        <f>[1]取镜!E3</f>
        <v>女</v>
      </c>
      <c r="D3" s="33">
        <f>[1]取镜!F3</f>
        <v>41695</v>
      </c>
      <c r="E3" s="34" t="s">
        <v>30</v>
      </c>
      <c r="F3" s="25" t="s">
        <v>31</v>
      </c>
      <c r="G3" s="35" t="s">
        <v>33</v>
      </c>
      <c r="H3" s="36">
        <v>1</v>
      </c>
      <c r="I3" s="36">
        <v>1</v>
      </c>
      <c r="J3" s="37">
        <v>-0.875</v>
      </c>
      <c r="K3" s="38">
        <v>-0.5</v>
      </c>
      <c r="L3" s="38">
        <v>-1.5</v>
      </c>
      <c r="M3" s="39">
        <v>170</v>
      </c>
      <c r="N3" s="37">
        <v>-1.25</v>
      </c>
      <c r="O3" s="37">
        <f>N3-J3</f>
        <v>-0.375</v>
      </c>
      <c r="P3" s="37">
        <v>23.68</v>
      </c>
      <c r="Q3" s="40">
        <v>23.77</v>
      </c>
      <c r="R3" s="40">
        <v>0.09</v>
      </c>
      <c r="S3" s="41">
        <v>170</v>
      </c>
      <c r="T3" s="41">
        <v>170</v>
      </c>
      <c r="U3" s="41">
        <v>15</v>
      </c>
      <c r="V3" s="41">
        <v>4</v>
      </c>
      <c r="W3" s="42"/>
      <c r="X3" s="42"/>
      <c r="Y3" s="42"/>
      <c r="Z3" s="42"/>
      <c r="AA3" s="42"/>
      <c r="AB3" s="42"/>
      <c r="AC3" s="42"/>
    </row>
    <row r="4" ht="17.6" customHeight="1" spans="1:29">
      <c r="A4" s="32" t="str">
        <f>[1]取镜!C4</f>
        <v>石家庄人民眼科</v>
      </c>
      <c r="B4" s="32">
        <f>[1]取镜!D4</f>
        <v>0</v>
      </c>
      <c r="C4" s="32">
        <f>[1]取镜!E4</f>
        <v>0</v>
      </c>
      <c r="D4" s="33">
        <f>[1]取镜!F4</f>
        <v>0</v>
      </c>
      <c r="E4" s="34" t="s">
        <v>30</v>
      </c>
      <c r="F4" s="25" t="s">
        <v>465</v>
      </c>
      <c r="G4" s="35" t="s">
        <v>34</v>
      </c>
      <c r="H4" s="36">
        <v>1</v>
      </c>
      <c r="I4" s="36">
        <v>1</v>
      </c>
      <c r="J4" s="37">
        <v>-1.625</v>
      </c>
      <c r="K4" s="38">
        <v>-1</v>
      </c>
      <c r="L4" s="38">
        <v>-1.5</v>
      </c>
      <c r="M4" s="39">
        <v>5</v>
      </c>
      <c r="N4" s="37">
        <v>-1.75</v>
      </c>
      <c r="O4" s="37">
        <f t="shared" ref="O4:O35" si="0">N4-J4</f>
        <v>-0.125</v>
      </c>
      <c r="P4" s="37">
        <v>23.8</v>
      </c>
      <c r="Q4" s="40">
        <v>23.88</v>
      </c>
      <c r="R4" s="40">
        <v>0.08</v>
      </c>
      <c r="S4" s="41">
        <v>170</v>
      </c>
      <c r="T4" s="41">
        <v>170</v>
      </c>
      <c r="U4" s="41">
        <v>35</v>
      </c>
      <c r="V4" s="41">
        <v>6</v>
      </c>
      <c r="W4" s="42"/>
      <c r="X4" s="42"/>
      <c r="Y4" s="42"/>
      <c r="Z4" s="42"/>
      <c r="AA4" s="42"/>
      <c r="AB4" s="42"/>
      <c r="AC4" s="42"/>
    </row>
    <row r="5" ht="17.6" customHeight="1" spans="1:29">
      <c r="A5" s="32" t="str">
        <f>[1]取镜!C5</f>
        <v>石家庄人民眼科</v>
      </c>
      <c r="B5" s="32" t="str">
        <f>[1]取镜!D5</f>
        <v>康安迪</v>
      </c>
      <c r="C5" s="32" t="str">
        <f>[1]取镜!E5</f>
        <v>男</v>
      </c>
      <c r="D5" s="33">
        <f>[1]取镜!F5</f>
        <v>42452</v>
      </c>
      <c r="E5" s="34" t="s">
        <v>38</v>
      </c>
      <c r="F5" s="25" t="s">
        <v>39</v>
      </c>
      <c r="G5" s="35" t="s">
        <v>33</v>
      </c>
      <c r="H5" s="36">
        <v>1</v>
      </c>
      <c r="I5" s="36">
        <v>1</v>
      </c>
      <c r="J5" s="37">
        <v>-1</v>
      </c>
      <c r="K5" s="38">
        <v>-0.75</v>
      </c>
      <c r="L5" s="38">
        <v>-0.5</v>
      </c>
      <c r="M5" s="43">
        <v>5</v>
      </c>
      <c r="N5" s="37">
        <v>-1</v>
      </c>
      <c r="O5" s="37">
        <f t="shared" si="0"/>
        <v>0</v>
      </c>
      <c r="P5" s="37">
        <v>23.27</v>
      </c>
      <c r="Q5" s="40">
        <v>23.35</v>
      </c>
      <c r="R5" s="40">
        <v>0.08</v>
      </c>
      <c r="S5" s="41">
        <v>170</v>
      </c>
      <c r="T5" s="41">
        <v>170</v>
      </c>
      <c r="U5" s="41">
        <v>9</v>
      </c>
      <c r="V5" s="41">
        <v>4</v>
      </c>
      <c r="W5" s="42"/>
      <c r="X5" s="42"/>
      <c r="Y5" s="42"/>
      <c r="Z5" s="42"/>
      <c r="AA5" s="42"/>
      <c r="AB5" s="42"/>
      <c r="AC5" s="42"/>
    </row>
    <row r="6" ht="17.6" customHeight="1" spans="1:29">
      <c r="A6" s="32" t="str">
        <f>[1]取镜!C6</f>
        <v>石家庄人民眼科</v>
      </c>
      <c r="B6" s="32">
        <f>[1]取镜!D6</f>
        <v>0</v>
      </c>
      <c r="C6" s="32">
        <f>[1]取镜!E6</f>
        <v>0</v>
      </c>
      <c r="D6" s="33">
        <f>[1]取镜!F6</f>
        <v>0</v>
      </c>
      <c r="E6" s="34" t="s">
        <v>38</v>
      </c>
      <c r="F6" s="25" t="s">
        <v>39</v>
      </c>
      <c r="G6" s="35" t="s">
        <v>34</v>
      </c>
      <c r="H6" s="36">
        <v>1</v>
      </c>
      <c r="I6" s="36">
        <v>1</v>
      </c>
      <c r="J6" s="37">
        <v>-1.5</v>
      </c>
      <c r="K6" s="38">
        <v>-1.5</v>
      </c>
      <c r="L6" s="38">
        <v>-0.5</v>
      </c>
      <c r="M6" s="39">
        <v>160</v>
      </c>
      <c r="N6" s="37">
        <v>-1.75</v>
      </c>
      <c r="O6" s="37">
        <f t="shared" si="0"/>
        <v>-0.25</v>
      </c>
      <c r="P6" s="37">
        <v>23.61</v>
      </c>
      <c r="Q6" s="40">
        <v>23.73</v>
      </c>
      <c r="R6" s="40">
        <v>0.12</v>
      </c>
      <c r="S6" s="41">
        <v>170</v>
      </c>
      <c r="T6" s="41">
        <v>170</v>
      </c>
      <c r="U6" s="41">
        <v>25</v>
      </c>
      <c r="V6" s="41">
        <v>8</v>
      </c>
      <c r="W6" s="42"/>
      <c r="X6" s="42"/>
      <c r="Y6" s="42"/>
      <c r="Z6" s="42"/>
      <c r="AA6" s="42"/>
      <c r="AB6" s="42"/>
      <c r="AC6" s="42"/>
    </row>
    <row r="7" ht="17.6" customHeight="1" spans="1:29">
      <c r="A7" s="32" t="str">
        <f>[1]取镜!C7</f>
        <v>石家庄人民眼科</v>
      </c>
      <c r="B7" s="32" t="str">
        <f>[1]取镜!D7</f>
        <v>李参炜</v>
      </c>
      <c r="C7" s="32" t="str">
        <f>[1]取镜!E7</f>
        <v>男</v>
      </c>
      <c r="D7" s="33">
        <f>[1]取镜!F7</f>
        <v>41383</v>
      </c>
      <c r="E7" s="34" t="s">
        <v>42</v>
      </c>
      <c r="F7" s="25" t="s">
        <v>31</v>
      </c>
      <c r="G7" s="35" t="s">
        <v>33</v>
      </c>
      <c r="H7" s="36">
        <v>1</v>
      </c>
      <c r="I7" s="36">
        <v>1</v>
      </c>
      <c r="J7" s="37">
        <v>-3.625</v>
      </c>
      <c r="K7" s="38">
        <v>-3.75</v>
      </c>
      <c r="L7" s="38">
        <v>-1.25</v>
      </c>
      <c r="M7" s="39">
        <v>175</v>
      </c>
      <c r="N7" s="37">
        <v>-4.375</v>
      </c>
      <c r="O7" s="37">
        <f t="shared" si="0"/>
        <v>-0.75</v>
      </c>
      <c r="P7" s="37">
        <v>24.57</v>
      </c>
      <c r="Q7" s="40">
        <v>24.8</v>
      </c>
      <c r="R7" s="40">
        <v>0.23</v>
      </c>
      <c r="S7" s="41">
        <v>170</v>
      </c>
      <c r="T7" s="41">
        <v>170</v>
      </c>
      <c r="U7" s="41">
        <v>60</v>
      </c>
      <c r="V7" s="41">
        <v>15</v>
      </c>
      <c r="W7" s="42"/>
      <c r="X7" s="42"/>
      <c r="Y7" s="42"/>
      <c r="Z7" s="42"/>
      <c r="AA7" s="42"/>
      <c r="AB7" s="42"/>
      <c r="AC7" s="42"/>
    </row>
    <row r="8" ht="17.6" customHeight="1" spans="1:29">
      <c r="A8" s="32" t="str">
        <f>[1]取镜!C8</f>
        <v>石家庄人民眼科</v>
      </c>
      <c r="B8" s="32">
        <f>[1]取镜!D8</f>
        <v>0</v>
      </c>
      <c r="C8" s="32">
        <f>[1]取镜!E8</f>
        <v>0</v>
      </c>
      <c r="D8" s="33">
        <f>[1]取镜!F8</f>
        <v>0</v>
      </c>
      <c r="E8" s="34" t="s">
        <v>42</v>
      </c>
      <c r="F8" s="25" t="s">
        <v>31</v>
      </c>
      <c r="G8" s="35" t="s">
        <v>34</v>
      </c>
      <c r="H8" s="36">
        <v>1</v>
      </c>
      <c r="I8" s="36">
        <v>1</v>
      </c>
      <c r="J8" s="37">
        <v>-3.875</v>
      </c>
      <c r="K8" s="38">
        <v>-3.5</v>
      </c>
      <c r="L8" s="38">
        <v>-1.25</v>
      </c>
      <c r="M8" s="43">
        <v>10</v>
      </c>
      <c r="N8" s="37">
        <v>-4.125</v>
      </c>
      <c r="O8" s="37">
        <f t="shared" si="0"/>
        <v>-0.25</v>
      </c>
      <c r="P8" s="37">
        <v>24.69</v>
      </c>
      <c r="Q8" s="38">
        <v>24.82</v>
      </c>
      <c r="R8" s="38">
        <v>0.13</v>
      </c>
      <c r="S8" s="44">
        <v>170</v>
      </c>
      <c r="T8" s="44">
        <v>170</v>
      </c>
      <c r="U8" s="44">
        <v>60</v>
      </c>
      <c r="V8" s="44">
        <v>15</v>
      </c>
    </row>
    <row r="9" ht="17.6" customHeight="1" spans="1:29">
      <c r="A9" s="32" t="str">
        <f>[1]取镜!C9</f>
        <v>石家庄人民眼科</v>
      </c>
      <c r="B9" s="32" t="str">
        <f>[1]取镜!D9</f>
        <v>王锦天</v>
      </c>
      <c r="C9" s="32" t="str">
        <f>[1]取镜!E9</f>
        <v>男</v>
      </c>
      <c r="D9" s="33">
        <f>[1]取镜!F9</f>
        <v>41579</v>
      </c>
      <c r="E9" s="34" t="s">
        <v>44</v>
      </c>
      <c r="F9" s="25" t="s">
        <v>45</v>
      </c>
      <c r="G9" s="35" t="s">
        <v>33</v>
      </c>
      <c r="H9" s="36">
        <v>1</v>
      </c>
      <c r="I9" s="36">
        <v>1</v>
      </c>
      <c r="J9" s="37">
        <v>-2.75</v>
      </c>
      <c r="K9" s="38">
        <v>-2.5</v>
      </c>
      <c r="L9" s="38">
        <v>-0.75</v>
      </c>
      <c r="M9" s="39">
        <v>5</v>
      </c>
      <c r="N9" s="37">
        <v>-2.875</v>
      </c>
      <c r="O9" s="37">
        <f t="shared" si="0"/>
        <v>-0.125</v>
      </c>
      <c r="P9" s="37">
        <v>23.64</v>
      </c>
      <c r="Q9" s="40">
        <v>23.62</v>
      </c>
      <c r="R9" s="40">
        <v>-0.02</v>
      </c>
      <c r="S9" s="41">
        <v>170</v>
      </c>
      <c r="T9" s="41">
        <v>170</v>
      </c>
      <c r="U9" s="41">
        <v>35</v>
      </c>
      <c r="V9" s="41">
        <v>8</v>
      </c>
    </row>
    <row r="10" ht="17.6" customHeight="1" spans="1:29">
      <c r="A10" s="32" t="str">
        <f>[1]取镜!C10</f>
        <v>石家庄人民眼科</v>
      </c>
      <c r="B10" s="32">
        <f>[1]取镜!D10</f>
        <v>0</v>
      </c>
      <c r="C10" s="32">
        <f>[1]取镜!E10</f>
        <v>0</v>
      </c>
      <c r="D10" s="33">
        <f>[1]取镜!F10</f>
        <v>0</v>
      </c>
      <c r="E10" s="34" t="s">
        <v>44</v>
      </c>
      <c r="F10" s="25" t="s">
        <v>45</v>
      </c>
      <c r="G10" s="35" t="s">
        <v>34</v>
      </c>
      <c r="H10" s="36">
        <v>1</v>
      </c>
      <c r="I10" s="36">
        <v>1</v>
      </c>
      <c r="J10" s="37">
        <v>-3.125</v>
      </c>
      <c r="K10" s="38">
        <v>-2.75</v>
      </c>
      <c r="L10" s="38">
        <v>-0.5</v>
      </c>
      <c r="M10" s="39">
        <v>155</v>
      </c>
      <c r="N10" s="37">
        <v>-3</v>
      </c>
      <c r="O10" s="37">
        <f t="shared" si="0"/>
        <v>0.125</v>
      </c>
      <c r="P10" s="37">
        <v>23.76</v>
      </c>
      <c r="Q10" s="40">
        <v>23.73</v>
      </c>
      <c r="R10" s="40">
        <v>-0.03</v>
      </c>
      <c r="S10" s="41">
        <v>170</v>
      </c>
      <c r="T10" s="41">
        <v>170</v>
      </c>
      <c r="U10" s="41">
        <v>80</v>
      </c>
      <c r="V10" s="41">
        <v>65</v>
      </c>
    </row>
    <row r="11" ht="17.6" customHeight="1" spans="1:29">
      <c r="A11" s="32" t="str">
        <f>[1]取镜!C11</f>
        <v>石家庄人民眼科</v>
      </c>
      <c r="B11" s="32" t="str">
        <f>[1]取镜!D11</f>
        <v>徐乐心</v>
      </c>
      <c r="C11" s="32" t="str">
        <f>[1]取镜!E11</f>
        <v>男</v>
      </c>
      <c r="D11" s="33">
        <f>[1]取镜!F11</f>
        <v>41504</v>
      </c>
      <c r="E11" s="34" t="s">
        <v>47</v>
      </c>
      <c r="F11" s="25" t="s">
        <v>48</v>
      </c>
      <c r="G11" s="35" t="s">
        <v>33</v>
      </c>
      <c r="H11" s="36">
        <v>1</v>
      </c>
      <c r="I11" s="36">
        <v>1</v>
      </c>
      <c r="J11" s="37">
        <v>-2.875</v>
      </c>
      <c r="K11" s="38">
        <v>-2.25</v>
      </c>
      <c r="L11" s="38">
        <v>-1</v>
      </c>
      <c r="M11" s="43">
        <v>170</v>
      </c>
      <c r="N11" s="37">
        <v>-2.75</v>
      </c>
      <c r="O11" s="37">
        <f t="shared" si="0"/>
        <v>0.125</v>
      </c>
      <c r="P11" s="37">
        <v>25.29</v>
      </c>
      <c r="Q11" s="38">
        <v>25.28</v>
      </c>
      <c r="R11" s="38">
        <v>-0.01</v>
      </c>
      <c r="S11" s="45" t="s">
        <v>466</v>
      </c>
      <c r="T11" s="45" t="s">
        <v>466</v>
      </c>
      <c r="U11" s="45" t="s">
        <v>467</v>
      </c>
      <c r="V11" s="45" t="s">
        <v>468</v>
      </c>
    </row>
    <row r="12" ht="17.6" customHeight="1" spans="1:29">
      <c r="A12" s="32" t="str">
        <f>[1]取镜!C12</f>
        <v>石家庄人民眼科</v>
      </c>
      <c r="B12" s="32">
        <f>[1]取镜!D12</f>
        <v>0</v>
      </c>
      <c r="C12" s="32">
        <f>[1]取镜!E12</f>
        <v>0</v>
      </c>
      <c r="D12" s="33">
        <f>[1]取镜!F12</f>
        <v>0</v>
      </c>
      <c r="E12" s="34" t="s">
        <v>47</v>
      </c>
      <c r="F12" s="25" t="s">
        <v>48</v>
      </c>
      <c r="G12" s="35" t="s">
        <v>34</v>
      </c>
      <c r="H12" s="36">
        <v>1</v>
      </c>
      <c r="I12" s="36">
        <v>1</v>
      </c>
      <c r="J12" s="37">
        <v>-2.75</v>
      </c>
      <c r="K12" s="38">
        <v>-3</v>
      </c>
      <c r="L12" s="38">
        <v>-0.5</v>
      </c>
      <c r="M12" s="43">
        <v>5</v>
      </c>
      <c r="N12" s="37">
        <v>-3.25</v>
      </c>
      <c r="O12" s="37">
        <f t="shared" si="0"/>
        <v>-0.5</v>
      </c>
      <c r="P12" s="37">
        <v>25.48</v>
      </c>
      <c r="Q12" s="38">
        <v>25.5</v>
      </c>
      <c r="R12" s="38">
        <v>0.02</v>
      </c>
      <c r="S12" s="45" t="s">
        <v>466</v>
      </c>
      <c r="T12" s="45" t="s">
        <v>466</v>
      </c>
      <c r="U12" s="45" t="s">
        <v>467</v>
      </c>
      <c r="V12" s="45" t="s">
        <v>469</v>
      </c>
    </row>
    <row r="13" ht="20" customHeight="1" spans="1:29">
      <c r="A13" s="32" t="str">
        <f>[1]取镜!C13</f>
        <v>石家庄人民眼科</v>
      </c>
      <c r="B13" s="32" t="str">
        <f>[1]取镜!D13</f>
        <v>徐乐成</v>
      </c>
      <c r="C13" s="32" t="str">
        <f>[1]取镜!E13</f>
        <v>男</v>
      </c>
      <c r="D13" s="33">
        <v>41504</v>
      </c>
      <c r="E13" s="34" t="s">
        <v>50</v>
      </c>
      <c r="F13" s="25" t="s">
        <v>45</v>
      </c>
      <c r="G13" s="35" t="s">
        <v>33</v>
      </c>
      <c r="H13" s="36">
        <v>1</v>
      </c>
      <c r="I13" s="36">
        <v>1</v>
      </c>
      <c r="J13" s="37">
        <v>-3.375</v>
      </c>
      <c r="K13" s="38">
        <v>-2.75</v>
      </c>
      <c r="L13" s="38">
        <v>-1</v>
      </c>
      <c r="M13" s="43">
        <v>175</v>
      </c>
      <c r="N13" s="37">
        <v>-3.25</v>
      </c>
      <c r="O13" s="37">
        <f t="shared" si="0"/>
        <v>0.125</v>
      </c>
      <c r="P13" s="37">
        <v>25.43</v>
      </c>
      <c r="Q13" s="38">
        <v>25.42</v>
      </c>
      <c r="R13" s="38">
        <v>-0.01</v>
      </c>
      <c r="S13" s="45" t="s">
        <v>466</v>
      </c>
      <c r="T13" s="45" t="s">
        <v>466</v>
      </c>
      <c r="U13" s="45" t="s">
        <v>467</v>
      </c>
      <c r="V13" s="45" t="s">
        <v>468</v>
      </c>
    </row>
    <row r="14" ht="17.6" customHeight="1" spans="1:29">
      <c r="A14" s="32" t="str">
        <f>[1]取镜!C14</f>
        <v>石家庄人民眼科</v>
      </c>
      <c r="B14" s="32">
        <f>[1]取镜!D14</f>
        <v>0</v>
      </c>
      <c r="C14" s="32">
        <f>[1]取镜!E14</f>
        <v>0</v>
      </c>
      <c r="D14" s="33">
        <f>[1]取镜!F14</f>
        <v>0</v>
      </c>
      <c r="E14" s="34" t="s">
        <v>50</v>
      </c>
      <c r="F14" s="25" t="s">
        <v>45</v>
      </c>
      <c r="G14" s="35" t="s">
        <v>34</v>
      </c>
      <c r="H14" s="36">
        <v>1</v>
      </c>
      <c r="I14" s="36">
        <v>1</v>
      </c>
      <c r="J14" s="37">
        <v>-3</v>
      </c>
      <c r="K14" s="38">
        <v>-2.75</v>
      </c>
      <c r="L14" s="38">
        <v>-1</v>
      </c>
      <c r="M14" s="43">
        <v>5</v>
      </c>
      <c r="N14" s="37">
        <v>-3.25</v>
      </c>
      <c r="O14" s="37">
        <f t="shared" si="0"/>
        <v>-0.25</v>
      </c>
      <c r="P14" s="37">
        <v>25.24</v>
      </c>
      <c r="Q14" s="38">
        <v>25.3</v>
      </c>
      <c r="R14" s="38">
        <v>0.06</v>
      </c>
      <c r="S14" s="45" t="s">
        <v>466</v>
      </c>
      <c r="T14" s="45" t="s">
        <v>466</v>
      </c>
      <c r="U14" s="45" t="s">
        <v>467</v>
      </c>
      <c r="V14" s="45" t="s">
        <v>469</v>
      </c>
    </row>
    <row r="15" ht="17.6" customHeight="1" spans="1:29">
      <c r="A15" s="32" t="str">
        <f>[1]取镜!C15</f>
        <v>石家庄人民眼科</v>
      </c>
      <c r="B15" s="32" t="str">
        <f>[1]取镜!D15</f>
        <v>张楚尧</v>
      </c>
      <c r="C15" s="32" t="str">
        <f>[1]取镜!E15</f>
        <v>男</v>
      </c>
      <c r="D15" s="33">
        <f>[1]取镜!F15</f>
        <v>41966</v>
      </c>
      <c r="E15" s="34" t="s">
        <v>52</v>
      </c>
      <c r="F15" s="25" t="s">
        <v>39</v>
      </c>
      <c r="G15" s="35" t="s">
        <v>33</v>
      </c>
      <c r="H15" s="36">
        <v>1</v>
      </c>
      <c r="I15" s="46">
        <v>1</v>
      </c>
      <c r="J15" s="47">
        <v>-2</v>
      </c>
      <c r="K15" s="38">
        <v>-2</v>
      </c>
      <c r="L15" s="38">
        <v>-0.25</v>
      </c>
      <c r="M15" s="43">
        <v>15</v>
      </c>
      <c r="N15" s="37">
        <v>-2.125</v>
      </c>
      <c r="O15" s="37">
        <f t="shared" si="0"/>
        <v>-0.125</v>
      </c>
      <c r="P15" s="37">
        <v>24.92</v>
      </c>
      <c r="Q15" s="38">
        <v>24.94</v>
      </c>
      <c r="R15" s="38">
        <v>0.02</v>
      </c>
      <c r="S15" s="41">
        <v>170</v>
      </c>
      <c r="T15" s="41">
        <v>170</v>
      </c>
      <c r="U15" s="41">
        <v>45</v>
      </c>
      <c r="V15" s="41">
        <v>15</v>
      </c>
    </row>
    <row r="16" ht="17.6" customHeight="1" spans="1:29">
      <c r="A16" s="32" t="str">
        <f>[1]取镜!C16</f>
        <v>石家庄人民眼科</v>
      </c>
      <c r="B16" s="32">
        <f>[1]取镜!D16</f>
        <v>0</v>
      </c>
      <c r="C16" s="32">
        <f>[1]取镜!E16</f>
        <v>0</v>
      </c>
      <c r="D16" s="33">
        <f>[1]取镜!F16</f>
        <v>0</v>
      </c>
      <c r="E16" s="34" t="s">
        <v>52</v>
      </c>
      <c r="F16" s="25" t="s">
        <v>39</v>
      </c>
      <c r="G16" s="35" t="s">
        <v>34</v>
      </c>
      <c r="H16" s="46">
        <v>1</v>
      </c>
      <c r="I16" s="46">
        <v>1</v>
      </c>
      <c r="J16" s="47">
        <v>-2.25</v>
      </c>
      <c r="K16" s="38">
        <v>-1.75</v>
      </c>
      <c r="L16" s="38">
        <v>-0.75</v>
      </c>
      <c r="M16" s="43">
        <v>155</v>
      </c>
      <c r="N16" s="37">
        <v>-2.125</v>
      </c>
      <c r="O16" s="37">
        <f t="shared" si="0"/>
        <v>0.125</v>
      </c>
      <c r="P16" s="37">
        <v>25.2</v>
      </c>
      <c r="Q16" s="38">
        <v>25.03</v>
      </c>
      <c r="R16" s="38">
        <v>-0.17</v>
      </c>
      <c r="S16" s="41">
        <v>170</v>
      </c>
      <c r="T16" s="41">
        <v>170</v>
      </c>
      <c r="U16" s="41">
        <v>60</v>
      </c>
      <c r="V16" s="41">
        <v>8</v>
      </c>
    </row>
    <row r="17" ht="17.6" customHeight="1" spans="1:22">
      <c r="A17" s="32" t="str">
        <f>[1]取镜!C17</f>
        <v>石家庄人民眼科</v>
      </c>
      <c r="B17" s="32" t="str">
        <f>[1]取镜!D17</f>
        <v>张海冰</v>
      </c>
      <c r="C17" s="32" t="str">
        <f>[1]取镜!E17</f>
        <v>男</v>
      </c>
      <c r="D17" s="33">
        <f>[1]取镜!F17</f>
        <v>41306</v>
      </c>
      <c r="E17" s="34" t="s">
        <v>54</v>
      </c>
      <c r="F17" s="25" t="s">
        <v>39</v>
      </c>
      <c r="G17" s="35" t="s">
        <v>33</v>
      </c>
      <c r="H17" s="36">
        <v>1</v>
      </c>
      <c r="I17" s="36">
        <v>1</v>
      </c>
      <c r="J17" s="37">
        <v>-1.125</v>
      </c>
      <c r="K17" s="38">
        <v>-0.5</v>
      </c>
      <c r="L17" s="38">
        <v>-1.75</v>
      </c>
      <c r="M17" s="39">
        <v>170</v>
      </c>
      <c r="N17" s="37">
        <v>-1.375</v>
      </c>
      <c r="O17" s="37">
        <f t="shared" si="0"/>
        <v>-0.25</v>
      </c>
      <c r="P17" s="37">
        <v>23.42</v>
      </c>
      <c r="Q17" s="40">
        <v>23.52</v>
      </c>
      <c r="R17" s="40">
        <v>0.1</v>
      </c>
      <c r="S17" s="41">
        <v>170</v>
      </c>
      <c r="T17" s="41">
        <v>170</v>
      </c>
      <c r="U17" s="41">
        <v>120</v>
      </c>
      <c r="V17" s="41">
        <v>65</v>
      </c>
    </row>
    <row r="18" ht="18.05" customHeight="1" spans="1:22">
      <c r="A18" s="32" t="str">
        <f>[1]取镜!C18</f>
        <v>石家庄人民眼科</v>
      </c>
      <c r="B18" s="32">
        <f>[1]取镜!D18</f>
        <v>0</v>
      </c>
      <c r="C18" s="32">
        <f>[1]取镜!E18</f>
        <v>0</v>
      </c>
      <c r="D18" s="33">
        <f>[1]取镜!F18</f>
        <v>0</v>
      </c>
      <c r="E18" s="34" t="s">
        <v>54</v>
      </c>
      <c r="F18" s="25" t="s">
        <v>39</v>
      </c>
      <c r="G18" s="35" t="s">
        <v>34</v>
      </c>
      <c r="H18" s="36">
        <v>1</v>
      </c>
      <c r="I18" s="36">
        <v>1</v>
      </c>
      <c r="J18" s="37">
        <v>-0.875</v>
      </c>
      <c r="K18" s="38"/>
      <c r="L18" s="38">
        <v>-2.25</v>
      </c>
      <c r="M18" s="39">
        <v>5</v>
      </c>
      <c r="N18" s="37">
        <f>K18+0.5*L18</f>
        <v>-1.125</v>
      </c>
      <c r="O18" s="37">
        <f t="shared" si="0"/>
        <v>-0.25</v>
      </c>
      <c r="P18" s="37">
        <v>23.21</v>
      </c>
      <c r="Q18" s="40">
        <v>23.26</v>
      </c>
      <c r="R18" s="40">
        <v>0.05</v>
      </c>
      <c r="S18" s="41">
        <v>170</v>
      </c>
      <c r="T18" s="41">
        <v>170</v>
      </c>
      <c r="U18" s="41">
        <v>80</v>
      </c>
      <c r="V18" s="41">
        <v>24</v>
      </c>
    </row>
    <row r="19" ht="17.6" customHeight="1" spans="1:22">
      <c r="A19" s="32" t="str">
        <f>[1]取镜!C19</f>
        <v>石家庄人民眼科</v>
      </c>
      <c r="B19" s="32" t="str">
        <f>[1]取镜!D19</f>
        <v>李文晴</v>
      </c>
      <c r="C19" s="32" t="str">
        <f>[1]取镜!E19</f>
        <v>女</v>
      </c>
      <c r="D19" s="33">
        <f>[1]取镜!F19</f>
        <v>42299</v>
      </c>
      <c r="E19" s="34" t="s">
        <v>56</v>
      </c>
      <c r="F19" s="25" t="s">
        <v>48</v>
      </c>
      <c r="G19" s="35" t="s">
        <v>33</v>
      </c>
      <c r="H19" s="46">
        <v>1</v>
      </c>
      <c r="I19" s="46">
        <v>1</v>
      </c>
      <c r="J19" s="47">
        <v>-1.375</v>
      </c>
      <c r="K19" s="38">
        <v>-1.5</v>
      </c>
      <c r="L19" s="38">
        <v>-0.5</v>
      </c>
      <c r="M19" s="43">
        <v>165</v>
      </c>
      <c r="N19" s="37">
        <v>-1.75</v>
      </c>
      <c r="O19" s="37">
        <f t="shared" si="0"/>
        <v>-0.375</v>
      </c>
      <c r="P19" s="37">
        <v>24.03</v>
      </c>
      <c r="Q19" s="38">
        <v>24.14</v>
      </c>
      <c r="R19" s="38">
        <v>0.11</v>
      </c>
      <c r="S19" s="41">
        <v>170</v>
      </c>
      <c r="T19" s="41">
        <v>170</v>
      </c>
      <c r="U19" s="41">
        <v>60</v>
      </c>
      <c r="V19" s="41">
        <v>8</v>
      </c>
    </row>
    <row r="20" ht="17.6" customHeight="1" spans="1:22">
      <c r="A20" s="32" t="str">
        <f>[1]取镜!C20</f>
        <v>石家庄人民眼科</v>
      </c>
      <c r="B20" s="32">
        <f>[1]取镜!D20</f>
        <v>0</v>
      </c>
      <c r="C20" s="32">
        <f>[1]取镜!E20</f>
        <v>0</v>
      </c>
      <c r="D20" s="33">
        <f>[1]取镜!F20</f>
        <v>0</v>
      </c>
      <c r="E20" s="34" t="s">
        <v>56</v>
      </c>
      <c r="F20" s="25" t="s">
        <v>48</v>
      </c>
      <c r="G20" s="35" t="s">
        <v>34</v>
      </c>
      <c r="H20" s="46">
        <v>1</v>
      </c>
      <c r="I20" s="46">
        <v>1</v>
      </c>
      <c r="J20" s="47">
        <v>-0.875</v>
      </c>
      <c r="K20" s="38">
        <v>-1</v>
      </c>
      <c r="L20" s="38">
        <v>-0.75</v>
      </c>
      <c r="M20" s="43">
        <v>175</v>
      </c>
      <c r="N20" s="37">
        <v>-1.375</v>
      </c>
      <c r="O20" s="37">
        <f t="shared" si="0"/>
        <v>-0.5</v>
      </c>
      <c r="P20" s="37">
        <v>23.99</v>
      </c>
      <c r="Q20" s="38">
        <v>24.08</v>
      </c>
      <c r="R20" s="38">
        <v>0.09</v>
      </c>
      <c r="S20" s="48">
        <v>170</v>
      </c>
      <c r="T20" s="48">
        <v>170</v>
      </c>
      <c r="U20" s="48">
        <v>120</v>
      </c>
      <c r="V20" s="48">
        <v>8</v>
      </c>
    </row>
    <row r="21" ht="17.6" customHeight="1" spans="1:22">
      <c r="A21" s="32" t="str">
        <f>[1]取镜!C21</f>
        <v>石家庄人民眼科</v>
      </c>
      <c r="B21" s="32" t="str">
        <f>[1]取镜!D21</f>
        <v>王可妍</v>
      </c>
      <c r="C21" s="32" t="str">
        <f>[1]取镜!E21</f>
        <v>女</v>
      </c>
      <c r="D21" s="33">
        <f>[1]取镜!F21</f>
        <v>40620</v>
      </c>
      <c r="E21" s="34" t="s">
        <v>58</v>
      </c>
      <c r="F21" s="25" t="s">
        <v>39</v>
      </c>
      <c r="G21" s="35" t="s">
        <v>33</v>
      </c>
      <c r="H21" s="46">
        <v>1</v>
      </c>
      <c r="I21" s="46">
        <v>1</v>
      </c>
      <c r="J21" s="47">
        <v>-3.25</v>
      </c>
      <c r="K21" s="38">
        <v>-2.75</v>
      </c>
      <c r="L21" s="38">
        <v>0</v>
      </c>
      <c r="M21" s="43">
        <v>0</v>
      </c>
      <c r="N21" s="37">
        <v>-2.75</v>
      </c>
      <c r="O21" s="37">
        <f t="shared" si="0"/>
        <v>0.5</v>
      </c>
      <c r="P21" s="37">
        <v>25.34</v>
      </c>
      <c r="Q21" s="38">
        <v>25.19</v>
      </c>
      <c r="R21" s="38">
        <v>-0.15</v>
      </c>
      <c r="S21" s="48">
        <v>170</v>
      </c>
      <c r="T21" s="48">
        <v>170</v>
      </c>
      <c r="U21" s="48">
        <v>120</v>
      </c>
      <c r="V21" s="48">
        <v>3</v>
      </c>
    </row>
    <row r="22" ht="17.6" customHeight="1" spans="1:22">
      <c r="A22" s="32" t="str">
        <f>[1]取镜!C22</f>
        <v>石家庄人民眼科</v>
      </c>
      <c r="B22" s="35" t="s">
        <v>470</v>
      </c>
      <c r="C22" s="32">
        <f>[1]取镜!E22</f>
        <v>0</v>
      </c>
      <c r="D22" s="33">
        <f>[1]取镜!F22</f>
        <v>0</v>
      </c>
      <c r="E22" s="34" t="s">
        <v>58</v>
      </c>
      <c r="F22" s="25" t="s">
        <v>39</v>
      </c>
      <c r="G22" s="35" t="s">
        <v>34</v>
      </c>
      <c r="H22" s="46">
        <v>1</v>
      </c>
      <c r="I22" s="46">
        <v>1</v>
      </c>
      <c r="J22" s="47">
        <v>-3.25</v>
      </c>
      <c r="K22" s="38">
        <v>-3</v>
      </c>
      <c r="L22" s="38">
        <v>-0.5</v>
      </c>
      <c r="M22" s="43">
        <v>165</v>
      </c>
      <c r="N22" s="37">
        <v>-3.25</v>
      </c>
      <c r="O22" s="37">
        <f t="shared" si="0"/>
        <v>0</v>
      </c>
      <c r="P22" s="37">
        <v>25.12</v>
      </c>
      <c r="Q22" s="38">
        <v>25.21</v>
      </c>
      <c r="R22" s="38">
        <v>0.09</v>
      </c>
      <c r="S22" s="48">
        <v>170</v>
      </c>
      <c r="T22" s="48">
        <v>80</v>
      </c>
      <c r="U22" s="48">
        <v>80</v>
      </c>
      <c r="V22" s="48">
        <v>35</v>
      </c>
    </row>
    <row r="23" ht="17.6" customHeight="1" spans="1:22">
      <c r="A23" s="32" t="str">
        <f>[1]取镜!C23</f>
        <v>石家庄人民眼科</v>
      </c>
      <c r="B23" s="32" t="str">
        <f>[1]取镜!D23</f>
        <v>檀沐析</v>
      </c>
      <c r="C23" s="32" t="str">
        <f>[1]取镜!E23</f>
        <v>男</v>
      </c>
      <c r="D23" s="33">
        <f>[1]取镜!F23</f>
        <v>42553</v>
      </c>
      <c r="E23" s="34" t="str">
        <f>[1]取镜!G23</f>
        <v>SJZ-GS-011</v>
      </c>
      <c r="F23" s="25" t="s">
        <v>39</v>
      </c>
      <c r="G23" s="35" t="s">
        <v>33</v>
      </c>
      <c r="H23" s="46">
        <v>1</v>
      </c>
      <c r="I23" s="46">
        <v>1</v>
      </c>
      <c r="J23" s="47">
        <v>-2.25</v>
      </c>
      <c r="K23" s="38">
        <v>-1.75</v>
      </c>
      <c r="L23" s="38">
        <v>-1.25</v>
      </c>
      <c r="M23" s="43">
        <v>175</v>
      </c>
      <c r="N23" s="37">
        <v>-2.375</v>
      </c>
      <c r="O23" s="37">
        <f t="shared" si="0"/>
        <v>-0.125</v>
      </c>
      <c r="P23" s="49">
        <v>24.6</v>
      </c>
      <c r="Q23" s="50">
        <v>24.92</v>
      </c>
      <c r="R23" s="50">
        <v>0.32</v>
      </c>
      <c r="S23" s="48">
        <v>170</v>
      </c>
      <c r="T23" s="48">
        <v>170</v>
      </c>
      <c r="U23" s="48">
        <v>120</v>
      </c>
      <c r="V23" s="48">
        <v>8</v>
      </c>
    </row>
    <row r="24" ht="17.6" customHeight="1" spans="1:22">
      <c r="A24" s="32" t="str">
        <f>[1]取镜!C24</f>
        <v>石家庄人民眼科</v>
      </c>
      <c r="B24" s="32">
        <f>[1]取镜!D24</f>
        <v>0</v>
      </c>
      <c r="C24" s="32">
        <f>[1]取镜!E24</f>
        <v>0</v>
      </c>
      <c r="D24" s="33">
        <f>[1]取镜!F24</f>
        <v>0</v>
      </c>
      <c r="E24" s="34" t="s">
        <v>60</v>
      </c>
      <c r="F24" s="25" t="s">
        <v>39</v>
      </c>
      <c r="G24" s="35" t="s">
        <v>34</v>
      </c>
      <c r="H24" s="46">
        <v>1</v>
      </c>
      <c r="I24" s="46">
        <v>1</v>
      </c>
      <c r="J24" s="47">
        <v>-2.25</v>
      </c>
      <c r="K24" s="38">
        <v>-1.5</v>
      </c>
      <c r="L24" s="38">
        <v>-1.5</v>
      </c>
      <c r="M24" s="43">
        <v>5</v>
      </c>
      <c r="N24" s="37">
        <v>-2.25</v>
      </c>
      <c r="O24" s="37">
        <f t="shared" si="0"/>
        <v>0</v>
      </c>
      <c r="P24" s="37">
        <v>24.75</v>
      </c>
      <c r="Q24" s="38">
        <v>25.02</v>
      </c>
      <c r="R24" s="38">
        <v>0.27</v>
      </c>
      <c r="S24" s="48">
        <v>170</v>
      </c>
      <c r="T24" s="48">
        <v>120</v>
      </c>
      <c r="U24" s="48">
        <v>25</v>
      </c>
      <c r="V24" s="48">
        <v>3</v>
      </c>
    </row>
    <row r="25" ht="17.6" customHeight="1" spans="1:22">
      <c r="A25" s="32" t="str">
        <f>[1]取镜!C25</f>
        <v>石家庄人民眼科</v>
      </c>
      <c r="B25" s="32" t="str">
        <f>[1]取镜!D25</f>
        <v>李昭旭</v>
      </c>
      <c r="C25" s="32" t="str">
        <f>[1]取镜!E25</f>
        <v>男</v>
      </c>
      <c r="D25" s="33">
        <f>[1]取镜!F25</f>
        <v>42755</v>
      </c>
      <c r="E25" s="34" t="s">
        <v>62</v>
      </c>
      <c r="F25" s="25" t="s">
        <v>31</v>
      </c>
      <c r="G25" s="35" t="s">
        <v>33</v>
      </c>
      <c r="H25" s="46">
        <v>0.8</v>
      </c>
      <c r="I25" s="46">
        <v>1</v>
      </c>
      <c r="J25" s="49">
        <v>-1.875</v>
      </c>
      <c r="K25" s="38">
        <v>-2.5</v>
      </c>
      <c r="L25" s="38">
        <v>-0.5</v>
      </c>
      <c r="M25" s="43">
        <v>180</v>
      </c>
      <c r="N25" s="49">
        <v>-2.75</v>
      </c>
      <c r="O25" s="37">
        <f t="shared" si="0"/>
        <v>-0.875</v>
      </c>
      <c r="P25" s="49">
        <v>24.09</v>
      </c>
      <c r="Q25" s="50">
        <v>24.34</v>
      </c>
      <c r="R25" s="50">
        <v>0.25</v>
      </c>
      <c r="S25" s="48">
        <v>170</v>
      </c>
      <c r="T25" s="48">
        <v>80</v>
      </c>
      <c r="U25" s="48">
        <v>35</v>
      </c>
      <c r="V25" s="48">
        <v>8</v>
      </c>
    </row>
    <row r="26" ht="17.6" customHeight="1" spans="1:22">
      <c r="A26" s="32" t="str">
        <f>[1]取镜!C26</f>
        <v>石家庄人民眼科</v>
      </c>
      <c r="B26" s="32">
        <f>[1]取镜!D26</f>
        <v>0</v>
      </c>
      <c r="C26" s="32">
        <f>[1]取镜!E26</f>
        <v>0</v>
      </c>
      <c r="D26" s="33">
        <f>[1]取镜!F26</f>
        <v>0</v>
      </c>
      <c r="E26" s="34" t="s">
        <v>62</v>
      </c>
      <c r="F26" s="25" t="s">
        <v>31</v>
      </c>
      <c r="G26" s="35" t="s">
        <v>34</v>
      </c>
      <c r="H26" s="46">
        <v>0.8</v>
      </c>
      <c r="I26" s="46">
        <v>1</v>
      </c>
      <c r="J26" s="47">
        <v>-2</v>
      </c>
      <c r="K26" s="38">
        <v>-2</v>
      </c>
      <c r="L26" s="38">
        <v>-0.5</v>
      </c>
      <c r="M26" s="43">
        <v>165</v>
      </c>
      <c r="N26" s="37">
        <v>-2.25</v>
      </c>
      <c r="O26" s="37">
        <f t="shared" si="0"/>
        <v>-0.25</v>
      </c>
      <c r="P26" s="37">
        <v>24.24</v>
      </c>
      <c r="Q26" s="38">
        <v>24.46</v>
      </c>
      <c r="R26" s="38">
        <v>0.22</v>
      </c>
      <c r="S26" s="48">
        <v>170</v>
      </c>
      <c r="T26" s="48">
        <v>170</v>
      </c>
      <c r="U26" s="48">
        <v>60</v>
      </c>
      <c r="V26" s="48">
        <v>24</v>
      </c>
    </row>
    <row r="27" ht="17.6" customHeight="1" spans="1:22">
      <c r="A27" s="32" t="str">
        <f>[1]取镜!C27</f>
        <v>石家庄人民眼科</v>
      </c>
      <c r="B27" s="32" t="str">
        <f>[1]取镜!D27</f>
        <v>温心语</v>
      </c>
      <c r="C27" s="32" t="str">
        <f>[1]取镜!E27</f>
        <v>女</v>
      </c>
      <c r="D27" s="33">
        <f>[1]取镜!F27</f>
        <v>43135</v>
      </c>
      <c r="E27" s="34" t="s">
        <v>64</v>
      </c>
      <c r="F27" s="25" t="s">
        <v>31</v>
      </c>
      <c r="G27" s="35" t="s">
        <v>33</v>
      </c>
      <c r="H27" s="46">
        <v>1</v>
      </c>
      <c r="I27" s="46">
        <v>1</v>
      </c>
      <c r="J27" s="49">
        <v>-1</v>
      </c>
      <c r="K27" s="38">
        <v>-1.75</v>
      </c>
      <c r="L27" s="38">
        <v>-0.75</v>
      </c>
      <c r="M27" s="43">
        <v>180</v>
      </c>
      <c r="N27" s="49">
        <v>-2.125</v>
      </c>
      <c r="O27" s="37">
        <f t="shared" si="0"/>
        <v>-1.125</v>
      </c>
      <c r="P27" s="49">
        <v>23.24</v>
      </c>
      <c r="Q27" s="50">
        <v>23.48</v>
      </c>
      <c r="R27" s="50">
        <v>0.24</v>
      </c>
      <c r="S27" s="48">
        <v>170</v>
      </c>
      <c r="T27" s="48">
        <v>170</v>
      </c>
      <c r="U27" s="48">
        <v>60</v>
      </c>
      <c r="V27" s="48">
        <v>15</v>
      </c>
    </row>
    <row r="28" ht="17.6" customHeight="1" spans="1:22">
      <c r="A28" s="32" t="str">
        <f>[1]取镜!C28</f>
        <v>石家庄人民眼科</v>
      </c>
      <c r="B28" s="32">
        <f>[1]取镜!D28</f>
        <v>0</v>
      </c>
      <c r="C28" s="32">
        <f>[1]取镜!E28</f>
        <v>0</v>
      </c>
      <c r="D28" s="33">
        <f>[1]取镜!F28</f>
        <v>0</v>
      </c>
      <c r="E28" s="34" t="s">
        <v>64</v>
      </c>
      <c r="F28" s="25" t="s">
        <v>31</v>
      </c>
      <c r="G28" s="35" t="s">
        <v>34</v>
      </c>
      <c r="H28" s="46">
        <v>1</v>
      </c>
      <c r="I28" s="46">
        <v>1</v>
      </c>
      <c r="J28" s="47">
        <v>-0.75</v>
      </c>
      <c r="K28" s="38">
        <v>-1</v>
      </c>
      <c r="L28" s="38">
        <v>-1</v>
      </c>
      <c r="M28" s="43">
        <v>175</v>
      </c>
      <c r="N28" s="37">
        <v>-1.5</v>
      </c>
      <c r="O28" s="37">
        <f t="shared" si="0"/>
        <v>-0.75</v>
      </c>
      <c r="P28" s="37">
        <v>23.22</v>
      </c>
      <c r="Q28" s="38">
        <v>23.37</v>
      </c>
      <c r="R28" s="38">
        <v>0.15</v>
      </c>
      <c r="S28" s="48">
        <v>170</v>
      </c>
      <c r="T28" s="48">
        <v>170</v>
      </c>
      <c r="U28" s="48">
        <v>80</v>
      </c>
      <c r="V28" s="48">
        <v>24</v>
      </c>
    </row>
    <row r="29" ht="17.6" customHeight="1" spans="1:22">
      <c r="A29" s="32" t="str">
        <f>[1]取镜!C29</f>
        <v>石家庄人民眼科</v>
      </c>
      <c r="B29" s="32" t="str">
        <f>[1]取镜!D29</f>
        <v>刘梓萌</v>
      </c>
      <c r="C29" s="32" t="str">
        <f>[1]取镜!E29</f>
        <v>女</v>
      </c>
      <c r="D29" s="33">
        <f>[1]取镜!F29</f>
        <v>42825</v>
      </c>
      <c r="E29" s="34" t="s">
        <v>66</v>
      </c>
      <c r="F29" s="25" t="s">
        <v>39</v>
      </c>
      <c r="G29" s="35" t="s">
        <v>33</v>
      </c>
      <c r="H29" s="46">
        <v>1</v>
      </c>
      <c r="I29" s="46">
        <v>1</v>
      </c>
      <c r="J29" s="47">
        <v>-0.75</v>
      </c>
      <c r="K29" s="38">
        <v>-0.5</v>
      </c>
      <c r="L29" s="38">
        <v>-1</v>
      </c>
      <c r="M29" s="43">
        <v>180</v>
      </c>
      <c r="N29" s="37">
        <v>-1</v>
      </c>
      <c r="O29" s="37">
        <f t="shared" si="0"/>
        <v>-0.25</v>
      </c>
      <c r="P29" s="37">
        <v>24.79</v>
      </c>
      <c r="Q29" s="38">
        <v>24.79</v>
      </c>
      <c r="R29" s="38">
        <v>0</v>
      </c>
      <c r="S29" s="48">
        <v>170</v>
      </c>
      <c r="T29" s="48">
        <v>170</v>
      </c>
      <c r="U29" s="48">
        <v>80</v>
      </c>
      <c r="V29" s="48">
        <v>6</v>
      </c>
    </row>
    <row r="30" ht="17.6" customHeight="1" spans="1:22">
      <c r="A30" s="32" t="str">
        <f>[1]取镜!C30</f>
        <v>石家庄人民眼科</v>
      </c>
      <c r="B30" s="32">
        <f>[1]取镜!D30</f>
        <v>0</v>
      </c>
      <c r="C30" s="32">
        <f>[1]取镜!E30</f>
        <v>0</v>
      </c>
      <c r="D30" s="33">
        <f>[1]取镜!F30</f>
        <v>0</v>
      </c>
      <c r="E30" s="34" t="s">
        <v>66</v>
      </c>
      <c r="F30" s="25" t="s">
        <v>39</v>
      </c>
      <c r="G30" s="35" t="s">
        <v>34</v>
      </c>
      <c r="H30" s="46">
        <v>1</v>
      </c>
      <c r="I30" s="46">
        <v>1</v>
      </c>
      <c r="J30" s="47">
        <v>-0.875</v>
      </c>
      <c r="K30" s="38">
        <v>-0.75</v>
      </c>
      <c r="L30" s="38">
        <v>-1.25</v>
      </c>
      <c r="M30" s="43">
        <v>170</v>
      </c>
      <c r="N30" s="37">
        <v>-1.375</v>
      </c>
      <c r="O30" s="37">
        <f t="shared" si="0"/>
        <v>-0.5</v>
      </c>
      <c r="P30" s="37">
        <v>24.73</v>
      </c>
      <c r="Q30" s="38">
        <v>24.88</v>
      </c>
      <c r="R30" s="38">
        <v>0.15</v>
      </c>
      <c r="S30" s="48">
        <v>170</v>
      </c>
      <c r="T30" s="48">
        <v>170</v>
      </c>
      <c r="U30" s="48">
        <v>60</v>
      </c>
      <c r="V30" s="48">
        <v>4</v>
      </c>
    </row>
    <row r="31" ht="17.6" customHeight="1" spans="1:22">
      <c r="A31" s="32" t="str">
        <f>[1]取镜!C31</f>
        <v>石家庄人民眼科</v>
      </c>
      <c r="B31" s="32" t="str">
        <f>[1]取镜!D31</f>
        <v>秦丞远</v>
      </c>
      <c r="C31" s="32" t="str">
        <f>[1]取镜!E31</f>
        <v>男</v>
      </c>
      <c r="D31" s="33">
        <f>[1]取镜!F31</f>
        <v>42004</v>
      </c>
      <c r="E31" s="34" t="s">
        <v>68</v>
      </c>
      <c r="F31" s="25" t="s">
        <v>45</v>
      </c>
      <c r="G31" s="35" t="s">
        <v>33</v>
      </c>
      <c r="H31" s="46">
        <v>1</v>
      </c>
      <c r="I31" s="46">
        <v>1</v>
      </c>
      <c r="J31" s="47">
        <v>-1.875</v>
      </c>
      <c r="K31" s="38">
        <v>-2.25</v>
      </c>
      <c r="L31" s="38">
        <v>-0.5</v>
      </c>
      <c r="M31" s="43">
        <v>165</v>
      </c>
      <c r="N31" s="37">
        <v>-2.5</v>
      </c>
      <c r="O31" s="37">
        <f t="shared" si="0"/>
        <v>-0.625</v>
      </c>
      <c r="P31" s="37">
        <v>25.03</v>
      </c>
      <c r="Q31" s="38">
        <v>25.14</v>
      </c>
      <c r="R31" s="38">
        <v>0.11</v>
      </c>
      <c r="S31" s="48">
        <v>170</v>
      </c>
      <c r="T31" s="48">
        <v>170</v>
      </c>
      <c r="U31" s="48">
        <v>60</v>
      </c>
      <c r="V31" s="48">
        <v>24</v>
      </c>
    </row>
    <row r="32" ht="17.6" customHeight="1" spans="1:22">
      <c r="A32" s="32" t="str">
        <f>[1]取镜!C32</f>
        <v>石家庄人民眼科</v>
      </c>
      <c r="B32" s="32">
        <f>[1]取镜!D32</f>
        <v>0</v>
      </c>
      <c r="C32" s="32">
        <f>[1]取镜!E32</f>
        <v>0</v>
      </c>
      <c r="D32" s="33">
        <f>[1]取镜!F32</f>
        <v>0</v>
      </c>
      <c r="E32" s="34" t="s">
        <v>68</v>
      </c>
      <c r="F32" s="25" t="s">
        <v>45</v>
      </c>
      <c r="G32" s="35" t="s">
        <v>34</v>
      </c>
      <c r="H32" s="46">
        <v>1</v>
      </c>
      <c r="I32" s="46">
        <v>1</v>
      </c>
      <c r="J32" s="47">
        <v>-2.875</v>
      </c>
      <c r="K32" s="38">
        <v>-2.5</v>
      </c>
      <c r="L32" s="38">
        <v>-0.75</v>
      </c>
      <c r="M32" s="43">
        <v>175</v>
      </c>
      <c r="N32" s="37">
        <v>-2.875</v>
      </c>
      <c r="O32" s="37">
        <f t="shared" si="0"/>
        <v>0</v>
      </c>
      <c r="P32" s="37">
        <v>25.41</v>
      </c>
      <c r="Q32" s="38">
        <v>25.45</v>
      </c>
      <c r="R32" s="38">
        <v>0.04</v>
      </c>
      <c r="S32" s="48">
        <v>170</v>
      </c>
      <c r="T32" s="48">
        <v>170</v>
      </c>
      <c r="U32" s="48">
        <v>120</v>
      </c>
      <c r="V32" s="48">
        <v>15</v>
      </c>
    </row>
    <row r="33" ht="17.6" customHeight="1" spans="1:22">
      <c r="A33" s="32" t="str">
        <f>[1]取镜!C33</f>
        <v>石家庄人民眼科</v>
      </c>
      <c r="B33" s="32" t="str">
        <f>[1]取镜!D33</f>
        <v>李诗涵</v>
      </c>
      <c r="C33" s="32" t="str">
        <f>[1]取镜!E33</f>
        <v>女</v>
      </c>
      <c r="D33" s="33">
        <f>[1]取镜!F33</f>
        <v>42616</v>
      </c>
      <c r="E33" s="34" t="s">
        <v>70</v>
      </c>
      <c r="F33" s="25" t="s">
        <v>48</v>
      </c>
      <c r="G33" s="35" t="s">
        <v>33</v>
      </c>
      <c r="H33" s="46">
        <v>1</v>
      </c>
      <c r="I33" s="46">
        <v>1</v>
      </c>
      <c r="J33" s="47"/>
      <c r="K33" s="38">
        <v>-1</v>
      </c>
      <c r="L33" s="38">
        <v>0</v>
      </c>
      <c r="M33" s="43">
        <v>0</v>
      </c>
      <c r="N33" s="37">
        <v>-1</v>
      </c>
      <c r="O33" s="37">
        <f t="shared" si="0"/>
        <v>-1</v>
      </c>
      <c r="P33" s="37">
        <v>23.72</v>
      </c>
      <c r="Q33" s="38">
        <v>23.65</v>
      </c>
      <c r="R33" s="38">
        <v>-0.07</v>
      </c>
      <c r="S33" s="48">
        <v>170</v>
      </c>
      <c r="T33" s="48">
        <v>170</v>
      </c>
      <c r="U33" s="48">
        <v>45</v>
      </c>
      <c r="V33" s="48">
        <v>15</v>
      </c>
    </row>
    <row r="34" ht="17.6" customHeight="1" spans="1:22">
      <c r="A34" s="32" t="str">
        <f>[1]取镜!C34</f>
        <v>石家庄人民眼科</v>
      </c>
      <c r="B34" s="32">
        <f>[1]取镜!D34</f>
        <v>0</v>
      </c>
      <c r="C34" s="32">
        <f>[1]取镜!E34</f>
        <v>0</v>
      </c>
      <c r="D34" s="33">
        <f>[1]取镜!F34</f>
        <v>0</v>
      </c>
      <c r="E34" s="34" t="s">
        <v>70</v>
      </c>
      <c r="F34" s="25" t="s">
        <v>48</v>
      </c>
      <c r="G34" s="35" t="s">
        <v>34</v>
      </c>
      <c r="H34" s="46">
        <v>1</v>
      </c>
      <c r="I34" s="46">
        <v>1</v>
      </c>
      <c r="J34" s="47"/>
      <c r="K34" s="38">
        <v>-1.25</v>
      </c>
      <c r="L34" s="38">
        <v>-0.25</v>
      </c>
      <c r="M34" s="43">
        <v>160</v>
      </c>
      <c r="N34" s="37">
        <v>-1.375</v>
      </c>
      <c r="O34" s="37">
        <f t="shared" si="0"/>
        <v>-1.375</v>
      </c>
      <c r="P34" s="37">
        <v>23.89</v>
      </c>
      <c r="Q34" s="38">
        <v>23.82</v>
      </c>
      <c r="R34" s="38">
        <v>-0.07</v>
      </c>
      <c r="S34" s="48">
        <v>170</v>
      </c>
      <c r="T34" s="48">
        <v>170</v>
      </c>
      <c r="U34" s="48">
        <v>15</v>
      </c>
      <c r="V34" s="48">
        <v>15</v>
      </c>
    </row>
    <row r="35" ht="17.6" customHeight="1" spans="1:22">
      <c r="A35" s="32" t="str">
        <f>[1]取镜!C35</f>
        <v>石家庄人民眼科</v>
      </c>
      <c r="B35" s="32" t="str">
        <f>[1]取镜!D35</f>
        <v>崔赵兮</v>
      </c>
      <c r="C35" s="32" t="str">
        <f>[1]取镜!E35</f>
        <v>女</v>
      </c>
      <c r="D35" s="33">
        <f>[1]取镜!F35</f>
        <v>42811</v>
      </c>
      <c r="E35" s="34" t="s">
        <v>72</v>
      </c>
      <c r="F35" s="25" t="s">
        <v>39</v>
      </c>
      <c r="G35" s="35" t="s">
        <v>33</v>
      </c>
      <c r="H35" s="46">
        <v>1</v>
      </c>
      <c r="I35" s="46">
        <v>1</v>
      </c>
      <c r="J35" s="47">
        <v>-0.875</v>
      </c>
      <c r="K35" s="38">
        <v>-1.25</v>
      </c>
      <c r="L35" s="38">
        <v>-0.75</v>
      </c>
      <c r="M35" s="43">
        <v>180</v>
      </c>
      <c r="N35" s="37">
        <v>-1.625</v>
      </c>
      <c r="O35" s="37">
        <f t="shared" si="0"/>
        <v>-0.75</v>
      </c>
      <c r="P35" s="37">
        <v>23.68</v>
      </c>
      <c r="Q35" s="38">
        <v>23.83</v>
      </c>
      <c r="R35" s="38">
        <v>0.15</v>
      </c>
      <c r="S35" s="48">
        <v>170</v>
      </c>
      <c r="T35" s="48">
        <v>170</v>
      </c>
      <c r="U35" s="48">
        <v>35</v>
      </c>
      <c r="V35" s="48">
        <v>24</v>
      </c>
    </row>
    <row r="36" ht="17.6" customHeight="1" spans="1:22">
      <c r="A36" s="32" t="str">
        <f>[1]取镜!C36</f>
        <v>石家庄人民眼科</v>
      </c>
      <c r="B36" s="32">
        <f>[1]取镜!D36</f>
        <v>0</v>
      </c>
      <c r="C36" s="32">
        <f>[1]取镜!E36</f>
        <v>0</v>
      </c>
      <c r="D36" s="33">
        <f>[1]取镜!F36</f>
        <v>0</v>
      </c>
      <c r="E36" s="34" t="s">
        <v>72</v>
      </c>
      <c r="F36" s="25" t="s">
        <v>39</v>
      </c>
      <c r="G36" s="35" t="s">
        <v>34</v>
      </c>
      <c r="H36" s="46">
        <v>1</v>
      </c>
      <c r="I36" s="46">
        <v>1</v>
      </c>
      <c r="J36" s="47">
        <v>-1.25</v>
      </c>
      <c r="K36" s="38">
        <v>-1.5</v>
      </c>
      <c r="L36" s="38">
        <v>-0.75</v>
      </c>
      <c r="M36" s="43">
        <v>175</v>
      </c>
      <c r="N36" s="37">
        <v>-1.875</v>
      </c>
      <c r="O36" s="37">
        <f t="shared" ref="O36:O67" si="1">N36-J36</f>
        <v>-0.625</v>
      </c>
      <c r="P36" s="37">
        <v>23.89</v>
      </c>
      <c r="Q36" s="38">
        <v>24.06</v>
      </c>
      <c r="R36" s="38">
        <v>0.17</v>
      </c>
      <c r="S36" s="48">
        <v>170</v>
      </c>
      <c r="T36" s="48">
        <v>170</v>
      </c>
      <c r="U36" s="48">
        <v>9</v>
      </c>
      <c r="V36" s="48">
        <v>6</v>
      </c>
    </row>
    <row r="37" ht="17.6" customHeight="1" spans="1:22">
      <c r="A37" s="32" t="str">
        <f>[1]取镜!C37</f>
        <v>石家庄人民眼科</v>
      </c>
      <c r="B37" s="32" t="str">
        <f>[1]取镜!D37</f>
        <v>刘镐泽</v>
      </c>
      <c r="C37" s="32" t="str">
        <f>[1]取镜!E37</f>
        <v>男</v>
      </c>
      <c r="D37" s="33">
        <f>[1]取镜!F37</f>
        <v>41944</v>
      </c>
      <c r="E37" s="34" t="s">
        <v>74</v>
      </c>
      <c r="F37" s="25" t="s">
        <v>39</v>
      </c>
      <c r="G37" s="35" t="s">
        <v>33</v>
      </c>
      <c r="H37" s="46">
        <v>1</v>
      </c>
      <c r="I37" s="46">
        <v>1</v>
      </c>
      <c r="J37" s="47">
        <v>-3.125</v>
      </c>
      <c r="K37" s="38">
        <v>-3</v>
      </c>
      <c r="L37" s="38">
        <v>-1.5</v>
      </c>
      <c r="M37" s="43">
        <v>175</v>
      </c>
      <c r="N37" s="37">
        <v>-3.75</v>
      </c>
      <c r="O37" s="37">
        <f t="shared" si="1"/>
        <v>-0.625</v>
      </c>
      <c r="P37" s="37">
        <v>25.32</v>
      </c>
      <c r="Q37" s="38">
        <v>25.46</v>
      </c>
      <c r="R37" s="38">
        <v>0.14</v>
      </c>
      <c r="S37" s="48">
        <v>170</v>
      </c>
      <c r="T37" s="48">
        <v>170</v>
      </c>
      <c r="U37" s="48">
        <v>6</v>
      </c>
      <c r="V37" s="48">
        <v>4</v>
      </c>
    </row>
    <row r="38" ht="17.6" customHeight="1" spans="1:22">
      <c r="A38" s="32" t="str">
        <f>[1]取镜!C38</f>
        <v>石家庄人民眼科</v>
      </c>
      <c r="B38" s="32">
        <f>[1]取镜!D38</f>
        <v>0</v>
      </c>
      <c r="C38" s="32">
        <f>[1]取镜!E38</f>
        <v>0</v>
      </c>
      <c r="D38" s="33">
        <f>[1]取镜!F38</f>
        <v>0</v>
      </c>
      <c r="E38" s="34" t="s">
        <v>74</v>
      </c>
      <c r="F38" s="25" t="s">
        <v>39</v>
      </c>
      <c r="G38" s="35" t="s">
        <v>34</v>
      </c>
      <c r="H38" s="46">
        <v>1</v>
      </c>
      <c r="I38" s="46">
        <v>1</v>
      </c>
      <c r="J38" s="47">
        <v>-2.5</v>
      </c>
      <c r="K38" s="38">
        <v>-2</v>
      </c>
      <c r="L38" s="38">
        <v>-2</v>
      </c>
      <c r="M38" s="43">
        <v>165</v>
      </c>
      <c r="N38" s="37">
        <v>-3</v>
      </c>
      <c r="O38" s="37">
        <f t="shared" si="1"/>
        <v>-0.5</v>
      </c>
      <c r="P38" s="37">
        <v>25.03</v>
      </c>
      <c r="Q38" s="38">
        <v>25.19</v>
      </c>
      <c r="R38" s="38">
        <v>0.16</v>
      </c>
      <c r="S38" s="48">
        <v>120</v>
      </c>
      <c r="T38" s="48">
        <v>170</v>
      </c>
      <c r="U38" s="48">
        <v>45</v>
      </c>
      <c r="V38" s="48">
        <v>8</v>
      </c>
    </row>
    <row r="39" ht="17.6" customHeight="1" spans="1:22">
      <c r="A39" s="32" t="str">
        <f>[1]取镜!C39</f>
        <v>石家庄人民眼科</v>
      </c>
      <c r="B39" s="32" t="str">
        <f>[1]取镜!D39</f>
        <v>何昊轩</v>
      </c>
      <c r="C39" s="32" t="str">
        <f>[1]取镜!E39</f>
        <v>男</v>
      </c>
      <c r="D39" s="33">
        <f>[1]取镜!F39</f>
        <v>40870</v>
      </c>
      <c r="E39" s="34" t="s">
        <v>76</v>
      </c>
      <c r="F39" s="25" t="s">
        <v>45</v>
      </c>
      <c r="G39" s="35" t="s">
        <v>33</v>
      </c>
      <c r="H39" s="46">
        <v>1</v>
      </c>
      <c r="I39" s="46">
        <v>1</v>
      </c>
      <c r="J39" s="47">
        <v>-2.375</v>
      </c>
      <c r="K39" s="38">
        <v>-1.75</v>
      </c>
      <c r="L39" s="38">
        <v>-1</v>
      </c>
      <c r="M39" s="43">
        <v>170</v>
      </c>
      <c r="N39" s="37">
        <v>-2.25</v>
      </c>
      <c r="O39" s="37">
        <f t="shared" si="1"/>
        <v>0.125</v>
      </c>
      <c r="P39" s="37">
        <v>24.97</v>
      </c>
      <c r="Q39" s="38">
        <v>24.87</v>
      </c>
      <c r="R39" s="38">
        <v>-0.1</v>
      </c>
      <c r="S39" s="48">
        <v>170</v>
      </c>
      <c r="T39" s="48">
        <v>170</v>
      </c>
      <c r="U39" s="48">
        <v>15</v>
      </c>
      <c r="V39" s="48">
        <v>0</v>
      </c>
    </row>
    <row r="40" ht="17.6" customHeight="1" spans="1:22">
      <c r="A40" s="32" t="str">
        <f>[1]取镜!C40</f>
        <v>石家庄人民眼科</v>
      </c>
      <c r="B40" s="32">
        <f>[1]取镜!D40</f>
        <v>0</v>
      </c>
      <c r="C40" s="32">
        <f>[1]取镜!E40</f>
        <v>0</v>
      </c>
      <c r="D40" s="33">
        <f>[1]取镜!F40</f>
        <v>0</v>
      </c>
      <c r="E40" s="34" t="s">
        <v>76</v>
      </c>
      <c r="F40" s="25" t="s">
        <v>45</v>
      </c>
      <c r="G40" s="35" t="s">
        <v>34</v>
      </c>
      <c r="H40" s="46">
        <v>1</v>
      </c>
      <c r="I40" s="46">
        <v>1</v>
      </c>
      <c r="J40" s="47">
        <v>-1.25</v>
      </c>
      <c r="K40" s="38">
        <v>-0.5</v>
      </c>
      <c r="L40" s="38">
        <v>-1.5</v>
      </c>
      <c r="M40" s="43">
        <v>170</v>
      </c>
      <c r="N40" s="37">
        <v>-1.25</v>
      </c>
      <c r="O40" s="37">
        <f t="shared" si="1"/>
        <v>0</v>
      </c>
      <c r="P40" s="37">
        <v>24.47</v>
      </c>
      <c r="Q40" s="38">
        <v>24.43</v>
      </c>
      <c r="R40" s="38">
        <v>-0.04</v>
      </c>
      <c r="S40" s="48">
        <v>170</v>
      </c>
      <c r="T40" s="48">
        <v>170</v>
      </c>
      <c r="U40" s="48">
        <v>15</v>
      </c>
      <c r="V40" s="48">
        <v>4</v>
      </c>
    </row>
    <row r="41" ht="17.6" customHeight="1" spans="1:22">
      <c r="A41" s="32" t="str">
        <f>[1]取镜!C41</f>
        <v>石家庄人民眼科</v>
      </c>
      <c r="B41" s="32" t="str">
        <f>[1]取镜!D41</f>
        <v>张逸晨</v>
      </c>
      <c r="C41" s="32" t="str">
        <f>[1]取镜!E41</f>
        <v>男</v>
      </c>
      <c r="D41" s="33">
        <f>[1]取镜!F41</f>
        <v>42875</v>
      </c>
      <c r="E41" s="34" t="s">
        <v>78</v>
      </c>
      <c r="F41" s="25" t="s">
        <v>45</v>
      </c>
      <c r="G41" s="35" t="s">
        <v>33</v>
      </c>
      <c r="H41" s="46">
        <v>1</v>
      </c>
      <c r="I41" s="46">
        <v>1</v>
      </c>
      <c r="J41" s="47">
        <v>-2</v>
      </c>
      <c r="K41" s="38">
        <v>-1.75</v>
      </c>
      <c r="L41" s="38">
        <v>0</v>
      </c>
      <c r="M41" s="43">
        <v>0</v>
      </c>
      <c r="N41" s="37">
        <v>-1.75</v>
      </c>
      <c r="O41" s="37">
        <f t="shared" si="1"/>
        <v>0.25</v>
      </c>
      <c r="P41" s="37">
        <v>24.38</v>
      </c>
      <c r="Q41" s="38">
        <v>24.48</v>
      </c>
      <c r="R41" s="38">
        <v>0.1</v>
      </c>
      <c r="S41" s="48">
        <v>170</v>
      </c>
      <c r="T41" s="48">
        <v>170</v>
      </c>
      <c r="U41" s="48">
        <v>45</v>
      </c>
      <c r="V41" s="48">
        <v>15</v>
      </c>
    </row>
    <row r="42" ht="17.6" customHeight="1" spans="1:22">
      <c r="A42" s="32" t="str">
        <f>[1]取镜!C42</f>
        <v>石家庄人民眼科</v>
      </c>
      <c r="B42" s="32">
        <f>[1]取镜!D42</f>
        <v>0</v>
      </c>
      <c r="C42" s="32">
        <f>[1]取镜!E42</f>
        <v>0</v>
      </c>
      <c r="D42" s="33">
        <f>[1]取镜!F42</f>
        <v>0</v>
      </c>
      <c r="E42" s="34" t="s">
        <v>78</v>
      </c>
      <c r="F42" s="25" t="s">
        <v>45</v>
      </c>
      <c r="G42" s="35" t="s">
        <v>34</v>
      </c>
      <c r="H42" s="46">
        <v>1</v>
      </c>
      <c r="I42" s="46">
        <v>1</v>
      </c>
      <c r="J42" s="49">
        <v>1.5</v>
      </c>
      <c r="K42" s="38">
        <v>-2</v>
      </c>
      <c r="L42" s="38">
        <v>-0.25</v>
      </c>
      <c r="M42" s="43">
        <v>165</v>
      </c>
      <c r="N42" s="49">
        <v>-2.125</v>
      </c>
      <c r="O42" s="37">
        <f t="shared" si="1"/>
        <v>-3.625</v>
      </c>
      <c r="P42" s="49">
        <v>24.33</v>
      </c>
      <c r="Q42" s="50">
        <v>24.46</v>
      </c>
      <c r="R42" s="50">
        <v>0.13</v>
      </c>
      <c r="S42" s="48">
        <v>170</v>
      </c>
      <c r="T42" s="48">
        <v>170</v>
      </c>
      <c r="U42" s="48">
        <v>45</v>
      </c>
      <c r="V42" s="48">
        <v>6</v>
      </c>
    </row>
    <row r="43" ht="17.6" customHeight="1" spans="1:22">
      <c r="A43" s="32" t="str">
        <f>[1]取镜!C43</f>
        <v>石家庄人民眼科</v>
      </c>
      <c r="B43" s="32" t="str">
        <f>[1]取镜!D43</f>
        <v>底毅博</v>
      </c>
      <c r="C43" s="32" t="str">
        <f>[1]取镜!E43</f>
        <v>男</v>
      </c>
      <c r="D43" s="33">
        <f>[1]取镜!F43</f>
        <v>42028</v>
      </c>
      <c r="E43" s="34" t="s">
        <v>80</v>
      </c>
      <c r="F43" s="25" t="s">
        <v>31</v>
      </c>
      <c r="G43" s="35" t="s">
        <v>33</v>
      </c>
      <c r="H43" s="46">
        <v>1</v>
      </c>
      <c r="I43" s="46">
        <v>1</v>
      </c>
      <c r="J43" s="47">
        <v>-1.25</v>
      </c>
      <c r="K43" s="38">
        <v>-1.25</v>
      </c>
      <c r="L43" s="38">
        <v>0</v>
      </c>
      <c r="M43" s="43">
        <v>0</v>
      </c>
      <c r="N43" s="37">
        <v>-1.25</v>
      </c>
      <c r="O43" s="37">
        <f t="shared" si="1"/>
        <v>0</v>
      </c>
      <c r="P43" s="37">
        <v>24.52</v>
      </c>
      <c r="Q43" s="38">
        <v>24.62</v>
      </c>
      <c r="R43" s="38">
        <v>0.1</v>
      </c>
      <c r="S43" s="48">
        <v>170</v>
      </c>
      <c r="T43" s="48">
        <v>170</v>
      </c>
      <c r="U43" s="48">
        <v>35</v>
      </c>
      <c r="V43" s="48">
        <v>6</v>
      </c>
    </row>
    <row r="44" ht="17.6" customHeight="1" spans="1:22">
      <c r="A44" s="32" t="str">
        <f>[1]取镜!C44</f>
        <v>石家庄人民眼科</v>
      </c>
      <c r="B44" s="32">
        <f>[1]取镜!D44</f>
        <v>0</v>
      </c>
      <c r="C44" s="32">
        <f>[1]取镜!E44</f>
        <v>0</v>
      </c>
      <c r="D44" s="33">
        <f>[1]取镜!F44</f>
        <v>0</v>
      </c>
      <c r="E44" s="34" t="s">
        <v>80</v>
      </c>
      <c r="F44" s="25" t="s">
        <v>31</v>
      </c>
      <c r="G44" s="35" t="s">
        <v>34</v>
      </c>
      <c r="H44" s="46">
        <v>1</v>
      </c>
      <c r="I44" s="46">
        <v>1</v>
      </c>
      <c r="J44" s="47">
        <v>-1.625</v>
      </c>
      <c r="K44" s="38">
        <v>-1.75</v>
      </c>
      <c r="L44" s="38">
        <v>0</v>
      </c>
      <c r="M44" s="43">
        <v>0</v>
      </c>
      <c r="N44" s="37">
        <v>-1.75</v>
      </c>
      <c r="O44" s="37">
        <f t="shared" si="1"/>
        <v>-0.125</v>
      </c>
      <c r="P44" s="37">
        <v>24.6</v>
      </c>
      <c r="Q44" s="38">
        <v>24.66</v>
      </c>
      <c r="R44" s="38">
        <v>0.06</v>
      </c>
      <c r="S44" s="48">
        <v>170</v>
      </c>
      <c r="T44" s="48">
        <v>120</v>
      </c>
      <c r="U44" s="48">
        <v>80</v>
      </c>
      <c r="V44" s="48">
        <v>35</v>
      </c>
    </row>
    <row r="45" ht="17.6" customHeight="1" spans="1:22">
      <c r="A45" s="32" t="str">
        <f>[1]取镜!C45</f>
        <v>石家庄人民眼科</v>
      </c>
      <c r="B45" s="32" t="str">
        <f>[1]取镜!D45</f>
        <v>师藤语</v>
      </c>
      <c r="C45" s="32" t="str">
        <f>[1]取镜!E45</f>
        <v>女</v>
      </c>
      <c r="D45" s="33">
        <f>[1]取镜!F45</f>
        <v>41132</v>
      </c>
      <c r="E45" s="34" t="s">
        <v>82</v>
      </c>
      <c r="F45" s="25" t="s">
        <v>48</v>
      </c>
      <c r="G45" s="35" t="s">
        <v>33</v>
      </c>
      <c r="H45" s="46">
        <v>1</v>
      </c>
      <c r="I45" s="46">
        <v>1</v>
      </c>
      <c r="J45" s="47">
        <v>-3.5</v>
      </c>
      <c r="K45" s="38">
        <v>-3.5</v>
      </c>
      <c r="L45" s="38">
        <v>-1</v>
      </c>
      <c r="M45" s="43">
        <v>10</v>
      </c>
      <c r="N45" s="37">
        <v>-4</v>
      </c>
      <c r="O45" s="37">
        <f t="shared" si="1"/>
        <v>-0.5</v>
      </c>
      <c r="P45" s="37">
        <v>25.51</v>
      </c>
      <c r="Q45" s="38">
        <v>25.49</v>
      </c>
      <c r="R45" s="38">
        <v>-0.02</v>
      </c>
      <c r="S45" s="48">
        <v>170</v>
      </c>
      <c r="T45" s="48">
        <v>120</v>
      </c>
      <c r="U45" s="48">
        <v>25</v>
      </c>
      <c r="V45" s="48">
        <v>8</v>
      </c>
    </row>
    <row r="46" ht="17.6" customHeight="1" spans="1:22">
      <c r="A46" s="32" t="str">
        <f>[1]取镜!C46</f>
        <v>石家庄人民眼科</v>
      </c>
      <c r="B46" s="32">
        <f>[1]取镜!D46</f>
        <v>0</v>
      </c>
      <c r="C46" s="32">
        <f>[1]取镜!E46</f>
        <v>0</v>
      </c>
      <c r="D46" s="33">
        <f>[1]取镜!F46</f>
        <v>0</v>
      </c>
      <c r="E46" s="34" t="s">
        <v>82</v>
      </c>
      <c r="F46" s="25" t="s">
        <v>48</v>
      </c>
      <c r="G46" s="35" t="s">
        <v>34</v>
      </c>
      <c r="H46" s="46">
        <v>1</v>
      </c>
      <c r="I46" s="46">
        <v>1</v>
      </c>
      <c r="J46" s="47">
        <v>-2.375</v>
      </c>
      <c r="K46" s="38">
        <v>-1.25</v>
      </c>
      <c r="L46" s="38">
        <v>-2.5</v>
      </c>
      <c r="M46" s="43">
        <v>180</v>
      </c>
      <c r="N46" s="37">
        <v>-2.5</v>
      </c>
      <c r="O46" s="37">
        <f t="shared" si="1"/>
        <v>-0.125</v>
      </c>
      <c r="P46" s="37">
        <v>24.98</v>
      </c>
      <c r="Q46" s="38">
        <v>24.97</v>
      </c>
      <c r="R46" s="38">
        <v>-0.01</v>
      </c>
      <c r="S46" s="48">
        <v>170</v>
      </c>
      <c r="T46" s="48">
        <v>120</v>
      </c>
      <c r="U46" s="48">
        <v>25</v>
      </c>
      <c r="V46" s="48">
        <v>24</v>
      </c>
    </row>
    <row r="47" ht="17.6" customHeight="1" spans="1:22">
      <c r="A47" s="32" t="str">
        <f>[1]取镜!C47</f>
        <v>石家庄人民眼科</v>
      </c>
      <c r="B47" s="32" t="str">
        <f>[1]取镜!D47</f>
        <v>李安雅</v>
      </c>
      <c r="C47" s="32" t="str">
        <f>[1]取镜!E47</f>
        <v>女</v>
      </c>
      <c r="D47" s="33">
        <f>[1]取镜!F47</f>
        <v>42892</v>
      </c>
      <c r="E47" s="34" t="s">
        <v>84</v>
      </c>
      <c r="F47" s="25" t="s">
        <v>48</v>
      </c>
      <c r="G47" s="35" t="s">
        <v>33</v>
      </c>
      <c r="H47" s="46">
        <v>1</v>
      </c>
      <c r="I47" s="46">
        <v>1</v>
      </c>
      <c r="J47" s="47">
        <v>-2.125</v>
      </c>
      <c r="K47" s="38">
        <v>-1.75</v>
      </c>
      <c r="L47" s="38">
        <v>-0.5</v>
      </c>
      <c r="M47" s="43">
        <v>5</v>
      </c>
      <c r="N47" s="37">
        <v>-2</v>
      </c>
      <c r="O47" s="37">
        <f t="shared" si="1"/>
        <v>0.125</v>
      </c>
      <c r="P47" s="37">
        <v>25.03</v>
      </c>
      <c r="Q47" s="38">
        <v>25.09</v>
      </c>
      <c r="R47" s="38">
        <v>0.06</v>
      </c>
      <c r="S47" s="48">
        <v>170</v>
      </c>
      <c r="T47" s="48">
        <v>170</v>
      </c>
      <c r="U47" s="48">
        <v>0</v>
      </c>
      <c r="V47" s="48">
        <v>0</v>
      </c>
    </row>
    <row r="48" ht="17.6" customHeight="1" spans="1:22">
      <c r="A48" s="32" t="str">
        <f>[1]取镜!C48</f>
        <v>石家庄人民眼科</v>
      </c>
      <c r="B48" s="32">
        <f>[1]取镜!D48</f>
        <v>0</v>
      </c>
      <c r="C48" s="32">
        <f>[1]取镜!E48</f>
        <v>0</v>
      </c>
      <c r="D48" s="33">
        <f>[1]取镜!F48</f>
        <v>0</v>
      </c>
      <c r="E48" s="34" t="s">
        <v>84</v>
      </c>
      <c r="F48" s="25" t="s">
        <v>48</v>
      </c>
      <c r="G48" s="35" t="s">
        <v>34</v>
      </c>
      <c r="H48" s="46">
        <v>1</v>
      </c>
      <c r="I48" s="46">
        <v>1</v>
      </c>
      <c r="J48" s="47">
        <v>-1.875</v>
      </c>
      <c r="K48" s="38">
        <v>-2</v>
      </c>
      <c r="L48" s="38">
        <v>-0.5</v>
      </c>
      <c r="M48" s="43">
        <v>175</v>
      </c>
      <c r="N48" s="37">
        <v>-2.25</v>
      </c>
      <c r="O48" s="37">
        <f t="shared" si="1"/>
        <v>-0.375</v>
      </c>
      <c r="P48" s="37">
        <v>25</v>
      </c>
      <c r="Q48" s="38">
        <v>25.06</v>
      </c>
      <c r="R48" s="38">
        <v>0.06</v>
      </c>
      <c r="S48" s="48">
        <v>170</v>
      </c>
      <c r="T48" s="48">
        <v>170</v>
      </c>
      <c r="U48" s="48">
        <v>0</v>
      </c>
      <c r="V48" s="48">
        <v>0</v>
      </c>
    </row>
    <row r="49" ht="17.6" customHeight="1" spans="1:22">
      <c r="A49" s="32" t="str">
        <f>[1]取镜!C49</f>
        <v>石家庄人民眼科</v>
      </c>
      <c r="B49" s="32" t="str">
        <f>[1]取镜!D49</f>
        <v>刘星宇</v>
      </c>
      <c r="C49" s="32" t="str">
        <f>[1]取镜!E49</f>
        <v>男</v>
      </c>
      <c r="D49" s="33">
        <f>[1]取镜!F49</f>
        <v>41586</v>
      </c>
      <c r="E49" s="34" t="s">
        <v>86</v>
      </c>
      <c r="F49" s="25" t="s">
        <v>31</v>
      </c>
      <c r="G49" s="35" t="s">
        <v>33</v>
      </c>
      <c r="H49" s="46">
        <v>1</v>
      </c>
      <c r="I49" s="46">
        <v>1</v>
      </c>
      <c r="J49" s="47">
        <v>-4.125</v>
      </c>
      <c r="K49" s="38">
        <v>-4.25</v>
      </c>
      <c r="L49" s="38">
        <v>0</v>
      </c>
      <c r="M49" s="43">
        <v>0</v>
      </c>
      <c r="N49" s="37">
        <v>-4.25</v>
      </c>
      <c r="O49" s="37">
        <f t="shared" si="1"/>
        <v>-0.125</v>
      </c>
      <c r="P49" s="37">
        <v>26.07</v>
      </c>
      <c r="Q49" s="38">
        <v>26.08</v>
      </c>
      <c r="R49" s="38">
        <v>0.01</v>
      </c>
      <c r="S49" s="48">
        <v>170</v>
      </c>
      <c r="T49" s="48">
        <v>170</v>
      </c>
      <c r="U49" s="48">
        <v>35</v>
      </c>
      <c r="V49" s="48">
        <v>15</v>
      </c>
    </row>
    <row r="50" ht="17.6" customHeight="1" spans="1:22">
      <c r="A50" s="32" t="str">
        <f>[1]取镜!C50</f>
        <v>石家庄人民眼科</v>
      </c>
      <c r="B50" s="32">
        <f>[1]取镜!D50</f>
        <v>0</v>
      </c>
      <c r="C50" s="32">
        <f>[1]取镜!E50</f>
        <v>0</v>
      </c>
      <c r="D50" s="33">
        <f>[1]取镜!F50</f>
        <v>0</v>
      </c>
      <c r="E50" s="34" t="s">
        <v>86</v>
      </c>
      <c r="F50" s="25" t="s">
        <v>31</v>
      </c>
      <c r="G50" s="35" t="s">
        <v>34</v>
      </c>
      <c r="H50" s="46">
        <v>1</v>
      </c>
      <c r="I50" s="46">
        <v>1</v>
      </c>
      <c r="J50" s="47">
        <v>-4.125</v>
      </c>
      <c r="K50" s="38">
        <v>-4</v>
      </c>
      <c r="L50" s="38">
        <v>-1</v>
      </c>
      <c r="M50" s="43">
        <v>170</v>
      </c>
      <c r="N50" s="37">
        <v>-4.5</v>
      </c>
      <c r="O50" s="37">
        <f t="shared" si="1"/>
        <v>-0.375</v>
      </c>
      <c r="P50" s="37">
        <v>26.16</v>
      </c>
      <c r="Q50" s="38">
        <v>26.28</v>
      </c>
      <c r="R50" s="38">
        <v>0.12</v>
      </c>
      <c r="S50" s="48">
        <v>170</v>
      </c>
      <c r="T50" s="48">
        <v>170</v>
      </c>
      <c r="U50" s="48">
        <v>45</v>
      </c>
      <c r="V50" s="48">
        <v>35</v>
      </c>
    </row>
    <row r="51" ht="17.6" customHeight="1" spans="1:22">
      <c r="A51" s="32" t="str">
        <f>[1]取镜!C55</f>
        <v>石家庄人民眼科</v>
      </c>
      <c r="B51" s="32" t="str">
        <f>[1]取镜!D55</f>
        <v>侯轶婷</v>
      </c>
      <c r="C51" s="32" t="str">
        <f>[1]取镜!E55</f>
        <v>女</v>
      </c>
      <c r="D51" s="33">
        <f>[1]取镜!F55</f>
        <v>42583</v>
      </c>
      <c r="E51" s="34" t="s">
        <v>92</v>
      </c>
      <c r="F51" s="25" t="s">
        <v>45</v>
      </c>
      <c r="G51" s="35" t="s">
        <v>33</v>
      </c>
      <c r="H51" s="46">
        <v>1</v>
      </c>
      <c r="I51" s="46">
        <v>1</v>
      </c>
      <c r="J51" s="47">
        <v>-0.875</v>
      </c>
      <c r="K51" s="38">
        <v>-0.75</v>
      </c>
      <c r="L51" s="38">
        <v>0</v>
      </c>
      <c r="M51" s="43">
        <v>0</v>
      </c>
      <c r="N51" s="37">
        <v>-0.75</v>
      </c>
      <c r="O51" s="37">
        <f t="shared" si="1"/>
        <v>0.125</v>
      </c>
      <c r="P51" s="37">
        <v>24.49</v>
      </c>
      <c r="Q51" s="38">
        <v>24.52</v>
      </c>
      <c r="R51" s="38">
        <v>0.03</v>
      </c>
      <c r="S51" s="48">
        <v>170</v>
      </c>
      <c r="T51" s="48">
        <v>170</v>
      </c>
      <c r="U51" s="48">
        <v>80</v>
      </c>
      <c r="V51" s="48">
        <v>24</v>
      </c>
    </row>
    <row r="52" ht="17.6" customHeight="1" spans="1:22">
      <c r="A52" s="32" t="str">
        <f>[1]取镜!C56</f>
        <v>石家庄人民眼科</v>
      </c>
      <c r="B52" s="32">
        <f>[1]取镜!D56</f>
        <v>0</v>
      </c>
      <c r="C52" s="32">
        <f>[1]取镜!E56</f>
        <v>0</v>
      </c>
      <c r="D52" s="33">
        <f>[1]取镜!F56</f>
        <v>0</v>
      </c>
      <c r="E52" s="34" t="s">
        <v>92</v>
      </c>
      <c r="F52" s="25" t="s">
        <v>45</v>
      </c>
      <c r="G52" s="35" t="s">
        <v>34</v>
      </c>
      <c r="H52" s="46">
        <v>1</v>
      </c>
      <c r="I52" s="46">
        <v>1</v>
      </c>
      <c r="J52" s="47">
        <v>-1.125</v>
      </c>
      <c r="K52" s="38">
        <v>-1</v>
      </c>
      <c r="L52" s="38">
        <v>-0.25</v>
      </c>
      <c r="M52" s="43">
        <v>5</v>
      </c>
      <c r="N52" s="37">
        <v>-1.125</v>
      </c>
      <c r="O52" s="37">
        <f t="shared" si="1"/>
        <v>0</v>
      </c>
      <c r="P52" s="37">
        <v>24.66</v>
      </c>
      <c r="Q52" s="38">
        <v>24.71</v>
      </c>
      <c r="R52" s="38">
        <v>0.05</v>
      </c>
      <c r="S52" s="48">
        <v>170</v>
      </c>
      <c r="T52" s="48">
        <v>170</v>
      </c>
      <c r="U52" s="48">
        <v>80</v>
      </c>
      <c r="V52" s="48">
        <v>35</v>
      </c>
    </row>
    <row r="53" ht="17.6" customHeight="1" spans="1:22">
      <c r="A53" s="32" t="str">
        <f>[1]取镜!C57</f>
        <v>石家庄人民眼科</v>
      </c>
      <c r="B53" s="32" t="str">
        <f>[1]取镜!D57</f>
        <v>牛建岳</v>
      </c>
      <c r="C53" s="32" t="str">
        <f>[1]取镜!E57</f>
        <v>男</v>
      </c>
      <c r="D53" s="33">
        <f>[1]取镜!F57</f>
        <v>41709</v>
      </c>
      <c r="E53" s="34" t="s">
        <v>95</v>
      </c>
      <c r="F53" s="25" t="s">
        <v>39</v>
      </c>
      <c r="G53" s="35" t="s">
        <v>33</v>
      </c>
      <c r="H53" s="46">
        <v>1</v>
      </c>
      <c r="I53" s="46">
        <v>1</v>
      </c>
      <c r="J53" s="47">
        <v>-0.5</v>
      </c>
      <c r="K53" s="38">
        <v>0.25</v>
      </c>
      <c r="L53" s="38">
        <v>-0.75</v>
      </c>
      <c r="M53" s="43">
        <v>175</v>
      </c>
      <c r="N53" s="37">
        <v>-0.125</v>
      </c>
      <c r="O53" s="37">
        <f t="shared" si="1"/>
        <v>0.375</v>
      </c>
      <c r="P53" s="37">
        <v>23.12</v>
      </c>
      <c r="Q53" s="38">
        <v>23.13</v>
      </c>
      <c r="R53" s="38">
        <v>0.01</v>
      </c>
      <c r="S53" s="48">
        <v>170</v>
      </c>
      <c r="T53" s="48">
        <v>170</v>
      </c>
      <c r="U53" s="48">
        <v>120</v>
      </c>
      <c r="V53" s="48">
        <v>0</v>
      </c>
    </row>
    <row r="54" ht="17.6" customHeight="1" spans="1:22">
      <c r="A54" s="32" t="str">
        <f>[1]取镜!C58</f>
        <v>石家庄人民眼科</v>
      </c>
      <c r="B54" s="32">
        <f>[1]取镜!D58</f>
        <v>0</v>
      </c>
      <c r="C54" s="32">
        <f>[1]取镜!E58</f>
        <v>0</v>
      </c>
      <c r="D54" s="33">
        <f>[1]取镜!F58</f>
        <v>0</v>
      </c>
      <c r="E54" s="34" t="s">
        <v>95</v>
      </c>
      <c r="F54" s="25" t="s">
        <v>39</v>
      </c>
      <c r="G54" s="35" t="s">
        <v>34</v>
      </c>
      <c r="H54" s="46">
        <v>1</v>
      </c>
      <c r="I54" s="46">
        <v>1</v>
      </c>
      <c r="J54" s="47">
        <v>-1.25</v>
      </c>
      <c r="K54" s="38">
        <v>-0.75</v>
      </c>
      <c r="L54" s="38">
        <v>-0.5</v>
      </c>
      <c r="M54" s="43">
        <v>170</v>
      </c>
      <c r="N54" s="37">
        <v>-1</v>
      </c>
      <c r="O54" s="37">
        <f t="shared" si="1"/>
        <v>0.25</v>
      </c>
      <c r="P54" s="37">
        <v>23.58</v>
      </c>
      <c r="Q54" s="38">
        <v>23.59</v>
      </c>
      <c r="R54" s="38">
        <v>0.01</v>
      </c>
      <c r="S54" s="48">
        <v>170</v>
      </c>
      <c r="T54" s="48">
        <v>170</v>
      </c>
      <c r="U54" s="48">
        <v>120</v>
      </c>
      <c r="V54" s="41" t="s">
        <v>471</v>
      </c>
    </row>
    <row r="55" ht="17.6" customHeight="1" spans="1:22">
      <c r="A55" s="32" t="str">
        <f>[1]取镜!C61</f>
        <v>石家庄人民眼科</v>
      </c>
      <c r="B55" s="32" t="str">
        <f>[1]取镜!D61</f>
        <v>张舒淼</v>
      </c>
      <c r="C55" s="32" t="str">
        <f>[1]取镜!E61</f>
        <v>女</v>
      </c>
      <c r="D55" s="33">
        <f>[1]取镜!F61</f>
        <v>41915</v>
      </c>
      <c r="E55" s="34" t="s">
        <v>99</v>
      </c>
      <c r="F55" s="25" t="s">
        <v>45</v>
      </c>
      <c r="G55" s="35" t="s">
        <v>33</v>
      </c>
      <c r="H55" s="46">
        <v>1</v>
      </c>
      <c r="I55" s="46">
        <v>1</v>
      </c>
      <c r="J55" s="47">
        <v>-3.125</v>
      </c>
      <c r="K55" s="38">
        <v>-3</v>
      </c>
      <c r="L55" s="38">
        <v>-1</v>
      </c>
      <c r="M55" s="43">
        <v>170</v>
      </c>
      <c r="N55" s="37">
        <v>-3.5</v>
      </c>
      <c r="O55" s="37">
        <f t="shared" si="1"/>
        <v>-0.375</v>
      </c>
      <c r="P55" s="37"/>
      <c r="Q55" s="38">
        <v>25.21</v>
      </c>
      <c r="R55" s="38"/>
      <c r="S55" s="48">
        <v>170</v>
      </c>
      <c r="T55" s="48">
        <v>170</v>
      </c>
      <c r="U55" s="48">
        <v>120</v>
      </c>
      <c r="V55" s="48">
        <v>45</v>
      </c>
    </row>
    <row r="56" ht="17.6" customHeight="1" spans="1:22">
      <c r="A56" s="32" t="str">
        <f>[1]取镜!C62</f>
        <v>石家庄人民眼科</v>
      </c>
      <c r="B56" s="32">
        <f>[1]取镜!D62</f>
        <v>0</v>
      </c>
      <c r="C56" s="32">
        <f>[1]取镜!E62</f>
        <v>0</v>
      </c>
      <c r="D56" s="33">
        <f>[1]取镜!F62</f>
        <v>0</v>
      </c>
      <c r="E56" s="34" t="s">
        <v>99</v>
      </c>
      <c r="F56" s="25" t="s">
        <v>45</v>
      </c>
      <c r="G56" s="35" t="s">
        <v>34</v>
      </c>
      <c r="H56" s="46">
        <v>1</v>
      </c>
      <c r="I56" s="46">
        <v>1</v>
      </c>
      <c r="J56" s="47">
        <v>-3.125</v>
      </c>
      <c r="K56" s="38">
        <v>-3.5</v>
      </c>
      <c r="L56" s="38">
        <v>-0.5</v>
      </c>
      <c r="M56" s="43">
        <v>175</v>
      </c>
      <c r="N56" s="37">
        <v>-3.75</v>
      </c>
      <c r="O56" s="37">
        <f t="shared" si="1"/>
        <v>-0.625</v>
      </c>
      <c r="P56" s="37"/>
      <c r="Q56" s="38">
        <v>25.23</v>
      </c>
      <c r="R56" s="38"/>
      <c r="S56" s="48">
        <v>170</v>
      </c>
      <c r="T56" s="48">
        <v>170</v>
      </c>
      <c r="U56" s="48">
        <v>80</v>
      </c>
      <c r="V56" s="48">
        <v>35</v>
      </c>
    </row>
    <row r="57" ht="17.6" customHeight="1" spans="1:22">
      <c r="A57" s="32" t="str">
        <f>[1]取镜!C63</f>
        <v>石家庄人民眼科</v>
      </c>
      <c r="B57" s="32" t="str">
        <f>[1]取镜!D63</f>
        <v>殷润楚</v>
      </c>
      <c r="C57" s="32" t="str">
        <f>[1]取镜!E63</f>
        <v>男</v>
      </c>
      <c r="D57" s="33">
        <f>[1]取镜!F63</f>
        <v>42256</v>
      </c>
      <c r="E57" s="34" t="s">
        <v>101</v>
      </c>
      <c r="F57" s="25" t="s">
        <v>39</v>
      </c>
      <c r="G57" s="35" t="s">
        <v>33</v>
      </c>
      <c r="H57" s="46">
        <v>1</v>
      </c>
      <c r="I57" s="46">
        <v>1</v>
      </c>
      <c r="J57" s="47">
        <v>-2</v>
      </c>
      <c r="K57" s="38">
        <v>-2</v>
      </c>
      <c r="L57" s="38">
        <v>0</v>
      </c>
      <c r="M57" s="43">
        <v>0</v>
      </c>
      <c r="N57" s="37">
        <v>-2</v>
      </c>
      <c r="O57" s="37">
        <f t="shared" si="1"/>
        <v>0</v>
      </c>
      <c r="P57" s="37"/>
      <c r="Q57" s="38">
        <v>24.1</v>
      </c>
      <c r="R57" s="38"/>
      <c r="S57" s="48">
        <v>170</v>
      </c>
      <c r="T57" s="48">
        <v>170</v>
      </c>
      <c r="U57" s="48">
        <v>120</v>
      </c>
      <c r="V57" s="48">
        <v>35</v>
      </c>
    </row>
    <row r="58" ht="17.6" customHeight="1" spans="1:22">
      <c r="A58" s="32" t="str">
        <f>[1]取镜!C64</f>
        <v>石家庄人民眼科</v>
      </c>
      <c r="B58" s="32">
        <f>[1]取镜!D64</f>
        <v>0</v>
      </c>
      <c r="C58" s="32">
        <f>[1]取镜!E64</f>
        <v>0</v>
      </c>
      <c r="D58" s="33">
        <f>[1]取镜!F64</f>
        <v>0</v>
      </c>
      <c r="E58" s="34" t="s">
        <v>101</v>
      </c>
      <c r="F58" s="25" t="s">
        <v>39</v>
      </c>
      <c r="G58" s="35" t="s">
        <v>34</v>
      </c>
      <c r="H58" s="46">
        <v>1</v>
      </c>
      <c r="I58" s="46">
        <v>1</v>
      </c>
      <c r="J58" s="47">
        <v>-1.75</v>
      </c>
      <c r="K58" s="38">
        <v>-2.25</v>
      </c>
      <c r="L58" s="38">
        <v>0</v>
      </c>
      <c r="M58" s="43">
        <v>0</v>
      </c>
      <c r="N58" s="37">
        <v>-2.25</v>
      </c>
      <c r="O58" s="37">
        <f t="shared" si="1"/>
        <v>-0.5</v>
      </c>
      <c r="P58" s="37"/>
      <c r="Q58" s="38">
        <v>24.14</v>
      </c>
      <c r="R58" s="38"/>
      <c r="S58" s="48">
        <v>170</v>
      </c>
      <c r="T58" s="48">
        <v>170</v>
      </c>
      <c r="U58" s="48">
        <v>120</v>
      </c>
      <c r="V58" s="41">
        <v>8</v>
      </c>
    </row>
    <row r="59" ht="17.6" customHeight="1" spans="1:22">
      <c r="A59" s="32" t="str">
        <f>[1]取镜!C65</f>
        <v>石家庄人民眼科</v>
      </c>
      <c r="B59" s="32" t="str">
        <f>[1]取镜!D65</f>
        <v>高玮杰</v>
      </c>
      <c r="C59" s="32" t="str">
        <f>[1]取镜!E65</f>
        <v>男</v>
      </c>
      <c r="D59" s="33">
        <f>[1]取镜!F65</f>
        <v>42044</v>
      </c>
      <c r="E59" s="34" t="s">
        <v>103</v>
      </c>
      <c r="F59" s="25" t="s">
        <v>45</v>
      </c>
      <c r="G59" s="35" t="s">
        <v>33</v>
      </c>
      <c r="H59" s="46">
        <v>1</v>
      </c>
      <c r="I59" s="46">
        <v>1</v>
      </c>
      <c r="J59" s="47">
        <v>-1.625</v>
      </c>
      <c r="K59" s="38">
        <v>-1.75</v>
      </c>
      <c r="L59" s="38">
        <v>-0.75</v>
      </c>
      <c r="M59" s="43">
        <v>160</v>
      </c>
      <c r="N59" s="37">
        <v>-2.125</v>
      </c>
      <c r="O59" s="37">
        <f t="shared" si="1"/>
        <v>-0.5</v>
      </c>
      <c r="P59" s="37">
        <v>24.44</v>
      </c>
      <c r="Q59" s="38">
        <v>24.68</v>
      </c>
      <c r="R59" s="38">
        <v>0.24</v>
      </c>
      <c r="S59" s="48">
        <v>170</v>
      </c>
      <c r="T59" s="48">
        <v>170</v>
      </c>
      <c r="U59" s="48">
        <v>60</v>
      </c>
      <c r="V59" s="48">
        <v>8</v>
      </c>
    </row>
    <row r="60" ht="17.6" customHeight="1" spans="1:22">
      <c r="A60" s="32" t="str">
        <f>[1]取镜!C66</f>
        <v>石家庄人民眼科</v>
      </c>
      <c r="B60" s="32">
        <f>[1]取镜!D66</f>
        <v>0</v>
      </c>
      <c r="C60" s="32">
        <f>[1]取镜!E66</f>
        <v>0</v>
      </c>
      <c r="D60" s="33">
        <f>[1]取镜!F66</f>
        <v>0</v>
      </c>
      <c r="E60" s="34" t="s">
        <v>103</v>
      </c>
      <c r="F60" s="25" t="s">
        <v>45</v>
      </c>
      <c r="G60" s="35" t="s">
        <v>34</v>
      </c>
      <c r="H60" s="46">
        <v>1</v>
      </c>
      <c r="I60" s="46">
        <v>1</v>
      </c>
      <c r="J60" s="47">
        <v>-1.625</v>
      </c>
      <c r="K60" s="38">
        <v>-1.5</v>
      </c>
      <c r="L60" s="38">
        <v>-0.75</v>
      </c>
      <c r="M60" s="43">
        <v>180</v>
      </c>
      <c r="N60" s="37">
        <v>-1.875</v>
      </c>
      <c r="O60" s="37">
        <f t="shared" si="1"/>
        <v>-0.25</v>
      </c>
      <c r="P60" s="37">
        <v>24.37</v>
      </c>
      <c r="Q60" s="38">
        <v>24.6</v>
      </c>
      <c r="R60" s="38">
        <v>0.23</v>
      </c>
      <c r="S60" s="48">
        <v>170</v>
      </c>
      <c r="T60" s="48">
        <v>170</v>
      </c>
      <c r="U60" s="48">
        <v>60</v>
      </c>
      <c r="V60" s="48">
        <v>6</v>
      </c>
    </row>
    <row r="61" ht="17.6" customHeight="1" spans="1:22">
      <c r="A61" s="32" t="str">
        <f>[1]取镜!C67</f>
        <v>石家庄人民眼科</v>
      </c>
      <c r="B61" s="32" t="str">
        <f>[1]取镜!D67</f>
        <v>庞凯文</v>
      </c>
      <c r="C61" s="32" t="str">
        <f>[1]取镜!E67</f>
        <v>女</v>
      </c>
      <c r="D61" s="33">
        <f>[1]取镜!F67</f>
        <v>42084</v>
      </c>
      <c r="E61" s="34" t="s">
        <v>105</v>
      </c>
      <c r="F61" s="25" t="s">
        <v>45</v>
      </c>
      <c r="G61" s="35" t="s">
        <v>33</v>
      </c>
      <c r="H61" s="46">
        <v>1</v>
      </c>
      <c r="I61" s="46">
        <v>1</v>
      </c>
      <c r="J61" s="47">
        <v>-2</v>
      </c>
      <c r="K61" s="38">
        <v>-2</v>
      </c>
      <c r="L61" s="38">
        <v>0</v>
      </c>
      <c r="M61" s="43">
        <v>0</v>
      </c>
      <c r="N61" s="37">
        <v>-2</v>
      </c>
      <c r="O61" s="37">
        <f t="shared" si="1"/>
        <v>0</v>
      </c>
      <c r="P61" s="37">
        <v>23.57</v>
      </c>
      <c r="Q61" s="38">
        <v>23.45</v>
      </c>
      <c r="R61" s="38">
        <v>-0.12</v>
      </c>
      <c r="S61" s="48">
        <v>170</v>
      </c>
      <c r="T61" s="48">
        <v>170</v>
      </c>
      <c r="U61" s="48">
        <v>80</v>
      </c>
      <c r="V61" s="48">
        <v>45</v>
      </c>
    </row>
    <row r="62" ht="17.6" customHeight="1" spans="1:22">
      <c r="A62" s="32" t="str">
        <f>[1]取镜!C68</f>
        <v>石家庄人民眼科</v>
      </c>
      <c r="B62" s="32">
        <f>[1]取镜!D68</f>
        <v>0</v>
      </c>
      <c r="C62" s="32">
        <f>[1]取镜!E68</f>
        <v>0</v>
      </c>
      <c r="D62" s="33">
        <f>[1]取镜!F68</f>
        <v>0</v>
      </c>
      <c r="E62" s="34" t="s">
        <v>105</v>
      </c>
      <c r="F62" s="25" t="s">
        <v>45</v>
      </c>
      <c r="G62" s="35" t="s">
        <v>34</v>
      </c>
      <c r="H62" s="46">
        <v>1</v>
      </c>
      <c r="I62" s="46">
        <v>1</v>
      </c>
      <c r="J62" s="47">
        <v>-1.75</v>
      </c>
      <c r="K62" s="38">
        <v>-1.5</v>
      </c>
      <c r="L62" s="38">
        <v>-0.5</v>
      </c>
      <c r="M62" s="43">
        <v>175</v>
      </c>
      <c r="N62" s="37">
        <v>-1.75</v>
      </c>
      <c r="O62" s="37">
        <f t="shared" si="1"/>
        <v>0</v>
      </c>
      <c r="P62" s="37">
        <v>23.38</v>
      </c>
      <c r="Q62" s="38">
        <v>23.27</v>
      </c>
      <c r="R62" s="38">
        <v>-0.11</v>
      </c>
      <c r="S62" s="48">
        <v>170</v>
      </c>
      <c r="T62" s="48">
        <v>80</v>
      </c>
      <c r="U62" s="48">
        <v>25</v>
      </c>
      <c r="V62" s="48">
        <v>8</v>
      </c>
    </row>
    <row r="63" ht="17.6" customHeight="1" spans="1:22">
      <c r="A63" s="32" t="str">
        <f>[1]取镜!C69</f>
        <v>石家庄人民眼科</v>
      </c>
      <c r="B63" s="32" t="str">
        <f>[1]取镜!D69</f>
        <v>梁颢严</v>
      </c>
      <c r="C63" s="32" t="str">
        <f>[1]取镜!E69</f>
        <v>男</v>
      </c>
      <c r="D63" s="33">
        <f>[1]取镜!F69</f>
        <v>41533</v>
      </c>
      <c r="E63" s="34" t="s">
        <v>107</v>
      </c>
      <c r="F63" s="25" t="s">
        <v>31</v>
      </c>
      <c r="G63" s="35" t="s">
        <v>33</v>
      </c>
      <c r="H63" s="46">
        <v>1</v>
      </c>
      <c r="I63" s="46">
        <v>1</v>
      </c>
      <c r="J63" s="47">
        <v>-1.75</v>
      </c>
      <c r="K63" s="38">
        <v>-1.75</v>
      </c>
      <c r="L63" s="38">
        <v>0</v>
      </c>
      <c r="M63" s="43">
        <v>0</v>
      </c>
      <c r="N63" s="37">
        <v>-1.75</v>
      </c>
      <c r="O63" s="37">
        <f t="shared" si="1"/>
        <v>0</v>
      </c>
      <c r="P63" s="37">
        <v>23.92</v>
      </c>
      <c r="Q63" s="38">
        <v>23.92</v>
      </c>
      <c r="R63" s="38">
        <v>0</v>
      </c>
      <c r="S63" s="48">
        <v>170</v>
      </c>
      <c r="T63" s="48">
        <v>170</v>
      </c>
      <c r="U63" s="48">
        <v>80</v>
      </c>
      <c r="V63" s="48">
        <v>35</v>
      </c>
    </row>
    <row r="64" ht="17.6" customHeight="1" spans="1:22">
      <c r="A64" s="32" t="str">
        <f>[1]取镜!C70</f>
        <v>石家庄人民眼科</v>
      </c>
      <c r="B64" s="32">
        <f>[1]取镜!D70</f>
        <v>0</v>
      </c>
      <c r="C64" s="32">
        <f>[1]取镜!E70</f>
        <v>0</v>
      </c>
      <c r="D64" s="33">
        <f>[1]取镜!F70</f>
        <v>0</v>
      </c>
      <c r="E64" s="34" t="s">
        <v>107</v>
      </c>
      <c r="F64" s="25" t="s">
        <v>31</v>
      </c>
      <c r="G64" s="35" t="s">
        <v>34</v>
      </c>
      <c r="H64" s="46">
        <v>1</v>
      </c>
      <c r="I64" s="46">
        <v>1</v>
      </c>
      <c r="J64" s="47">
        <v>-1.75</v>
      </c>
      <c r="K64" s="38">
        <v>-1.75</v>
      </c>
      <c r="L64" s="38">
        <v>0</v>
      </c>
      <c r="M64" s="43">
        <v>0</v>
      </c>
      <c r="N64" s="37">
        <v>-1.75</v>
      </c>
      <c r="O64" s="37">
        <f t="shared" si="1"/>
        <v>0</v>
      </c>
      <c r="P64" s="37">
        <v>23.89</v>
      </c>
      <c r="Q64" s="38">
        <v>23.91</v>
      </c>
      <c r="R64" s="38">
        <v>0.02</v>
      </c>
      <c r="S64" s="48">
        <v>170</v>
      </c>
      <c r="T64" s="48">
        <v>170</v>
      </c>
      <c r="U64" s="48">
        <v>120</v>
      </c>
      <c r="V64" s="48">
        <v>8</v>
      </c>
    </row>
    <row r="65" ht="17.6" customHeight="1" spans="1:22">
      <c r="A65" s="32" t="str">
        <f>[1]取镜!C71</f>
        <v>石家庄人民眼科</v>
      </c>
      <c r="B65" s="32" t="str">
        <f>[1]取镜!D71</f>
        <v>王梓乐</v>
      </c>
      <c r="C65" s="32" t="str">
        <f>[1]取镜!E71</f>
        <v>男</v>
      </c>
      <c r="D65" s="33">
        <f>[1]取镜!F71</f>
        <v>42827</v>
      </c>
      <c r="E65" s="34" t="s">
        <v>109</v>
      </c>
      <c r="F65" s="25" t="s">
        <v>31</v>
      </c>
      <c r="G65" s="35" t="s">
        <v>33</v>
      </c>
      <c r="H65" s="46">
        <v>1</v>
      </c>
      <c r="I65" s="46">
        <v>1</v>
      </c>
      <c r="J65" s="47">
        <v>-1</v>
      </c>
      <c r="K65" s="38">
        <v>-0.75</v>
      </c>
      <c r="L65" s="38">
        <v>-0.5</v>
      </c>
      <c r="M65" s="43">
        <v>5</v>
      </c>
      <c r="N65" s="37">
        <v>-1</v>
      </c>
      <c r="O65" s="37">
        <f t="shared" si="1"/>
        <v>0</v>
      </c>
      <c r="P65" s="37">
        <v>24.34</v>
      </c>
      <c r="Q65" s="38">
        <v>24.51</v>
      </c>
      <c r="R65" s="38">
        <v>0.17</v>
      </c>
      <c r="S65" s="48">
        <v>170</v>
      </c>
      <c r="T65" s="48">
        <v>170</v>
      </c>
      <c r="U65" s="48">
        <v>120</v>
      </c>
      <c r="V65" s="48">
        <v>35</v>
      </c>
    </row>
    <row r="66" ht="17.6" customHeight="1" spans="1:22">
      <c r="A66" s="32" t="str">
        <f>[1]取镜!C72</f>
        <v>石家庄人民眼科</v>
      </c>
      <c r="B66" s="32">
        <f>[1]取镜!D72</f>
        <v>0</v>
      </c>
      <c r="C66" s="32">
        <f>[1]取镜!E72</f>
        <v>0</v>
      </c>
      <c r="D66" s="33">
        <f>[1]取镜!F72</f>
        <v>0</v>
      </c>
      <c r="E66" s="34" t="s">
        <v>109</v>
      </c>
      <c r="F66" s="25" t="s">
        <v>31</v>
      </c>
      <c r="G66" s="35" t="s">
        <v>34</v>
      </c>
      <c r="H66" s="46">
        <v>1</v>
      </c>
      <c r="I66" s="46">
        <v>1</v>
      </c>
      <c r="J66" s="47">
        <v>-1.375</v>
      </c>
      <c r="K66" s="38">
        <v>-1.25</v>
      </c>
      <c r="L66" s="38">
        <v>0</v>
      </c>
      <c r="M66" s="43">
        <v>0</v>
      </c>
      <c r="N66" s="37">
        <v>-1.25</v>
      </c>
      <c r="O66" s="37">
        <f t="shared" si="1"/>
        <v>0.125</v>
      </c>
      <c r="P66" s="37">
        <v>24.57</v>
      </c>
      <c r="Q66" s="38">
        <v>24.64</v>
      </c>
      <c r="R66" s="38">
        <v>0.07</v>
      </c>
      <c r="S66" s="48">
        <v>170</v>
      </c>
      <c r="T66" s="48">
        <v>170</v>
      </c>
      <c r="U66" s="48">
        <v>120</v>
      </c>
      <c r="V66" s="48">
        <v>8</v>
      </c>
    </row>
    <row r="67" ht="17.6" customHeight="1" spans="1:22">
      <c r="A67" s="32" t="str">
        <f>[1]取镜!C73</f>
        <v>石家庄人民眼科</v>
      </c>
      <c r="B67" s="32" t="str">
        <f>[1]取镜!D73</f>
        <v>赵芊羽</v>
      </c>
      <c r="C67" s="32" t="str">
        <f>[1]取镜!E73</f>
        <v>女</v>
      </c>
      <c r="D67" s="33">
        <f>[1]取镜!F73</f>
        <v>41932</v>
      </c>
      <c r="E67" s="34" t="s">
        <v>111</v>
      </c>
      <c r="F67" s="25" t="s">
        <v>31</v>
      </c>
      <c r="G67" s="35" t="s">
        <v>33</v>
      </c>
      <c r="H67" s="46">
        <v>1</v>
      </c>
      <c r="I67" s="46">
        <v>1</v>
      </c>
      <c r="J67" s="47">
        <v>-2.125</v>
      </c>
      <c r="K67" s="38">
        <v>-1.25</v>
      </c>
      <c r="L67" s="38">
        <v>-1.5</v>
      </c>
      <c r="M67" s="43">
        <v>180</v>
      </c>
      <c r="N67" s="37">
        <v>-2</v>
      </c>
      <c r="O67" s="37">
        <f t="shared" si="1"/>
        <v>0.125</v>
      </c>
      <c r="P67" s="37">
        <v>23.29</v>
      </c>
      <c r="Q67" s="38">
        <v>23.4</v>
      </c>
      <c r="R67" s="38">
        <v>0.11</v>
      </c>
      <c r="S67" s="48">
        <v>170</v>
      </c>
      <c r="T67" s="48">
        <v>170</v>
      </c>
      <c r="U67" s="48">
        <v>120</v>
      </c>
      <c r="V67" s="41">
        <v>8</v>
      </c>
    </row>
    <row r="68" ht="17.6" customHeight="1" spans="1:22">
      <c r="A68" s="32" t="str">
        <f>[1]取镜!C74</f>
        <v>石家庄人民眼科</v>
      </c>
      <c r="B68" s="32">
        <f>[1]取镜!D74</f>
        <v>0</v>
      </c>
      <c r="C68" s="32">
        <f>[1]取镜!E74</f>
        <v>0</v>
      </c>
      <c r="D68" s="33">
        <f>[1]取镜!F74</f>
        <v>0</v>
      </c>
      <c r="E68" s="34" t="s">
        <v>111</v>
      </c>
      <c r="F68" s="25" t="s">
        <v>31</v>
      </c>
      <c r="G68" s="35" t="s">
        <v>34</v>
      </c>
      <c r="H68" s="46">
        <v>1</v>
      </c>
      <c r="I68" s="46">
        <v>1</v>
      </c>
      <c r="J68" s="47">
        <v>-1.625</v>
      </c>
      <c r="K68" s="38">
        <v>-0.5</v>
      </c>
      <c r="L68" s="38">
        <v>-1.5</v>
      </c>
      <c r="M68" s="43">
        <v>175</v>
      </c>
      <c r="N68" s="37">
        <v>-1.25</v>
      </c>
      <c r="O68" s="37">
        <f t="shared" ref="O68:O99" si="2">N68-J68</f>
        <v>0.375</v>
      </c>
      <c r="P68" s="37">
        <v>23.09</v>
      </c>
      <c r="Q68" s="38">
        <v>23.18</v>
      </c>
      <c r="R68" s="38">
        <v>0.09</v>
      </c>
      <c r="S68" s="48">
        <v>170</v>
      </c>
      <c r="T68" s="48">
        <v>170</v>
      </c>
      <c r="U68" s="48">
        <v>35</v>
      </c>
      <c r="V68" s="48">
        <v>3</v>
      </c>
    </row>
    <row r="69" ht="17.6" customHeight="1" spans="1:22">
      <c r="A69" s="32" t="str">
        <f>[1]取镜!C77</f>
        <v>石家庄人民眼科</v>
      </c>
      <c r="B69" s="32" t="str">
        <f>[1]取镜!D77</f>
        <v>单彬哲</v>
      </c>
      <c r="C69" s="32" t="str">
        <f>[1]取镜!E77</f>
        <v>男</v>
      </c>
      <c r="D69" s="33" t="str">
        <f>[1]取镜!F77</f>
        <v>2019.1.20</v>
      </c>
      <c r="E69" s="34" t="s">
        <v>116</v>
      </c>
      <c r="F69" s="25" t="s">
        <v>39</v>
      </c>
      <c r="G69" s="35" t="s">
        <v>33</v>
      </c>
      <c r="H69" s="46">
        <v>1</v>
      </c>
      <c r="I69" s="46">
        <v>1</v>
      </c>
      <c r="J69" s="47">
        <v>-2.375</v>
      </c>
      <c r="K69" s="38">
        <v>-2.25</v>
      </c>
      <c r="L69" s="38">
        <v>0</v>
      </c>
      <c r="M69" s="43">
        <v>0</v>
      </c>
      <c r="N69" s="37">
        <v>-2.25</v>
      </c>
      <c r="O69" s="37">
        <f t="shared" si="2"/>
        <v>0.125</v>
      </c>
      <c r="P69" s="37">
        <v>23.28</v>
      </c>
      <c r="Q69" s="38">
        <v>23.57</v>
      </c>
      <c r="R69" s="38">
        <v>0.29</v>
      </c>
      <c r="S69" s="48">
        <v>170</v>
      </c>
      <c r="T69" s="48">
        <v>170</v>
      </c>
      <c r="U69" s="48">
        <v>60</v>
      </c>
      <c r="V69" s="48">
        <v>24</v>
      </c>
    </row>
    <row r="70" ht="17.6" customHeight="1" spans="1:22">
      <c r="A70" s="32" t="str">
        <f>[1]取镜!C78</f>
        <v>石家庄人民眼科</v>
      </c>
      <c r="B70" s="32">
        <f>[1]取镜!D78</f>
        <v>0</v>
      </c>
      <c r="C70" s="32">
        <f>[1]取镜!E78</f>
        <v>0</v>
      </c>
      <c r="D70" s="33">
        <f>[1]取镜!F78</f>
        <v>0</v>
      </c>
      <c r="E70" s="34" t="s">
        <v>116</v>
      </c>
      <c r="F70" s="25" t="s">
        <v>39</v>
      </c>
      <c r="G70" s="35" t="s">
        <v>34</v>
      </c>
      <c r="H70" s="46">
        <v>1</v>
      </c>
      <c r="I70" s="46">
        <v>1</v>
      </c>
      <c r="J70" s="47">
        <v>-1.5</v>
      </c>
      <c r="K70" s="38">
        <v>-1.25</v>
      </c>
      <c r="L70" s="38">
        <v>-1</v>
      </c>
      <c r="M70" s="43">
        <v>0</v>
      </c>
      <c r="N70" s="37">
        <v>-1.75</v>
      </c>
      <c r="O70" s="37">
        <f t="shared" si="2"/>
        <v>-0.25</v>
      </c>
      <c r="P70" s="37">
        <v>22.94</v>
      </c>
      <c r="Q70" s="38">
        <v>23.16</v>
      </c>
      <c r="R70" s="38">
        <v>0.22</v>
      </c>
      <c r="S70" s="48">
        <v>170</v>
      </c>
      <c r="T70" s="48">
        <v>170</v>
      </c>
      <c r="U70" s="48">
        <v>60</v>
      </c>
      <c r="V70" s="48">
        <v>8</v>
      </c>
    </row>
    <row r="71" ht="17.6" customHeight="1" spans="1:22">
      <c r="A71" s="32" t="str">
        <f>[1]取镜!C79</f>
        <v>石家庄人民眼科</v>
      </c>
      <c r="B71" s="32" t="str">
        <f>[1]取镜!D79</f>
        <v>全桓欣</v>
      </c>
      <c r="C71" s="32" t="str">
        <f>[1]取镜!E79</f>
        <v>女</v>
      </c>
      <c r="D71" s="33">
        <f>[1]取镜!F79</f>
        <v>41184</v>
      </c>
      <c r="E71" s="34" t="s">
        <v>118</v>
      </c>
      <c r="F71" s="25" t="s">
        <v>39</v>
      </c>
      <c r="G71" s="35" t="s">
        <v>33</v>
      </c>
      <c r="H71" s="46">
        <v>1</v>
      </c>
      <c r="I71" s="46">
        <v>1</v>
      </c>
      <c r="J71" s="47">
        <v>-3.25</v>
      </c>
      <c r="K71" s="38">
        <v>-2.75</v>
      </c>
      <c r="L71" s="38">
        <v>-1.75</v>
      </c>
      <c r="M71" s="43">
        <v>175</v>
      </c>
      <c r="N71" s="37">
        <v>-3.625</v>
      </c>
      <c r="O71" s="37">
        <f t="shared" si="2"/>
        <v>-0.375</v>
      </c>
      <c r="P71" s="37">
        <v>24.83</v>
      </c>
      <c r="Q71" s="38">
        <v>24.93</v>
      </c>
      <c r="R71" s="38">
        <v>0.1</v>
      </c>
      <c r="S71" s="48">
        <v>170</v>
      </c>
      <c r="T71" s="48">
        <v>170</v>
      </c>
      <c r="U71" s="48">
        <v>80</v>
      </c>
      <c r="V71" s="48">
        <v>6</v>
      </c>
    </row>
    <row r="72" ht="17.6" customHeight="1" spans="1:22">
      <c r="A72" s="32" t="str">
        <f>[1]取镜!C80</f>
        <v>石家庄人民眼科</v>
      </c>
      <c r="B72" s="32">
        <f>[1]取镜!D80</f>
        <v>0</v>
      </c>
      <c r="C72" s="32">
        <f>[1]取镜!E80</f>
        <v>0</v>
      </c>
      <c r="D72" s="33">
        <f>[1]取镜!F80</f>
        <v>0</v>
      </c>
      <c r="E72" s="34" t="s">
        <v>118</v>
      </c>
      <c r="F72" s="25" t="s">
        <v>39</v>
      </c>
      <c r="G72" s="35" t="s">
        <v>34</v>
      </c>
      <c r="H72" s="46">
        <v>1</v>
      </c>
      <c r="I72" s="46">
        <v>1</v>
      </c>
      <c r="J72" s="47">
        <v>-2.5</v>
      </c>
      <c r="K72" s="38">
        <v>-2.25</v>
      </c>
      <c r="L72" s="38">
        <v>-1.5</v>
      </c>
      <c r="M72" s="43">
        <v>175</v>
      </c>
      <c r="N72" s="37">
        <v>-3</v>
      </c>
      <c r="O72" s="37">
        <f t="shared" si="2"/>
        <v>-0.5</v>
      </c>
      <c r="P72" s="37">
        <v>24.52</v>
      </c>
      <c r="Q72" s="38">
        <v>24.59</v>
      </c>
      <c r="R72" s="38">
        <v>0.07</v>
      </c>
      <c r="S72" s="48">
        <v>170</v>
      </c>
      <c r="T72" s="48">
        <v>170</v>
      </c>
      <c r="U72" s="48">
        <v>60</v>
      </c>
      <c r="V72" s="48">
        <v>4</v>
      </c>
    </row>
    <row r="73" ht="17.6" customHeight="1" spans="1:22">
      <c r="A73" s="32" t="str">
        <f>[1]取镜!C81</f>
        <v>石家庄人民眼科</v>
      </c>
      <c r="B73" s="32" t="str">
        <f>[1]取镜!D81</f>
        <v>宋佳乐</v>
      </c>
      <c r="C73" s="32" t="str">
        <f>[1]取镜!E81</f>
        <v>女</v>
      </c>
      <c r="D73" s="33">
        <f>[1]取镜!F81</f>
        <v>41432</v>
      </c>
      <c r="E73" s="34" t="s">
        <v>120</v>
      </c>
      <c r="F73" s="25" t="s">
        <v>31</v>
      </c>
      <c r="G73" s="35" t="s">
        <v>33</v>
      </c>
      <c r="H73" s="46">
        <v>1</v>
      </c>
      <c r="I73" s="46">
        <v>1</v>
      </c>
      <c r="J73" s="47">
        <v>-1.5</v>
      </c>
      <c r="K73" s="38">
        <v>-1.5</v>
      </c>
      <c r="L73" s="38">
        <v>-0.5</v>
      </c>
      <c r="M73" s="43">
        <v>180</v>
      </c>
      <c r="N73" s="37">
        <v>-1.75</v>
      </c>
      <c r="O73" s="37">
        <f t="shared" si="2"/>
        <v>-0.25</v>
      </c>
      <c r="P73" s="37">
        <v>23.7</v>
      </c>
      <c r="Q73" s="38">
        <v>23.9</v>
      </c>
      <c r="R73" s="38">
        <v>0.2</v>
      </c>
      <c r="S73" s="48">
        <v>170</v>
      </c>
      <c r="T73" s="48">
        <v>120</v>
      </c>
      <c r="U73" s="48">
        <v>80</v>
      </c>
      <c r="V73" s="48">
        <v>8</v>
      </c>
    </row>
    <row r="74" ht="17.6" customHeight="1" spans="1:22">
      <c r="A74" s="32" t="str">
        <f>[1]取镜!C82</f>
        <v>石家庄人民眼科</v>
      </c>
      <c r="B74" s="32">
        <f>[1]取镜!D82</f>
        <v>0</v>
      </c>
      <c r="C74" s="32">
        <f>[1]取镜!E82</f>
        <v>0</v>
      </c>
      <c r="D74" s="33">
        <f>[1]取镜!F82</f>
        <v>0</v>
      </c>
      <c r="E74" s="34" t="s">
        <v>120</v>
      </c>
      <c r="F74" s="25" t="s">
        <v>31</v>
      </c>
      <c r="G74" s="35" t="s">
        <v>34</v>
      </c>
      <c r="H74" s="46">
        <v>1</v>
      </c>
      <c r="I74" s="46">
        <v>1</v>
      </c>
      <c r="J74" s="47">
        <v>-1.75</v>
      </c>
      <c r="K74" s="38">
        <v>-1.5</v>
      </c>
      <c r="L74" s="38">
        <v>-0.5</v>
      </c>
      <c r="M74" s="43">
        <v>180</v>
      </c>
      <c r="N74" s="37">
        <v>-1.75</v>
      </c>
      <c r="O74" s="37">
        <f t="shared" si="2"/>
        <v>0</v>
      </c>
      <c r="P74" s="37">
        <v>23.86</v>
      </c>
      <c r="Q74" s="38">
        <v>24</v>
      </c>
      <c r="R74" s="38">
        <v>0.14</v>
      </c>
      <c r="S74" s="48">
        <v>170</v>
      </c>
      <c r="T74" s="48">
        <v>120</v>
      </c>
      <c r="U74" s="48">
        <v>80</v>
      </c>
      <c r="V74" s="48">
        <v>45</v>
      </c>
    </row>
    <row r="75" ht="17.6" customHeight="1" spans="1:22">
      <c r="A75" s="32" t="str">
        <f>[1]取镜!C83</f>
        <v>石家庄人民眼科</v>
      </c>
      <c r="B75" s="32" t="str">
        <f>[1]取镜!D83</f>
        <v>王清悦</v>
      </c>
      <c r="C75" s="32" t="str">
        <f>[1]取镜!E83</f>
        <v>女</v>
      </c>
      <c r="D75" s="33">
        <f>[1]取镜!F83</f>
        <v>40945</v>
      </c>
      <c r="E75" s="34" t="s">
        <v>122</v>
      </c>
      <c r="F75" s="25" t="s">
        <v>48</v>
      </c>
      <c r="G75" s="35" t="s">
        <v>33</v>
      </c>
      <c r="H75" s="46">
        <v>1</v>
      </c>
      <c r="I75" s="46">
        <v>1</v>
      </c>
      <c r="J75" s="47">
        <v>-0.75</v>
      </c>
      <c r="K75" s="38">
        <v>-0.75</v>
      </c>
      <c r="L75" s="38">
        <v>0</v>
      </c>
      <c r="M75" s="43">
        <v>0</v>
      </c>
      <c r="N75" s="37">
        <v>-0.75</v>
      </c>
      <c r="O75" s="37">
        <f t="shared" si="2"/>
        <v>0</v>
      </c>
      <c r="P75" s="37">
        <v>24.89</v>
      </c>
      <c r="Q75" s="38">
        <v>24.83</v>
      </c>
      <c r="R75" s="38">
        <v>-0.06</v>
      </c>
      <c r="S75" s="48">
        <v>170</v>
      </c>
      <c r="T75" s="48">
        <v>170</v>
      </c>
      <c r="U75" s="48">
        <v>80</v>
      </c>
      <c r="V75" s="48">
        <v>45</v>
      </c>
    </row>
    <row r="76" ht="17.6" customHeight="1" spans="1:22">
      <c r="A76" s="32" t="str">
        <f>[1]取镜!C84</f>
        <v>石家庄人民眼科</v>
      </c>
      <c r="B76" s="32">
        <f>[1]取镜!D84</f>
        <v>0</v>
      </c>
      <c r="C76" s="32">
        <f>[1]取镜!E84</f>
        <v>0</v>
      </c>
      <c r="D76" s="33">
        <f>[1]取镜!F84</f>
        <v>0</v>
      </c>
      <c r="E76" s="34" t="s">
        <v>122</v>
      </c>
      <c r="F76" s="25" t="s">
        <v>48</v>
      </c>
      <c r="G76" s="35" t="s">
        <v>34</v>
      </c>
      <c r="H76" s="46">
        <v>1</v>
      </c>
      <c r="I76" s="46">
        <v>1</v>
      </c>
      <c r="J76" s="47">
        <v>-1</v>
      </c>
      <c r="K76" s="38">
        <v>-1</v>
      </c>
      <c r="L76" s="38">
        <v>0</v>
      </c>
      <c r="M76" s="43">
        <v>0</v>
      </c>
      <c r="N76" s="37">
        <v>-1</v>
      </c>
      <c r="O76" s="37">
        <f t="shared" si="2"/>
        <v>0</v>
      </c>
      <c r="P76" s="37">
        <v>25.1</v>
      </c>
      <c r="Q76" s="38">
        <v>25.2</v>
      </c>
      <c r="R76" s="38">
        <v>0.1</v>
      </c>
      <c r="S76" s="48">
        <v>170</v>
      </c>
      <c r="T76" s="48">
        <v>170</v>
      </c>
      <c r="U76" s="48">
        <v>80</v>
      </c>
      <c r="V76" s="48">
        <v>45</v>
      </c>
    </row>
    <row r="77" ht="17.6" customHeight="1" spans="1:22">
      <c r="A77" s="32" t="str">
        <f>[1]取镜!C85</f>
        <v>石家庄人民眼科</v>
      </c>
      <c r="B77" s="32" t="str">
        <f>[1]取镜!D85</f>
        <v>胡仕龙</v>
      </c>
      <c r="C77" s="32" t="str">
        <f>[1]取镜!E85</f>
        <v>男</v>
      </c>
      <c r="D77" s="33">
        <f>[1]取镜!F85</f>
        <v>42013</v>
      </c>
      <c r="E77" s="34" t="s">
        <v>124</v>
      </c>
      <c r="F77" s="25" t="s">
        <v>31</v>
      </c>
      <c r="G77" s="35" t="s">
        <v>33</v>
      </c>
      <c r="H77" s="46">
        <v>1</v>
      </c>
      <c r="I77" s="46">
        <v>1</v>
      </c>
      <c r="J77" s="47">
        <v>-2</v>
      </c>
      <c r="K77" s="38">
        <v>-1.75</v>
      </c>
      <c r="L77" s="38">
        <v>-0.75</v>
      </c>
      <c r="M77" s="43">
        <v>170</v>
      </c>
      <c r="N77" s="37">
        <v>-2.125</v>
      </c>
      <c r="O77" s="37">
        <f t="shared" si="2"/>
        <v>-0.125</v>
      </c>
      <c r="P77" s="37">
        <v>23.28</v>
      </c>
      <c r="Q77" s="38">
        <v>23.18</v>
      </c>
      <c r="R77" s="38">
        <v>-0.1</v>
      </c>
      <c r="S77" s="48">
        <v>170</v>
      </c>
      <c r="T77" s="48">
        <v>170</v>
      </c>
      <c r="U77" s="48">
        <v>45</v>
      </c>
      <c r="V77" s="48">
        <v>65</v>
      </c>
    </row>
    <row r="78" ht="17.6" customHeight="1" spans="1:22">
      <c r="A78" s="32" t="str">
        <f>[1]取镜!C86</f>
        <v>石家庄人民眼科</v>
      </c>
      <c r="B78" s="32">
        <f>[1]取镜!D86</f>
        <v>0</v>
      </c>
      <c r="C78" s="32">
        <f>[1]取镜!E86</f>
        <v>0</v>
      </c>
      <c r="D78" s="33">
        <f>[1]取镜!F86</f>
        <v>0</v>
      </c>
      <c r="E78" s="34" t="s">
        <v>124</v>
      </c>
      <c r="F78" s="25" t="s">
        <v>31</v>
      </c>
      <c r="G78" s="35" t="s">
        <v>34</v>
      </c>
      <c r="H78" s="46">
        <v>1</v>
      </c>
      <c r="I78" s="46">
        <v>1</v>
      </c>
      <c r="J78" s="47">
        <v>-2.125</v>
      </c>
      <c r="K78" s="38">
        <v>-1.25</v>
      </c>
      <c r="L78" s="38">
        <v>-1.5</v>
      </c>
      <c r="M78" s="43">
        <v>175</v>
      </c>
      <c r="N78" s="37">
        <v>-2</v>
      </c>
      <c r="O78" s="37">
        <f t="shared" si="2"/>
        <v>0.125</v>
      </c>
      <c r="P78" s="37">
        <v>23.33</v>
      </c>
      <c r="Q78" s="38">
        <v>23.13</v>
      </c>
      <c r="R78" s="38">
        <v>-0.2</v>
      </c>
      <c r="S78" s="48">
        <v>170</v>
      </c>
      <c r="T78" s="48">
        <v>170</v>
      </c>
      <c r="U78" s="48">
        <v>60</v>
      </c>
      <c r="V78" s="48">
        <v>24</v>
      </c>
    </row>
    <row r="79" ht="17.6" customHeight="1" spans="1:22">
      <c r="A79" s="32" t="str">
        <f>[1]取镜!C87</f>
        <v>石家庄人民眼科</v>
      </c>
      <c r="B79" s="32" t="str">
        <f>[1]取镜!D87</f>
        <v>刘嘉恩</v>
      </c>
      <c r="C79" s="32" t="str">
        <f>[1]取镜!E87</f>
        <v>女</v>
      </c>
      <c r="D79" s="33">
        <f>[1]取镜!F87</f>
        <v>42787</v>
      </c>
      <c r="E79" s="34" t="s">
        <v>126</v>
      </c>
      <c r="F79" s="25" t="s">
        <v>48</v>
      </c>
      <c r="G79" s="35" t="s">
        <v>33</v>
      </c>
      <c r="H79" s="46">
        <v>1</v>
      </c>
      <c r="I79" s="46">
        <v>1</v>
      </c>
      <c r="J79" s="47">
        <v>-1.125</v>
      </c>
      <c r="K79" s="38">
        <v>-1.5</v>
      </c>
      <c r="L79" s="38">
        <v>-0.75</v>
      </c>
      <c r="M79" s="43">
        <v>5</v>
      </c>
      <c r="N79" s="37">
        <v>-1.875</v>
      </c>
      <c r="O79" s="37">
        <f t="shared" si="2"/>
        <v>-0.75</v>
      </c>
      <c r="P79" s="37">
        <v>24.72</v>
      </c>
      <c r="Q79" s="38">
        <v>24.9</v>
      </c>
      <c r="R79" s="38">
        <v>0.18</v>
      </c>
      <c r="S79" s="48">
        <v>170</v>
      </c>
      <c r="T79" s="48">
        <v>170</v>
      </c>
      <c r="U79" s="48">
        <v>120</v>
      </c>
      <c r="V79" s="48">
        <v>15</v>
      </c>
    </row>
    <row r="80" ht="17.6" customHeight="1" spans="1:22">
      <c r="A80" s="32" t="str">
        <f>[1]取镜!C88</f>
        <v>石家庄人民眼科</v>
      </c>
      <c r="B80" s="32">
        <f>[1]取镜!D88</f>
        <v>0</v>
      </c>
      <c r="C80" s="32">
        <f>[1]取镜!E88</f>
        <v>0</v>
      </c>
      <c r="D80" s="33">
        <f>[1]取镜!F88</f>
        <v>0</v>
      </c>
      <c r="E80" s="34" t="s">
        <v>126</v>
      </c>
      <c r="F80" s="25" t="s">
        <v>48</v>
      </c>
      <c r="G80" s="35" t="s">
        <v>34</v>
      </c>
      <c r="H80" s="46">
        <v>1</v>
      </c>
      <c r="I80" s="46">
        <v>1</v>
      </c>
      <c r="J80" s="47">
        <v>-1.75</v>
      </c>
      <c r="K80" s="38">
        <v>-1</v>
      </c>
      <c r="L80" s="38">
        <v>-1.25</v>
      </c>
      <c r="M80" s="43">
        <v>175</v>
      </c>
      <c r="N80" s="37">
        <v>-1.625</v>
      </c>
      <c r="O80" s="37">
        <f t="shared" si="2"/>
        <v>0.125</v>
      </c>
      <c r="P80" s="37">
        <v>24.64</v>
      </c>
      <c r="Q80" s="38">
        <v>24.66</v>
      </c>
      <c r="R80" s="38">
        <v>0.02</v>
      </c>
      <c r="S80" s="48">
        <v>170</v>
      </c>
      <c r="T80" s="48">
        <v>170</v>
      </c>
      <c r="U80" s="48">
        <v>120</v>
      </c>
      <c r="V80" s="48">
        <v>6</v>
      </c>
    </row>
    <row r="81" ht="17.6" customHeight="1" spans="1:22">
      <c r="A81" s="32" t="str">
        <f>[1]取镜!C89</f>
        <v>石家庄人民眼科</v>
      </c>
      <c r="B81" s="32" t="str">
        <f>[1]取镜!D89</f>
        <v>陈思丞</v>
      </c>
      <c r="C81" s="32" t="str">
        <f>[1]取镜!E89</f>
        <v>男</v>
      </c>
      <c r="D81" s="33">
        <f>[1]取镜!F89</f>
        <v>41618</v>
      </c>
      <c r="E81" s="34" t="s">
        <v>128</v>
      </c>
      <c r="F81" s="25" t="s">
        <v>48</v>
      </c>
      <c r="G81" s="35" t="s">
        <v>33</v>
      </c>
      <c r="H81" s="46">
        <v>1</v>
      </c>
      <c r="I81" s="46">
        <v>1</v>
      </c>
      <c r="J81" s="47">
        <v>-1.875</v>
      </c>
      <c r="K81" s="38">
        <v>-1.25</v>
      </c>
      <c r="L81" s="38">
        <v>-0.75</v>
      </c>
      <c r="M81" s="43">
        <v>170</v>
      </c>
      <c r="N81" s="37">
        <v>-1.625</v>
      </c>
      <c r="O81" s="37">
        <f t="shared" si="2"/>
        <v>0.25</v>
      </c>
      <c r="P81" s="37">
        <v>24</v>
      </c>
      <c r="Q81" s="38">
        <v>24.04</v>
      </c>
      <c r="R81" s="38">
        <v>0.04</v>
      </c>
      <c r="S81" s="51"/>
      <c r="T81" s="51"/>
      <c r="U81" s="51"/>
      <c r="V81" s="51"/>
    </row>
    <row r="82" ht="17.6" customHeight="1" spans="1:22">
      <c r="A82" s="32" t="str">
        <f>[1]取镜!C90</f>
        <v>石家庄人民眼科</v>
      </c>
      <c r="B82" s="32">
        <f>[1]取镜!D90</f>
        <v>0</v>
      </c>
      <c r="C82" s="32">
        <f>[1]取镜!E90</f>
        <v>0</v>
      </c>
      <c r="D82" s="33">
        <f>[1]取镜!F90</f>
        <v>0</v>
      </c>
      <c r="E82" s="34" t="s">
        <v>128</v>
      </c>
      <c r="F82" s="25" t="s">
        <v>48</v>
      </c>
      <c r="G82" s="35" t="s">
        <v>34</v>
      </c>
      <c r="H82" s="46">
        <v>1</v>
      </c>
      <c r="I82" s="46">
        <v>1</v>
      </c>
      <c r="J82" s="47">
        <v>-2.375</v>
      </c>
      <c r="K82" s="38">
        <v>-1.75</v>
      </c>
      <c r="L82" s="38">
        <v>-0.75</v>
      </c>
      <c r="M82" s="43">
        <v>180</v>
      </c>
      <c r="N82" s="37">
        <v>-2.125</v>
      </c>
      <c r="O82" s="37">
        <f t="shared" si="2"/>
        <v>0.25</v>
      </c>
      <c r="P82" s="37">
        <v>24.25</v>
      </c>
      <c r="Q82" s="38">
        <v>24.32</v>
      </c>
      <c r="R82" s="38">
        <v>0.07</v>
      </c>
      <c r="S82" s="51"/>
      <c r="T82" s="51"/>
      <c r="U82" s="51"/>
      <c r="V82" s="51"/>
    </row>
    <row r="83" ht="17.6" customHeight="1" spans="1:22">
      <c r="A83" s="32" t="str">
        <f>[1]取镜!C91</f>
        <v>石家庄人民眼科</v>
      </c>
      <c r="B83" s="32" t="str">
        <f>[1]取镜!D91</f>
        <v>任腾悦</v>
      </c>
      <c r="C83" s="32" t="str">
        <f>[1]取镜!E91</f>
        <v>男</v>
      </c>
      <c r="D83" s="33">
        <f>[1]取镜!F91</f>
        <v>43301</v>
      </c>
      <c r="E83" s="34" t="s">
        <v>130</v>
      </c>
      <c r="F83" s="25" t="s">
        <v>45</v>
      </c>
      <c r="G83" s="35" t="s">
        <v>33</v>
      </c>
      <c r="H83" s="36">
        <v>1</v>
      </c>
      <c r="I83" s="36">
        <v>1</v>
      </c>
      <c r="J83" s="37">
        <v>-0.5</v>
      </c>
      <c r="K83" s="38">
        <v>-0.5</v>
      </c>
      <c r="L83" s="38">
        <v>-0.5</v>
      </c>
      <c r="M83" s="43">
        <v>180</v>
      </c>
      <c r="N83" s="37">
        <v>-0.75</v>
      </c>
      <c r="O83" s="37">
        <f t="shared" si="2"/>
        <v>-0.25</v>
      </c>
      <c r="P83" s="37">
        <v>23.4</v>
      </c>
      <c r="Q83" s="38">
        <v>23.4</v>
      </c>
      <c r="R83" s="38">
        <v>0</v>
      </c>
      <c r="S83" s="48">
        <v>170</v>
      </c>
      <c r="T83" s="48">
        <v>120</v>
      </c>
      <c r="U83" s="48">
        <v>45</v>
      </c>
      <c r="V83" s="48">
        <v>6</v>
      </c>
    </row>
    <row r="84" ht="17.6" customHeight="1" spans="1:22">
      <c r="A84" s="32" t="str">
        <f>[1]取镜!C92</f>
        <v>石家庄人民眼科</v>
      </c>
      <c r="B84" s="32">
        <f>[1]取镜!D92</f>
        <v>0</v>
      </c>
      <c r="C84" s="32">
        <f>[1]取镜!E92</f>
        <v>0</v>
      </c>
      <c r="D84" s="33">
        <f>[1]取镜!F92</f>
        <v>0</v>
      </c>
      <c r="E84" s="34" t="s">
        <v>130</v>
      </c>
      <c r="F84" s="25" t="s">
        <v>45</v>
      </c>
      <c r="G84" s="35" t="s">
        <v>34</v>
      </c>
      <c r="H84" s="36">
        <v>1</v>
      </c>
      <c r="I84" s="36">
        <v>1</v>
      </c>
      <c r="J84" s="37">
        <v>-0.25</v>
      </c>
      <c r="K84" s="38">
        <v>-0.5</v>
      </c>
      <c r="L84" s="38">
        <v>0</v>
      </c>
      <c r="M84" s="43">
        <v>0</v>
      </c>
      <c r="N84" s="37">
        <v>-0.5</v>
      </c>
      <c r="O84" s="37">
        <f t="shared" si="2"/>
        <v>-0.25</v>
      </c>
      <c r="P84" s="37">
        <v>23.28</v>
      </c>
      <c r="Q84" s="38">
        <v>23.29</v>
      </c>
      <c r="R84" s="38">
        <v>0.01</v>
      </c>
      <c r="S84" s="48">
        <v>170</v>
      </c>
      <c r="T84" s="48">
        <v>80</v>
      </c>
      <c r="U84" s="48">
        <v>45</v>
      </c>
      <c r="V84" s="48">
        <v>6</v>
      </c>
    </row>
    <row r="85" ht="17.6" customHeight="1" spans="1:22">
      <c r="A85" s="32" t="str">
        <f>[1]取镜!C93</f>
        <v>石家庄人民眼科</v>
      </c>
      <c r="B85" s="32" t="str">
        <f>[1]取镜!D93</f>
        <v>喻子昂</v>
      </c>
      <c r="C85" s="32" t="str">
        <f>[1]取镜!E93</f>
        <v>男</v>
      </c>
      <c r="D85" s="33">
        <f>[1]取镜!F93</f>
        <v>41263</v>
      </c>
      <c r="E85" s="34" t="s">
        <v>132</v>
      </c>
      <c r="F85" s="25" t="s">
        <v>45</v>
      </c>
      <c r="G85" s="35" t="s">
        <v>33</v>
      </c>
      <c r="H85" s="46">
        <v>1</v>
      </c>
      <c r="I85" s="46">
        <v>1</v>
      </c>
      <c r="J85" s="47">
        <v>-1.25</v>
      </c>
      <c r="K85" s="38">
        <v>-1</v>
      </c>
      <c r="L85" s="38">
        <v>-0.5</v>
      </c>
      <c r="M85" s="43">
        <v>160</v>
      </c>
      <c r="N85" s="37">
        <v>-1.25</v>
      </c>
      <c r="O85" s="37">
        <f t="shared" si="2"/>
        <v>0</v>
      </c>
      <c r="P85" s="37">
        <v>24.92</v>
      </c>
      <c r="Q85" s="38">
        <v>24.89</v>
      </c>
      <c r="R85" s="38">
        <v>-0.03</v>
      </c>
      <c r="S85" s="48">
        <v>170</v>
      </c>
      <c r="T85" s="48">
        <v>170</v>
      </c>
      <c r="U85" s="48">
        <v>120</v>
      </c>
      <c r="V85" s="48">
        <v>45</v>
      </c>
    </row>
    <row r="86" ht="17.6" customHeight="1" spans="1:22">
      <c r="A86" s="32" t="str">
        <f>[1]取镜!C94</f>
        <v>石家庄人民眼科</v>
      </c>
      <c r="B86" s="32">
        <f>[1]取镜!D94</f>
        <v>0</v>
      </c>
      <c r="C86" s="32">
        <f>[1]取镜!E94</f>
        <v>0</v>
      </c>
      <c r="D86" s="33">
        <f>[1]取镜!F94</f>
        <v>0</v>
      </c>
      <c r="E86" s="34" t="s">
        <v>132</v>
      </c>
      <c r="F86" s="25" t="s">
        <v>45</v>
      </c>
      <c r="G86" s="35" t="s">
        <v>34</v>
      </c>
      <c r="H86" s="46">
        <v>1</v>
      </c>
      <c r="I86" s="46">
        <v>1</v>
      </c>
      <c r="J86" s="47">
        <v>-1.625</v>
      </c>
      <c r="K86" s="38">
        <v>-1.5</v>
      </c>
      <c r="L86" s="38">
        <v>0</v>
      </c>
      <c r="M86" s="43">
        <v>0</v>
      </c>
      <c r="N86" s="37">
        <v>-1.5</v>
      </c>
      <c r="O86" s="37">
        <f t="shared" si="2"/>
        <v>0.125</v>
      </c>
      <c r="P86" s="37">
        <v>24.86</v>
      </c>
      <c r="Q86" s="38">
        <v>24.77</v>
      </c>
      <c r="R86" s="38">
        <v>-0.09</v>
      </c>
      <c r="S86" s="48">
        <v>170</v>
      </c>
      <c r="T86" s="48">
        <v>170</v>
      </c>
      <c r="U86" s="48">
        <v>120</v>
      </c>
      <c r="V86" s="48">
        <v>65</v>
      </c>
    </row>
    <row r="87" ht="17.6" customHeight="1" spans="1:22">
      <c r="A87" s="32" t="str">
        <f>[1]取镜!C95</f>
        <v>石家庄人民眼科</v>
      </c>
      <c r="B87" s="32" t="str">
        <f>[1]取镜!D95</f>
        <v>王佳琦</v>
      </c>
      <c r="C87" s="32" t="str">
        <f>[1]取镜!E95</f>
        <v>女</v>
      </c>
      <c r="D87" s="33">
        <f>[1]取镜!F95</f>
        <v>42453</v>
      </c>
      <c r="E87" s="34" t="s">
        <v>134</v>
      </c>
      <c r="F87" s="25" t="s">
        <v>45</v>
      </c>
      <c r="G87" s="35" t="s">
        <v>33</v>
      </c>
      <c r="H87" s="46">
        <v>1</v>
      </c>
      <c r="I87" s="46">
        <v>1</v>
      </c>
      <c r="J87" s="47">
        <v>-1</v>
      </c>
      <c r="K87" s="38">
        <v>-0.75</v>
      </c>
      <c r="L87" s="38">
        <v>-0.5</v>
      </c>
      <c r="M87" s="43">
        <v>175</v>
      </c>
      <c r="N87" s="37">
        <v>-1</v>
      </c>
      <c r="O87" s="37">
        <f t="shared" si="2"/>
        <v>0</v>
      </c>
      <c r="P87" s="37">
        <v>23.02</v>
      </c>
      <c r="Q87" s="38">
        <v>23.19</v>
      </c>
      <c r="R87" s="38">
        <v>0.17</v>
      </c>
      <c r="S87" s="48">
        <v>170</v>
      </c>
      <c r="T87" s="48">
        <v>170</v>
      </c>
      <c r="U87" s="48">
        <v>80</v>
      </c>
      <c r="V87" s="48">
        <v>24</v>
      </c>
    </row>
    <row r="88" ht="17.6" customHeight="1" spans="1:22">
      <c r="A88" s="32" t="str">
        <f>[1]取镜!C96</f>
        <v>石家庄人民眼科</v>
      </c>
      <c r="B88" s="32">
        <f>[1]取镜!D96</f>
        <v>0</v>
      </c>
      <c r="C88" s="32">
        <f>[1]取镜!E96</f>
        <v>0</v>
      </c>
      <c r="D88" s="33">
        <f>[1]取镜!F96</f>
        <v>0</v>
      </c>
      <c r="E88" s="34" t="s">
        <v>134</v>
      </c>
      <c r="F88" s="25" t="s">
        <v>45</v>
      </c>
      <c r="G88" s="35" t="s">
        <v>34</v>
      </c>
      <c r="H88" s="46">
        <v>1</v>
      </c>
      <c r="I88" s="46">
        <v>1</v>
      </c>
      <c r="J88" s="47">
        <v>-0.875</v>
      </c>
      <c r="K88" s="38">
        <v>-0.5</v>
      </c>
      <c r="L88" s="38">
        <v>-0.75</v>
      </c>
      <c r="M88" s="43">
        <v>170</v>
      </c>
      <c r="N88" s="37">
        <v>-0.875</v>
      </c>
      <c r="O88" s="37">
        <f t="shared" si="2"/>
        <v>0</v>
      </c>
      <c r="P88" s="37">
        <v>22.95</v>
      </c>
      <c r="Q88" s="38">
        <v>23.02</v>
      </c>
      <c r="R88" s="38">
        <v>0.07</v>
      </c>
      <c r="S88" s="48">
        <v>170</v>
      </c>
      <c r="T88" s="48">
        <v>170</v>
      </c>
      <c r="U88" s="48">
        <v>60</v>
      </c>
      <c r="V88" s="48">
        <v>24</v>
      </c>
    </row>
    <row r="89" ht="17.6" customHeight="1" spans="1:22">
      <c r="A89" s="32" t="str">
        <f>[1]取镜!C97</f>
        <v>石家庄人民眼科</v>
      </c>
      <c r="B89" s="32" t="str">
        <f>[1]取镜!D97</f>
        <v>苏策勋</v>
      </c>
      <c r="C89" s="32" t="str">
        <f>[1]取镜!E97</f>
        <v>男</v>
      </c>
      <c r="D89" s="33">
        <f>[1]取镜!F97</f>
        <v>42621</v>
      </c>
      <c r="E89" s="34" t="s">
        <v>136</v>
      </c>
      <c r="F89" s="25" t="s">
        <v>31</v>
      </c>
      <c r="G89" s="35" t="s">
        <v>33</v>
      </c>
      <c r="H89" s="46">
        <v>1</v>
      </c>
      <c r="I89" s="46">
        <v>1</v>
      </c>
      <c r="J89" s="47">
        <v>-1.5</v>
      </c>
      <c r="K89" s="38">
        <v>-1.5</v>
      </c>
      <c r="L89" s="38">
        <v>-0.75</v>
      </c>
      <c r="M89" s="43">
        <v>175</v>
      </c>
      <c r="N89" s="37">
        <v>-1.875</v>
      </c>
      <c r="O89" s="37">
        <f t="shared" si="2"/>
        <v>-0.375</v>
      </c>
      <c r="P89" s="37">
        <v>23.29</v>
      </c>
      <c r="Q89" s="38">
        <v>23.44</v>
      </c>
      <c r="R89" s="38">
        <v>0.15</v>
      </c>
      <c r="S89" s="48">
        <v>170</v>
      </c>
      <c r="T89" s="48">
        <v>170</v>
      </c>
      <c r="U89" s="48">
        <v>45</v>
      </c>
      <c r="V89" s="48">
        <v>6</v>
      </c>
    </row>
    <row r="90" ht="17.6" customHeight="1" spans="1:22">
      <c r="A90" s="32" t="str">
        <f>[1]取镜!C98</f>
        <v>石家庄人民眼科</v>
      </c>
      <c r="B90" s="32">
        <f>[1]取镜!D98</f>
        <v>0</v>
      </c>
      <c r="C90" s="32">
        <f>[1]取镜!E98</f>
        <v>0</v>
      </c>
      <c r="D90" s="33">
        <f>[1]取镜!F98</f>
        <v>0</v>
      </c>
      <c r="E90" s="34" t="s">
        <v>136</v>
      </c>
      <c r="F90" s="25" t="s">
        <v>31</v>
      </c>
      <c r="G90" s="35" t="s">
        <v>34</v>
      </c>
      <c r="H90" s="46">
        <v>1</v>
      </c>
      <c r="I90" s="46">
        <v>1</v>
      </c>
      <c r="J90" s="47">
        <v>-1.5</v>
      </c>
      <c r="K90" s="38">
        <v>-1.25</v>
      </c>
      <c r="L90" s="38">
        <v>-0.75</v>
      </c>
      <c r="M90" s="43">
        <v>175</v>
      </c>
      <c r="N90" s="37">
        <v>-1.625</v>
      </c>
      <c r="O90" s="37">
        <f t="shared" si="2"/>
        <v>-0.125</v>
      </c>
      <c r="P90" s="37">
        <v>23.26</v>
      </c>
      <c r="Q90" s="38">
        <v>23.36</v>
      </c>
      <c r="R90" s="38">
        <v>0.1</v>
      </c>
      <c r="S90" s="48">
        <v>170</v>
      </c>
      <c r="T90" s="48">
        <v>170</v>
      </c>
      <c r="U90" s="48">
        <v>45</v>
      </c>
      <c r="V90" s="48">
        <v>6</v>
      </c>
    </row>
    <row r="91" ht="17.6" customHeight="1" spans="1:22">
      <c r="A91" s="32" t="str">
        <f>[1]取镜!C99</f>
        <v>石家庄人民眼科</v>
      </c>
      <c r="B91" s="32" t="str">
        <f>[1]取镜!D99</f>
        <v>刘李慕</v>
      </c>
      <c r="C91" s="32" t="str">
        <f>[1]取镜!E99</f>
        <v>男</v>
      </c>
      <c r="D91" s="33">
        <f>[1]取镜!F99</f>
        <v>41977</v>
      </c>
      <c r="E91" s="34" t="s">
        <v>138</v>
      </c>
      <c r="F91" s="25" t="s">
        <v>39</v>
      </c>
      <c r="G91" s="35" t="s">
        <v>33</v>
      </c>
      <c r="H91" s="46">
        <v>1</v>
      </c>
      <c r="I91" s="46">
        <v>1</v>
      </c>
      <c r="J91" s="47">
        <v>-1.5</v>
      </c>
      <c r="K91" s="38">
        <v>-1.5</v>
      </c>
      <c r="L91" s="38">
        <v>-0.75</v>
      </c>
      <c r="M91" s="43">
        <v>175</v>
      </c>
      <c r="N91" s="37">
        <v>-1.875</v>
      </c>
      <c r="O91" s="37">
        <f t="shared" si="2"/>
        <v>-0.375</v>
      </c>
      <c r="P91" s="37">
        <v>23.87</v>
      </c>
      <c r="Q91" s="38">
        <v>24.02</v>
      </c>
      <c r="R91" s="38">
        <v>0.15</v>
      </c>
      <c r="S91" s="51"/>
      <c r="T91" s="51"/>
      <c r="U91" s="51"/>
      <c r="V91" s="51"/>
    </row>
    <row r="92" ht="17.6" customHeight="1" spans="1:22">
      <c r="A92" s="32" t="str">
        <f>[1]取镜!C100</f>
        <v>石家庄人民眼科</v>
      </c>
      <c r="B92" s="32">
        <f>[1]取镜!D100</f>
        <v>0</v>
      </c>
      <c r="C92" s="32">
        <f>[1]取镜!E100</f>
        <v>0</v>
      </c>
      <c r="D92" s="33">
        <f>[1]取镜!F100</f>
        <v>0</v>
      </c>
      <c r="E92" s="34" t="s">
        <v>138</v>
      </c>
      <c r="F92" s="25" t="s">
        <v>39</v>
      </c>
      <c r="G92" s="35" t="s">
        <v>34</v>
      </c>
      <c r="H92" s="46">
        <v>1</v>
      </c>
      <c r="I92" s="46">
        <v>1</v>
      </c>
      <c r="J92" s="47">
        <v>-2.25</v>
      </c>
      <c r="K92" s="38">
        <v>-2</v>
      </c>
      <c r="L92" s="38">
        <v>-1</v>
      </c>
      <c r="M92" s="43">
        <v>10</v>
      </c>
      <c r="N92" s="37">
        <v>-2.5</v>
      </c>
      <c r="O92" s="37">
        <f t="shared" si="2"/>
        <v>-0.25</v>
      </c>
      <c r="P92" s="49">
        <v>24.12</v>
      </c>
      <c r="Q92" s="50">
        <v>24.49</v>
      </c>
      <c r="R92" s="50">
        <v>0.37</v>
      </c>
      <c r="S92" s="51"/>
      <c r="T92" s="51"/>
      <c r="U92" s="51"/>
      <c r="V92" s="51"/>
    </row>
    <row r="93" ht="17.6" customHeight="1" spans="1:22">
      <c r="A93" s="32" t="str">
        <f>[1]取镜!C101</f>
        <v>北京</v>
      </c>
      <c r="B93" s="32" t="str">
        <f>[1]取镜!D101</f>
        <v>马艺潇</v>
      </c>
      <c r="C93" s="32" t="str">
        <f>[1]取镜!E101</f>
        <v>女</v>
      </c>
      <c r="D93" s="33">
        <f>[1]取镜!F101</f>
        <v>40944</v>
      </c>
      <c r="E93" s="34" t="s">
        <v>141</v>
      </c>
      <c r="F93" s="25" t="s">
        <v>45</v>
      </c>
      <c r="G93" s="35" t="s">
        <v>33</v>
      </c>
      <c r="H93" s="46">
        <v>1</v>
      </c>
      <c r="I93" s="36" t="s">
        <v>472</v>
      </c>
      <c r="J93" s="37">
        <v>-1</v>
      </c>
      <c r="K93" s="38">
        <v>-1.5</v>
      </c>
      <c r="L93" s="38">
        <v>-0.5</v>
      </c>
      <c r="M93" s="43">
        <v>100</v>
      </c>
      <c r="N93" s="37">
        <v>-1.75</v>
      </c>
      <c r="O93" s="37">
        <f t="shared" si="2"/>
        <v>-0.75</v>
      </c>
      <c r="P93" s="37">
        <v>24.25</v>
      </c>
      <c r="Q93" s="38">
        <v>24.52</v>
      </c>
      <c r="R93" s="38">
        <v>0.27</v>
      </c>
      <c r="S93" s="48"/>
      <c r="T93" s="48"/>
      <c r="U93" s="48"/>
      <c r="V93" s="48"/>
    </row>
    <row r="94" ht="17.6" customHeight="1" spans="1:22">
      <c r="A94" s="32" t="str">
        <f>[1]取镜!C102</f>
        <v>北京</v>
      </c>
      <c r="B94" s="32">
        <f>[1]取镜!D102</f>
        <v>0</v>
      </c>
      <c r="C94" s="32">
        <f>[1]取镜!E102</f>
        <v>0</v>
      </c>
      <c r="D94" s="33">
        <f>[1]取镜!F102</f>
        <v>0</v>
      </c>
      <c r="E94" s="34" t="s">
        <v>141</v>
      </c>
      <c r="F94" s="25" t="s">
        <v>45</v>
      </c>
      <c r="G94" s="35" t="s">
        <v>34</v>
      </c>
      <c r="H94" s="36" t="s">
        <v>472</v>
      </c>
      <c r="I94" s="46">
        <v>1</v>
      </c>
      <c r="J94" s="49">
        <v>-0.75</v>
      </c>
      <c r="K94" s="38">
        <v>-1.5</v>
      </c>
      <c r="L94" s="38">
        <v>-0.25</v>
      </c>
      <c r="M94" s="43">
        <v>125</v>
      </c>
      <c r="N94" s="49">
        <v>-1.625</v>
      </c>
      <c r="O94" s="37">
        <f t="shared" si="2"/>
        <v>-0.875</v>
      </c>
      <c r="P94" s="49">
        <v>24.33</v>
      </c>
      <c r="Q94" s="50">
        <v>24.6</v>
      </c>
      <c r="R94" s="50">
        <v>0.27</v>
      </c>
      <c r="S94" s="48"/>
      <c r="T94" s="48"/>
      <c r="U94" s="48"/>
      <c r="V94" s="48"/>
    </row>
    <row r="95" ht="17.6" customHeight="1" spans="1:22">
      <c r="A95" s="32" t="str">
        <f>[1]取镜!C103</f>
        <v>石家庄人民眼科</v>
      </c>
      <c r="B95" s="32" t="str">
        <f>[1]取镜!D103</f>
        <v>杨思霖</v>
      </c>
      <c r="C95" s="32" t="str">
        <f>[1]取镜!E103</f>
        <v>男</v>
      </c>
      <c r="D95" s="33">
        <f>[1]取镜!F103</f>
        <v>42329</v>
      </c>
      <c r="E95" s="34" t="s">
        <v>143</v>
      </c>
      <c r="F95" s="25" t="s">
        <v>48</v>
      </c>
      <c r="G95" s="35" t="s">
        <v>33</v>
      </c>
      <c r="H95" s="46">
        <v>1</v>
      </c>
      <c r="I95" s="46">
        <v>1</v>
      </c>
      <c r="J95" s="47">
        <v>-0.75</v>
      </c>
      <c r="K95" s="38">
        <v>-1</v>
      </c>
      <c r="L95" s="38">
        <v>-0.25</v>
      </c>
      <c r="M95" s="43">
        <v>5</v>
      </c>
      <c r="N95" s="37">
        <v>-1.125</v>
      </c>
      <c r="O95" s="37">
        <f t="shared" si="2"/>
        <v>-0.375</v>
      </c>
      <c r="P95" s="37">
        <v>24.57</v>
      </c>
      <c r="Q95" s="38">
        <v>24.69</v>
      </c>
      <c r="R95" s="38">
        <v>0.12</v>
      </c>
      <c r="S95" s="41">
        <v>170</v>
      </c>
      <c r="T95" s="41">
        <v>170</v>
      </c>
      <c r="U95" s="41">
        <v>35</v>
      </c>
      <c r="V95" s="48">
        <v>6</v>
      </c>
    </row>
    <row r="96" ht="17.6" customHeight="1" spans="1:22">
      <c r="A96" s="32" t="str">
        <f>[1]取镜!C104</f>
        <v>石家庄人民眼科</v>
      </c>
      <c r="B96" s="32">
        <f>[1]取镜!D104</f>
        <v>0</v>
      </c>
      <c r="C96" s="32">
        <f>[1]取镜!E104</f>
        <v>0</v>
      </c>
      <c r="D96" s="33">
        <f>[1]取镜!F104</f>
        <v>0</v>
      </c>
      <c r="E96" s="34" t="s">
        <v>143</v>
      </c>
      <c r="F96" s="25" t="s">
        <v>48</v>
      </c>
      <c r="G96" s="35" t="s">
        <v>34</v>
      </c>
      <c r="H96" s="46">
        <v>1</v>
      </c>
      <c r="I96" s="46">
        <v>1</v>
      </c>
      <c r="J96" s="47">
        <v>-1.125</v>
      </c>
      <c r="K96" s="38">
        <v>-1</v>
      </c>
      <c r="L96" s="38">
        <v>-0.75</v>
      </c>
      <c r="M96" s="43">
        <v>175</v>
      </c>
      <c r="N96" s="37">
        <v>-1.375</v>
      </c>
      <c r="O96" s="37">
        <f t="shared" si="2"/>
        <v>-0.25</v>
      </c>
      <c r="P96" s="37">
        <v>24.7</v>
      </c>
      <c r="Q96" s="38">
        <v>24.8</v>
      </c>
      <c r="R96" s="38">
        <v>0.1</v>
      </c>
      <c r="S96" s="41">
        <v>170</v>
      </c>
      <c r="T96" s="41">
        <v>170</v>
      </c>
      <c r="U96" s="41">
        <v>9</v>
      </c>
      <c r="V96" s="48">
        <v>0</v>
      </c>
    </row>
    <row r="97" ht="17.6" customHeight="1" spans="1:22">
      <c r="A97" s="32" t="str">
        <f>[1]取镜!C105</f>
        <v>石家庄人民眼科</v>
      </c>
      <c r="B97" s="32" t="str">
        <f>[1]取镜!D105</f>
        <v>韩欣怡</v>
      </c>
      <c r="C97" s="32" t="str">
        <f>[1]取镜!E105</f>
        <v>女</v>
      </c>
      <c r="D97" s="33">
        <f>[1]取镜!F105</f>
        <v>41941</v>
      </c>
      <c r="E97" s="34" t="s">
        <v>145</v>
      </c>
      <c r="F97" s="25" t="s">
        <v>39</v>
      </c>
      <c r="G97" s="35" t="s">
        <v>33</v>
      </c>
      <c r="H97" s="46">
        <v>1</v>
      </c>
      <c r="I97" s="46">
        <v>1</v>
      </c>
      <c r="J97" s="47">
        <v>-1.875</v>
      </c>
      <c r="K97" s="38">
        <v>-1.5</v>
      </c>
      <c r="L97" s="38">
        <v>0</v>
      </c>
      <c r="M97" s="43">
        <v>0</v>
      </c>
      <c r="N97" s="37">
        <v>-1.5</v>
      </c>
      <c r="O97" s="37">
        <f t="shared" si="2"/>
        <v>0.375</v>
      </c>
      <c r="P97" s="37">
        <v>25.35</v>
      </c>
      <c r="Q97" s="38">
        <v>25.28</v>
      </c>
      <c r="R97" s="38">
        <v>-0.07</v>
      </c>
      <c r="S97" s="41">
        <v>170</v>
      </c>
      <c r="T97" s="41">
        <v>170</v>
      </c>
      <c r="U97" s="41">
        <v>80</v>
      </c>
      <c r="V97" s="48">
        <v>6</v>
      </c>
    </row>
    <row r="98" ht="17.6" customHeight="1" spans="1:22">
      <c r="A98" s="32" t="str">
        <f>[1]取镜!C106</f>
        <v>石家庄人民眼科</v>
      </c>
      <c r="B98" s="32">
        <f>[1]取镜!D106</f>
        <v>0</v>
      </c>
      <c r="C98" s="32">
        <f>[1]取镜!E106</f>
        <v>0</v>
      </c>
      <c r="D98" s="33">
        <f>[1]取镜!F106</f>
        <v>0</v>
      </c>
      <c r="E98" s="34" t="s">
        <v>145</v>
      </c>
      <c r="F98" s="25" t="s">
        <v>39</v>
      </c>
      <c r="G98" s="35" t="s">
        <v>34</v>
      </c>
      <c r="H98" s="46">
        <v>1</v>
      </c>
      <c r="I98" s="46">
        <v>1</v>
      </c>
      <c r="J98" s="47">
        <v>-2</v>
      </c>
      <c r="K98" s="38">
        <v>-1.75</v>
      </c>
      <c r="L98" s="38">
        <v>0</v>
      </c>
      <c r="M98" s="43">
        <v>0</v>
      </c>
      <c r="N98" s="37">
        <v>-1.75</v>
      </c>
      <c r="O98" s="37">
        <f t="shared" si="2"/>
        <v>0.25</v>
      </c>
      <c r="P98" s="37">
        <v>25.54</v>
      </c>
      <c r="Q98" s="38">
        <v>25.53</v>
      </c>
      <c r="R98" s="38">
        <v>-0.01</v>
      </c>
      <c r="S98" s="41">
        <v>170</v>
      </c>
      <c r="T98" s="41">
        <v>170</v>
      </c>
      <c r="U98" s="41">
        <v>80</v>
      </c>
      <c r="V98" s="48">
        <v>6</v>
      </c>
    </row>
    <row r="99" ht="17.6" customHeight="1" spans="1:22">
      <c r="A99" s="32" t="str">
        <f>[1]取镜!C107</f>
        <v>石家庄人民眼科</v>
      </c>
      <c r="B99" s="32" t="str">
        <f>[1]取镜!D107</f>
        <v>张延赫</v>
      </c>
      <c r="C99" s="32" t="str">
        <f>[1]取镜!E107</f>
        <v>男</v>
      </c>
      <c r="D99" s="33">
        <f>[1]取镜!F107</f>
        <v>42265</v>
      </c>
      <c r="E99" s="34" t="s">
        <v>147</v>
      </c>
      <c r="F99" s="25" t="s">
        <v>39</v>
      </c>
      <c r="G99" s="35" t="s">
        <v>33</v>
      </c>
      <c r="H99" s="36">
        <v>1</v>
      </c>
      <c r="I99" s="36">
        <v>1</v>
      </c>
      <c r="J99" s="37">
        <v>-1</v>
      </c>
      <c r="K99" s="38">
        <v>-1.75</v>
      </c>
      <c r="L99" s="38">
        <v>0</v>
      </c>
      <c r="M99" s="43">
        <v>0</v>
      </c>
      <c r="N99" s="37">
        <v>-1.75</v>
      </c>
      <c r="O99" s="37">
        <f t="shared" si="2"/>
        <v>-0.75</v>
      </c>
      <c r="P99" s="37">
        <v>24.2</v>
      </c>
      <c r="Q99" s="38">
        <v>24.5</v>
      </c>
      <c r="R99" s="38">
        <v>0.3</v>
      </c>
      <c r="S99" s="48">
        <v>170</v>
      </c>
      <c r="T99" s="48">
        <v>170</v>
      </c>
      <c r="U99" s="48">
        <v>35</v>
      </c>
      <c r="V99" s="48">
        <v>8</v>
      </c>
    </row>
    <row r="100" ht="17.6" customHeight="1" spans="1:22">
      <c r="A100" s="32" t="str">
        <f>[1]取镜!C108</f>
        <v>石家庄人民眼科</v>
      </c>
      <c r="B100" s="32">
        <f>[1]取镜!D108</f>
        <v>0</v>
      </c>
      <c r="C100" s="32">
        <f>[1]取镜!E108</f>
        <v>0</v>
      </c>
      <c r="D100" s="33">
        <f>[1]取镜!F108</f>
        <v>0</v>
      </c>
      <c r="E100" s="34" t="s">
        <v>147</v>
      </c>
      <c r="F100" s="25" t="s">
        <v>39</v>
      </c>
      <c r="G100" s="35" t="s">
        <v>34</v>
      </c>
      <c r="H100" s="36">
        <v>1</v>
      </c>
      <c r="I100" s="36">
        <v>1</v>
      </c>
      <c r="J100" s="49">
        <v>-0.75</v>
      </c>
      <c r="K100" s="38">
        <v>-1.5</v>
      </c>
      <c r="L100" s="38">
        <v>-0.5</v>
      </c>
      <c r="M100" s="43">
        <v>160</v>
      </c>
      <c r="N100" s="49">
        <v>-1.75</v>
      </c>
      <c r="O100" s="37">
        <f t="shared" ref="O100:O122" si="3">N100-J100</f>
        <v>-1</v>
      </c>
      <c r="P100" s="49">
        <v>23.93</v>
      </c>
      <c r="Q100" s="50">
        <v>24.18</v>
      </c>
      <c r="R100" s="50">
        <v>0.25</v>
      </c>
      <c r="S100" s="48">
        <v>170</v>
      </c>
      <c r="T100" s="48">
        <v>170</v>
      </c>
      <c r="U100" s="48">
        <v>60</v>
      </c>
      <c r="V100" s="48">
        <v>4</v>
      </c>
    </row>
    <row r="101" ht="17.6" customHeight="1" spans="1:22">
      <c r="A101" s="32" t="str">
        <f>[1]取镜!C109</f>
        <v>石家庄人民眼科</v>
      </c>
      <c r="B101" s="32" t="str">
        <f>[1]取镜!D109</f>
        <v>李润昊</v>
      </c>
      <c r="C101" s="32" t="str">
        <f>[1]取镜!E109</f>
        <v>男</v>
      </c>
      <c r="D101" s="33">
        <f>[1]取镜!F109</f>
        <v>42319</v>
      </c>
      <c r="E101" s="34" t="s">
        <v>149</v>
      </c>
      <c r="F101" s="25" t="s">
        <v>48</v>
      </c>
      <c r="G101" s="35" t="s">
        <v>33</v>
      </c>
      <c r="H101" s="36">
        <v>1</v>
      </c>
      <c r="I101" s="36">
        <v>1</v>
      </c>
      <c r="J101" s="37">
        <v>-2.25</v>
      </c>
      <c r="K101" s="38">
        <v>-1.5</v>
      </c>
      <c r="L101" s="38">
        <v>-1</v>
      </c>
      <c r="M101" s="43">
        <v>10</v>
      </c>
      <c r="N101" s="37">
        <v>-2</v>
      </c>
      <c r="O101" s="37">
        <f t="shared" si="3"/>
        <v>0.25</v>
      </c>
      <c r="P101" s="37">
        <v>25.89</v>
      </c>
      <c r="Q101" s="38">
        <v>25.97</v>
      </c>
      <c r="R101" s="38">
        <v>0.08</v>
      </c>
      <c r="S101" s="48">
        <v>170</v>
      </c>
      <c r="T101" s="48">
        <v>170</v>
      </c>
      <c r="U101" s="48">
        <v>35</v>
      </c>
      <c r="V101" s="48">
        <v>15</v>
      </c>
    </row>
    <row r="102" ht="17.6" customHeight="1" spans="1:22">
      <c r="A102" s="32" t="str">
        <f>[1]取镜!C110</f>
        <v>石家庄人民眼科</v>
      </c>
      <c r="B102" s="32">
        <f>[1]取镜!D110</f>
        <v>0</v>
      </c>
      <c r="C102" s="32">
        <f>[1]取镜!E110</f>
        <v>0</v>
      </c>
      <c r="D102" s="33">
        <f>[1]取镜!F110</f>
        <v>0</v>
      </c>
      <c r="E102" s="34" t="s">
        <v>149</v>
      </c>
      <c r="F102" s="25" t="s">
        <v>48</v>
      </c>
      <c r="G102" s="35" t="s">
        <v>34</v>
      </c>
      <c r="H102" s="36">
        <v>1</v>
      </c>
      <c r="I102" s="36">
        <v>1</v>
      </c>
      <c r="J102" s="37">
        <v>-2.75</v>
      </c>
      <c r="K102" s="38">
        <v>-2.5</v>
      </c>
      <c r="L102" s="38">
        <v>-0.25</v>
      </c>
      <c r="M102" s="43">
        <v>165</v>
      </c>
      <c r="N102" s="37">
        <v>-2.625</v>
      </c>
      <c r="O102" s="37">
        <f t="shared" si="3"/>
        <v>0.125</v>
      </c>
      <c r="P102" s="37">
        <v>26.2</v>
      </c>
      <c r="Q102" s="38">
        <v>26.2</v>
      </c>
      <c r="R102" s="38">
        <v>0</v>
      </c>
      <c r="S102" s="48">
        <v>170</v>
      </c>
      <c r="T102" s="48">
        <v>170</v>
      </c>
      <c r="U102" s="48">
        <v>80</v>
      </c>
      <c r="V102" s="48">
        <v>8</v>
      </c>
    </row>
    <row r="103" ht="17.6" customHeight="1" spans="1:22">
      <c r="A103" s="32" t="str">
        <f>[1]取镜!C111</f>
        <v>石家庄人民眼科</v>
      </c>
      <c r="B103" s="32" t="str">
        <f>[1]取镜!D111</f>
        <v>李墨涵</v>
      </c>
      <c r="C103" s="32" t="str">
        <f>[1]取镜!E111</f>
        <v>男</v>
      </c>
      <c r="D103" s="33">
        <f>[1]取镜!F111</f>
        <v>41130</v>
      </c>
      <c r="E103" s="34" t="s">
        <v>151</v>
      </c>
      <c r="F103" s="25" t="s">
        <v>45</v>
      </c>
      <c r="G103" s="35" t="s">
        <v>33</v>
      </c>
      <c r="H103" s="36">
        <v>1</v>
      </c>
      <c r="I103" s="36">
        <v>1</v>
      </c>
      <c r="J103" s="37">
        <v>-1.5</v>
      </c>
      <c r="K103" s="38">
        <v>-1.75</v>
      </c>
      <c r="L103" s="38">
        <v>0</v>
      </c>
      <c r="M103" s="43">
        <v>0</v>
      </c>
      <c r="N103" s="37">
        <v>-1.75</v>
      </c>
      <c r="O103" s="37">
        <f t="shared" si="3"/>
        <v>-0.25</v>
      </c>
      <c r="P103" s="37">
        <v>24.25</v>
      </c>
      <c r="Q103" s="38">
        <v>24.32</v>
      </c>
      <c r="R103" s="38">
        <v>0.07</v>
      </c>
      <c r="S103" s="41">
        <v>170</v>
      </c>
      <c r="T103" s="41">
        <v>170</v>
      </c>
      <c r="U103" s="41">
        <v>80</v>
      </c>
      <c r="V103" s="48">
        <v>6</v>
      </c>
    </row>
    <row r="104" ht="17.6" customHeight="1" spans="1:22">
      <c r="A104" s="32" t="str">
        <f>[1]取镜!C112</f>
        <v>石家庄人民眼科</v>
      </c>
      <c r="B104" s="32">
        <f>[1]取镜!D112</f>
        <v>0</v>
      </c>
      <c r="C104" s="32">
        <f>[1]取镜!E112</f>
        <v>0</v>
      </c>
      <c r="D104" s="33">
        <f>[1]取镜!F112</f>
        <v>0</v>
      </c>
      <c r="E104" s="34" t="s">
        <v>151</v>
      </c>
      <c r="F104" s="25" t="s">
        <v>45</v>
      </c>
      <c r="G104" s="35" t="s">
        <v>34</v>
      </c>
      <c r="H104" s="36">
        <v>1</v>
      </c>
      <c r="I104" s="36">
        <v>1</v>
      </c>
      <c r="J104" s="37">
        <v>-1.625</v>
      </c>
      <c r="K104" s="38">
        <v>-1.5</v>
      </c>
      <c r="L104" s="38">
        <v>-0.5</v>
      </c>
      <c r="M104" s="43">
        <v>180</v>
      </c>
      <c r="N104" s="37">
        <v>-1.75</v>
      </c>
      <c r="O104" s="37">
        <f t="shared" si="3"/>
        <v>-0.125</v>
      </c>
      <c r="P104" s="37">
        <v>24.26</v>
      </c>
      <c r="Q104" s="38">
        <v>24.29</v>
      </c>
      <c r="R104" s="38">
        <v>0.03</v>
      </c>
      <c r="S104" s="41">
        <v>170</v>
      </c>
      <c r="T104" s="41">
        <v>170</v>
      </c>
      <c r="U104" s="41">
        <v>60</v>
      </c>
      <c r="V104" s="48">
        <v>4</v>
      </c>
    </row>
    <row r="105" ht="17.6" customHeight="1" spans="1:22">
      <c r="A105" s="32" t="str">
        <f>[1]取镜!C113</f>
        <v>石家庄人民眼科</v>
      </c>
      <c r="B105" s="32" t="str">
        <f>[1]取镜!D113</f>
        <v>曹浩然</v>
      </c>
      <c r="C105" s="32" t="str">
        <f>[1]取镜!E113</f>
        <v>男</v>
      </c>
      <c r="D105" s="33">
        <f>[1]取镜!F113</f>
        <v>43350</v>
      </c>
      <c r="E105" s="34" t="s">
        <v>153</v>
      </c>
      <c r="F105" s="25" t="s">
        <v>39</v>
      </c>
      <c r="G105" s="35" t="s">
        <v>33</v>
      </c>
      <c r="H105" s="36">
        <v>1</v>
      </c>
      <c r="I105" s="36">
        <v>1</v>
      </c>
      <c r="J105" s="37">
        <v>-1.375</v>
      </c>
      <c r="K105" s="38">
        <v>-1</v>
      </c>
      <c r="L105" s="38">
        <v>-0.75</v>
      </c>
      <c r="M105" s="43">
        <v>5</v>
      </c>
      <c r="N105" s="37">
        <v>-1.375</v>
      </c>
      <c r="O105" s="37">
        <f t="shared" si="3"/>
        <v>0</v>
      </c>
      <c r="P105" s="37">
        <v>24.76</v>
      </c>
      <c r="Q105" s="38">
        <v>24.63</v>
      </c>
      <c r="R105" s="38">
        <v>-0.13</v>
      </c>
      <c r="S105" s="41">
        <v>170</v>
      </c>
      <c r="T105" s="41">
        <v>170</v>
      </c>
      <c r="U105" s="48">
        <v>120</v>
      </c>
      <c r="V105" s="48">
        <v>0</v>
      </c>
    </row>
    <row r="106" ht="17.6" customHeight="1" spans="1:22">
      <c r="A106" s="32" t="str">
        <f>[1]取镜!C114</f>
        <v>石家庄人民眼科</v>
      </c>
      <c r="B106" s="32">
        <f>[1]取镜!D114</f>
        <v>0</v>
      </c>
      <c r="C106" s="32">
        <f>[1]取镜!E114</f>
        <v>0</v>
      </c>
      <c r="D106" s="33">
        <f>[1]取镜!F114</f>
        <v>0</v>
      </c>
      <c r="E106" s="34" t="s">
        <v>153</v>
      </c>
      <c r="F106" s="25" t="s">
        <v>39</v>
      </c>
      <c r="G106" s="35" t="s">
        <v>34</v>
      </c>
      <c r="H106" s="36">
        <v>1</v>
      </c>
      <c r="I106" s="36">
        <v>1</v>
      </c>
      <c r="J106" s="37">
        <v>-1.5</v>
      </c>
      <c r="K106" s="38">
        <v>-1.25</v>
      </c>
      <c r="L106" s="38">
        <v>-0.75</v>
      </c>
      <c r="M106" s="43">
        <v>175</v>
      </c>
      <c r="N106" s="37">
        <v>-1.625</v>
      </c>
      <c r="O106" s="37">
        <f t="shared" si="3"/>
        <v>-0.125</v>
      </c>
      <c r="P106" s="37">
        <v>24.74</v>
      </c>
      <c r="Q106" s="38">
        <v>24.57</v>
      </c>
      <c r="R106" s="38">
        <v>-0.17</v>
      </c>
      <c r="S106" s="41">
        <v>170</v>
      </c>
      <c r="T106" s="41">
        <v>170</v>
      </c>
      <c r="U106" s="48">
        <v>60</v>
      </c>
      <c r="V106" s="48">
        <v>4</v>
      </c>
    </row>
    <row r="107" ht="17.6" customHeight="1" spans="1:22">
      <c r="A107" s="32" t="str">
        <f>[1]取镜!C115</f>
        <v>石家庄人民眼科</v>
      </c>
      <c r="B107" s="32" t="str">
        <f>[1]取镜!D115</f>
        <v>刘峻泽</v>
      </c>
      <c r="C107" s="32" t="str">
        <f>[1]取镜!E115</f>
        <v>男</v>
      </c>
      <c r="D107" s="33">
        <f>[1]取镜!F115</f>
        <v>42591</v>
      </c>
      <c r="E107" s="34" t="s">
        <v>155</v>
      </c>
      <c r="F107" s="25" t="s">
        <v>39</v>
      </c>
      <c r="G107" s="35" t="s">
        <v>33</v>
      </c>
      <c r="H107" s="36">
        <v>1</v>
      </c>
      <c r="I107" s="36">
        <v>1</v>
      </c>
      <c r="J107" s="37">
        <v>-0.875</v>
      </c>
      <c r="K107" s="38">
        <v>-0.25</v>
      </c>
      <c r="L107" s="38">
        <v>-1</v>
      </c>
      <c r="M107" s="43">
        <v>160</v>
      </c>
      <c r="N107" s="37">
        <v>-0.75</v>
      </c>
      <c r="O107" s="37">
        <f t="shared" si="3"/>
        <v>0.125</v>
      </c>
      <c r="P107" s="37">
        <v>23.81</v>
      </c>
      <c r="Q107" s="38">
        <v>23.92</v>
      </c>
      <c r="R107" s="38">
        <v>0.11</v>
      </c>
      <c r="S107" s="48">
        <v>170</v>
      </c>
      <c r="T107" s="48">
        <v>170</v>
      </c>
      <c r="U107" s="48">
        <v>120</v>
      </c>
      <c r="V107" s="48">
        <v>6</v>
      </c>
    </row>
    <row r="108" ht="17.6" customHeight="1" spans="1:22">
      <c r="A108" s="32" t="str">
        <f>[1]取镜!C116</f>
        <v>石家庄人民眼科</v>
      </c>
      <c r="B108" s="32">
        <f>[1]取镜!D116</f>
        <v>0</v>
      </c>
      <c r="C108" s="32">
        <f>[1]取镜!E116</f>
        <v>0</v>
      </c>
      <c r="D108" s="33">
        <f>[1]取镜!F116</f>
        <v>0</v>
      </c>
      <c r="E108" s="34" t="s">
        <v>155</v>
      </c>
      <c r="F108" s="25" t="s">
        <v>39</v>
      </c>
      <c r="G108" s="35" t="s">
        <v>34</v>
      </c>
      <c r="H108" s="36">
        <v>1</v>
      </c>
      <c r="I108" s="36">
        <v>1</v>
      </c>
      <c r="J108" s="37">
        <v>-0.875</v>
      </c>
      <c r="K108" s="38">
        <v>-0.5</v>
      </c>
      <c r="L108" s="38">
        <v>-1.5</v>
      </c>
      <c r="M108" s="43">
        <v>180</v>
      </c>
      <c r="N108" s="37">
        <v>-1.25</v>
      </c>
      <c r="O108" s="37">
        <f t="shared" si="3"/>
        <v>-0.375</v>
      </c>
      <c r="P108" s="37">
        <v>23.96</v>
      </c>
      <c r="Q108" s="38">
        <v>24.07</v>
      </c>
      <c r="R108" s="38">
        <v>0.11</v>
      </c>
      <c r="S108" s="48">
        <v>170</v>
      </c>
      <c r="T108" s="48">
        <v>170</v>
      </c>
      <c r="U108" s="48">
        <v>120</v>
      </c>
      <c r="V108" s="48">
        <v>35</v>
      </c>
    </row>
    <row r="109" ht="17.6" customHeight="1" spans="1:22">
      <c r="A109" s="32" t="str">
        <f>[1]取镜!C117</f>
        <v>北京</v>
      </c>
      <c r="B109" s="32" t="str">
        <f>[1]取镜!D117</f>
        <v>王浩宇</v>
      </c>
      <c r="C109" s="32">
        <f>[1]取镜!E117</f>
        <v>0</v>
      </c>
      <c r="D109" s="33">
        <f>[1]取镜!F117</f>
        <v>0</v>
      </c>
      <c r="E109" s="34" t="str">
        <f>[1]取镜!G117</f>
        <v>BJ-GS-060</v>
      </c>
      <c r="F109" s="25" t="s">
        <v>48</v>
      </c>
      <c r="G109" s="35" t="s">
        <v>33</v>
      </c>
      <c r="H109" s="46">
        <v>1</v>
      </c>
      <c r="I109" s="46">
        <v>1</v>
      </c>
      <c r="J109" s="47">
        <v>-3.75</v>
      </c>
      <c r="K109" s="38">
        <v>-3.5</v>
      </c>
      <c r="L109" s="38">
        <v>-1.25</v>
      </c>
      <c r="M109" s="43">
        <v>175</v>
      </c>
      <c r="N109" s="37">
        <v>-4.125</v>
      </c>
      <c r="O109" s="37">
        <f t="shared" si="3"/>
        <v>-0.375</v>
      </c>
      <c r="P109" s="37">
        <v>26.3</v>
      </c>
      <c r="Q109" s="38">
        <v>26.36</v>
      </c>
      <c r="R109" s="38">
        <v>0.06</v>
      </c>
      <c r="S109" s="48"/>
      <c r="T109" s="48"/>
      <c r="U109" s="48"/>
      <c r="V109" s="48"/>
    </row>
    <row r="110" ht="17.6" customHeight="1" spans="1:22">
      <c r="A110" s="32" t="str">
        <f>[1]取镜!C118</f>
        <v>北京</v>
      </c>
      <c r="B110" s="32">
        <f>[1]取镜!D118</f>
        <v>0</v>
      </c>
      <c r="C110" s="32">
        <f>[1]取镜!E118</f>
        <v>0</v>
      </c>
      <c r="D110" s="33">
        <f>[1]取镜!F118</f>
        <v>0</v>
      </c>
      <c r="E110" s="34" t="s">
        <v>157</v>
      </c>
      <c r="F110" s="25" t="s">
        <v>48</v>
      </c>
      <c r="G110" s="35" t="s">
        <v>34</v>
      </c>
      <c r="H110" s="46">
        <v>1</v>
      </c>
      <c r="I110" s="46">
        <v>1</v>
      </c>
      <c r="J110" s="47">
        <v>-3.75</v>
      </c>
      <c r="K110" s="38">
        <v>-3.5</v>
      </c>
      <c r="L110" s="38">
        <v>-2</v>
      </c>
      <c r="M110" s="43">
        <v>5</v>
      </c>
      <c r="N110" s="37">
        <v>-4.5</v>
      </c>
      <c r="O110" s="37">
        <f t="shared" si="3"/>
        <v>-0.75</v>
      </c>
      <c r="P110" s="37">
        <v>26.15</v>
      </c>
      <c r="Q110" s="38">
        <v>26.33</v>
      </c>
      <c r="R110" s="38">
        <v>0.18</v>
      </c>
      <c r="S110" s="48"/>
      <c r="T110" s="48"/>
      <c r="U110" s="48"/>
      <c r="V110" s="48"/>
    </row>
    <row r="111" ht="17.6" customHeight="1" spans="1:22">
      <c r="A111" s="32" t="str">
        <f>[1]取镜!C119</f>
        <v>石家庄人民眼科</v>
      </c>
      <c r="B111" s="32" t="str">
        <f>[1]取镜!D119</f>
        <v>刘思齐</v>
      </c>
      <c r="C111" s="32" t="str">
        <f>[1]取镜!E119</f>
        <v>女</v>
      </c>
      <c r="D111" s="33">
        <f>[1]取镜!F119</f>
        <v>41911</v>
      </c>
      <c r="E111" s="34" t="s">
        <v>160</v>
      </c>
      <c r="F111" s="25" t="s">
        <v>45</v>
      </c>
      <c r="G111" s="35" t="s">
        <v>33</v>
      </c>
      <c r="H111" s="46">
        <v>1</v>
      </c>
      <c r="I111" s="46">
        <v>1</v>
      </c>
      <c r="J111" s="47">
        <v>-1.25</v>
      </c>
      <c r="K111" s="38">
        <v>-1</v>
      </c>
      <c r="L111" s="38">
        <v>-0.75</v>
      </c>
      <c r="M111" s="43">
        <v>155</v>
      </c>
      <c r="N111" s="37">
        <v>-1.375</v>
      </c>
      <c r="O111" s="37">
        <f t="shared" si="3"/>
        <v>-0.125</v>
      </c>
      <c r="P111" s="37">
        <v>24.39</v>
      </c>
      <c r="Q111" s="38">
        <v>24.48</v>
      </c>
      <c r="R111" s="38">
        <v>0.09</v>
      </c>
      <c r="S111" s="48">
        <v>170</v>
      </c>
      <c r="T111" s="48">
        <v>170</v>
      </c>
      <c r="U111" s="48">
        <v>45</v>
      </c>
      <c r="V111" s="48">
        <v>24</v>
      </c>
    </row>
    <row r="112" ht="17.6" customHeight="1" spans="1:22">
      <c r="A112" s="32" t="str">
        <f>[1]取镜!C120</f>
        <v>石家庄人民眼科</v>
      </c>
      <c r="B112" s="32">
        <f>[1]取镜!D120</f>
        <v>0</v>
      </c>
      <c r="C112" s="32">
        <f>[1]取镜!E120</f>
        <v>0</v>
      </c>
      <c r="D112" s="33">
        <f>[1]取镜!F120</f>
        <v>0</v>
      </c>
      <c r="E112" s="34" t="s">
        <v>160</v>
      </c>
      <c r="F112" s="25" t="s">
        <v>45</v>
      </c>
      <c r="G112" s="35" t="s">
        <v>34</v>
      </c>
      <c r="H112" s="46">
        <v>1</v>
      </c>
      <c r="I112" s="46">
        <v>1</v>
      </c>
      <c r="J112" s="47">
        <v>-1</v>
      </c>
      <c r="K112" s="38">
        <v>-0.75</v>
      </c>
      <c r="L112" s="38">
        <v>-0.5</v>
      </c>
      <c r="M112" s="43">
        <v>15</v>
      </c>
      <c r="N112" s="37">
        <v>-1</v>
      </c>
      <c r="O112" s="37">
        <f t="shared" si="3"/>
        <v>0</v>
      </c>
      <c r="P112" s="37">
        <v>24.39</v>
      </c>
      <c r="Q112" s="38">
        <v>24.42</v>
      </c>
      <c r="R112" s="38">
        <v>0.03</v>
      </c>
      <c r="S112" s="48">
        <v>170</v>
      </c>
      <c r="T112" s="48">
        <v>170</v>
      </c>
      <c r="U112" s="48">
        <v>120</v>
      </c>
      <c r="V112" s="48">
        <v>15</v>
      </c>
    </row>
    <row r="113" ht="17.6" customHeight="1" spans="1:22">
      <c r="A113" s="32" t="str">
        <f>[1]取镜!C121</f>
        <v>石家庄人民眼科</v>
      </c>
      <c r="B113" s="32" t="str">
        <f>[1]取镜!D121</f>
        <v>韩佩轩</v>
      </c>
      <c r="C113" s="32" t="str">
        <f>[1]取镜!E121</f>
        <v>男</v>
      </c>
      <c r="D113" s="33">
        <f>[1]取镜!F121</f>
        <v>41568</v>
      </c>
      <c r="E113" s="34" t="str">
        <f>[1]取镜!G121</f>
        <v>SJZ-GS-062</v>
      </c>
      <c r="F113" s="25" t="s">
        <v>31</v>
      </c>
      <c r="G113" s="35" t="s">
        <v>33</v>
      </c>
      <c r="H113" s="46">
        <v>0.8</v>
      </c>
      <c r="I113" s="36">
        <v>1</v>
      </c>
      <c r="J113" s="37">
        <v>-1.875</v>
      </c>
      <c r="K113" s="38">
        <v>-1.5</v>
      </c>
      <c r="L113" s="38">
        <v>-1.5</v>
      </c>
      <c r="M113" s="43">
        <v>165</v>
      </c>
      <c r="N113" s="37">
        <v>-2.25</v>
      </c>
      <c r="O113" s="37">
        <f t="shared" si="3"/>
        <v>-0.375</v>
      </c>
      <c r="P113" s="37">
        <v>24.03</v>
      </c>
      <c r="Q113" s="38">
        <v>24.13</v>
      </c>
      <c r="R113" s="38">
        <v>0.1</v>
      </c>
      <c r="S113" s="48">
        <v>170</v>
      </c>
      <c r="T113" s="48">
        <v>170</v>
      </c>
      <c r="U113" s="48">
        <v>80</v>
      </c>
      <c r="V113" s="48">
        <v>65</v>
      </c>
    </row>
    <row r="114" ht="17.6" customHeight="1" spans="1:22">
      <c r="A114" s="32" t="str">
        <f>[1]取镜!C122</f>
        <v>石家庄人民眼科</v>
      </c>
      <c r="B114" s="32">
        <f>[1]取镜!D122</f>
        <v>0</v>
      </c>
      <c r="C114" s="32">
        <f>[1]取镜!E122</f>
        <v>0</v>
      </c>
      <c r="D114" s="33">
        <f>[1]取镜!F122</f>
        <v>0</v>
      </c>
      <c r="E114" s="34">
        <f>[1]取镜!G122</f>
        <v>0</v>
      </c>
      <c r="F114" s="25" t="s">
        <v>31</v>
      </c>
      <c r="G114" s="35" t="s">
        <v>34</v>
      </c>
      <c r="H114" s="46">
        <v>1</v>
      </c>
      <c r="I114" s="46">
        <v>1</v>
      </c>
      <c r="J114" s="47">
        <v>-1.75</v>
      </c>
      <c r="K114" s="38">
        <v>-1.25</v>
      </c>
      <c r="L114" s="38">
        <v>-1</v>
      </c>
      <c r="M114" s="43">
        <v>175</v>
      </c>
      <c r="N114" s="37">
        <v>-1.75</v>
      </c>
      <c r="O114" s="37">
        <f t="shared" si="3"/>
        <v>0</v>
      </c>
      <c r="P114" s="37">
        <v>24.07</v>
      </c>
      <c r="Q114" s="38">
        <v>24.14</v>
      </c>
      <c r="R114" s="38">
        <v>0.07</v>
      </c>
      <c r="S114" s="48">
        <v>170</v>
      </c>
      <c r="T114" s="48">
        <v>170</v>
      </c>
      <c r="U114" s="48">
        <v>60</v>
      </c>
      <c r="V114" s="48">
        <v>24</v>
      </c>
    </row>
    <row r="115" ht="17.6" customHeight="1" spans="1:22">
      <c r="A115" s="32" t="str">
        <f>[1]取镜!C123</f>
        <v>石家庄人民眼科</v>
      </c>
      <c r="B115" s="32" t="str">
        <f>[1]取镜!D123</f>
        <v>赵浩博</v>
      </c>
      <c r="C115" s="32" t="str">
        <f>[1]取镜!E123</f>
        <v>男</v>
      </c>
      <c r="D115" s="33">
        <f>[1]取镜!F123</f>
        <v>43050</v>
      </c>
      <c r="E115" s="34" t="str">
        <f>[1]取镜!G123</f>
        <v>SJZ-GS-063</v>
      </c>
      <c r="F115" s="25" t="s">
        <v>39</v>
      </c>
      <c r="G115" s="35" t="s">
        <v>33</v>
      </c>
      <c r="H115" s="46">
        <v>1</v>
      </c>
      <c r="I115" s="46">
        <v>1</v>
      </c>
      <c r="J115" s="47">
        <v>-1.625</v>
      </c>
      <c r="K115" s="38">
        <v>-1.5</v>
      </c>
      <c r="L115" s="38">
        <v>-1.5</v>
      </c>
      <c r="M115" s="43">
        <v>170</v>
      </c>
      <c r="N115" s="37">
        <v>-2.25</v>
      </c>
      <c r="O115" s="37">
        <f t="shared" si="3"/>
        <v>-0.625</v>
      </c>
      <c r="P115" s="37">
        <v>22.9</v>
      </c>
      <c r="Q115" s="38">
        <v>23.18</v>
      </c>
      <c r="R115" s="38">
        <v>0.28</v>
      </c>
      <c r="S115" s="48">
        <v>170</v>
      </c>
      <c r="T115" s="48">
        <v>170</v>
      </c>
      <c r="U115" s="48">
        <v>80</v>
      </c>
      <c r="V115" s="41">
        <v>15</v>
      </c>
    </row>
    <row r="116" ht="17.6" customHeight="1" spans="1:22">
      <c r="A116" s="32" t="str">
        <f>[1]取镜!C124</f>
        <v>石家庄人民眼科</v>
      </c>
      <c r="B116" s="32">
        <f>[1]取镜!D124</f>
        <v>0</v>
      </c>
      <c r="C116" s="32">
        <f>[1]取镜!E124</f>
        <v>0</v>
      </c>
      <c r="D116" s="33">
        <f>[1]取镜!F124</f>
        <v>0</v>
      </c>
      <c r="E116" s="34">
        <f>[1]取镜!G124</f>
        <v>0</v>
      </c>
      <c r="F116" s="25" t="s">
        <v>39</v>
      </c>
      <c r="G116" s="35" t="s">
        <v>34</v>
      </c>
      <c r="H116" s="46">
        <v>1</v>
      </c>
      <c r="I116" s="46">
        <v>1</v>
      </c>
      <c r="J116" s="47">
        <v>-2</v>
      </c>
      <c r="K116" s="38">
        <v>-1.25</v>
      </c>
      <c r="L116" s="38">
        <v>-1.75</v>
      </c>
      <c r="M116" s="43">
        <v>10</v>
      </c>
      <c r="N116" s="37">
        <v>-2.125</v>
      </c>
      <c r="O116" s="37">
        <f t="shared" si="3"/>
        <v>-0.125</v>
      </c>
      <c r="P116" s="37">
        <v>22.98</v>
      </c>
      <c r="Q116" s="38">
        <v>23.19</v>
      </c>
      <c r="R116" s="38">
        <v>0.21</v>
      </c>
      <c r="S116" s="48">
        <v>170</v>
      </c>
      <c r="T116" s="48">
        <v>170</v>
      </c>
      <c r="U116" s="48">
        <v>25</v>
      </c>
      <c r="V116" s="48">
        <v>8</v>
      </c>
    </row>
    <row r="117" ht="17.6" customHeight="1" spans="1:22">
      <c r="A117" s="32" t="str">
        <f>[1]取镜!C125</f>
        <v>石家庄人民眼科</v>
      </c>
      <c r="B117" s="32" t="str">
        <f>[1]取镜!D125</f>
        <v>赵诗梦</v>
      </c>
      <c r="C117" s="32" t="str">
        <f>[1]取镜!E125</f>
        <v>女</v>
      </c>
      <c r="D117" s="33">
        <f>[1]取镜!F125</f>
        <v>42491</v>
      </c>
      <c r="E117" s="34" t="str">
        <f>[1]取镜!G125</f>
        <v>SJZ-GS-064</v>
      </c>
      <c r="F117" s="25" t="s">
        <v>45</v>
      </c>
      <c r="G117" s="35" t="s">
        <v>33</v>
      </c>
      <c r="H117" s="46">
        <v>1</v>
      </c>
      <c r="I117" s="46">
        <v>1</v>
      </c>
      <c r="J117" s="47">
        <v>-4</v>
      </c>
      <c r="K117" s="38">
        <v>-3.75</v>
      </c>
      <c r="L117" s="38">
        <v>-1</v>
      </c>
      <c r="M117" s="43">
        <v>165</v>
      </c>
      <c r="N117" s="37">
        <v>-4.25</v>
      </c>
      <c r="O117" s="37">
        <f t="shared" si="3"/>
        <v>-0.25</v>
      </c>
      <c r="P117" s="37">
        <v>23.68</v>
      </c>
      <c r="Q117" s="38">
        <v>23.77</v>
      </c>
      <c r="R117" s="38">
        <v>0.09</v>
      </c>
      <c r="S117" s="48">
        <v>170</v>
      </c>
      <c r="T117" s="48">
        <v>170</v>
      </c>
      <c r="U117" s="48">
        <v>80</v>
      </c>
      <c r="V117" s="41">
        <v>8</v>
      </c>
    </row>
    <row r="118" ht="17.6" customHeight="1" spans="1:22">
      <c r="A118" s="32" t="str">
        <f>[1]取镜!C126</f>
        <v>石家庄人民眼科</v>
      </c>
      <c r="B118" s="32">
        <f>[1]取镜!D126</f>
        <v>0</v>
      </c>
      <c r="C118" s="32">
        <f>[1]取镜!E126</f>
        <v>0</v>
      </c>
      <c r="D118" s="33">
        <f>[1]取镜!F126</f>
        <v>0</v>
      </c>
      <c r="E118" s="34">
        <f>[1]取镜!G126</f>
        <v>0</v>
      </c>
      <c r="F118" s="25" t="s">
        <v>45</v>
      </c>
      <c r="G118" s="35" t="s">
        <v>34</v>
      </c>
      <c r="H118" s="46">
        <v>1</v>
      </c>
      <c r="I118" s="46">
        <v>1</v>
      </c>
      <c r="J118" s="47">
        <v>-3.125</v>
      </c>
      <c r="K118" s="38">
        <v>-3.25</v>
      </c>
      <c r="L118" s="38">
        <v>-0.75</v>
      </c>
      <c r="M118" s="43">
        <v>10</v>
      </c>
      <c r="N118" s="37">
        <v>-3.625</v>
      </c>
      <c r="O118" s="37">
        <f t="shared" si="3"/>
        <v>-0.5</v>
      </c>
      <c r="P118" s="37">
        <v>23.49</v>
      </c>
      <c r="Q118" s="38">
        <v>23.64</v>
      </c>
      <c r="R118" s="38">
        <v>0.15</v>
      </c>
      <c r="S118" s="48">
        <v>170</v>
      </c>
      <c r="T118" s="48">
        <v>170</v>
      </c>
      <c r="U118" s="48">
        <v>80</v>
      </c>
      <c r="V118" s="48">
        <v>8</v>
      </c>
    </row>
    <row r="119" ht="17.6" customHeight="1" spans="1:22">
      <c r="A119" s="32" t="str">
        <f>[1]取镜!C127</f>
        <v>石家庄人民眼科</v>
      </c>
      <c r="B119" s="32" t="str">
        <f>[1]取镜!D127</f>
        <v>李承诺</v>
      </c>
      <c r="C119" s="32" t="str">
        <f>[1]取镜!E127</f>
        <v>男</v>
      </c>
      <c r="D119" s="33">
        <f>[1]取镜!F127</f>
        <v>42891</v>
      </c>
      <c r="E119" s="34" t="str">
        <f>[1]取镜!G127</f>
        <v>SJZ-GS-065</v>
      </c>
      <c r="F119" s="25" t="s">
        <v>31</v>
      </c>
      <c r="G119" s="35" t="s">
        <v>33</v>
      </c>
      <c r="H119" s="46">
        <v>1</v>
      </c>
      <c r="I119" s="46">
        <v>1</v>
      </c>
      <c r="J119" s="47">
        <v>-1.875</v>
      </c>
      <c r="K119" s="38">
        <v>-1.25</v>
      </c>
      <c r="L119" s="38">
        <v>-1.25</v>
      </c>
      <c r="M119" s="43">
        <v>175</v>
      </c>
      <c r="N119" s="37">
        <v>-1.875</v>
      </c>
      <c r="O119" s="37">
        <f t="shared" si="3"/>
        <v>0</v>
      </c>
      <c r="P119" s="37">
        <v>23.35</v>
      </c>
      <c r="Q119" s="38">
        <v>23.32</v>
      </c>
      <c r="R119" s="38">
        <v>-0.03</v>
      </c>
      <c r="S119" s="48">
        <v>170</v>
      </c>
      <c r="T119" s="48">
        <v>170</v>
      </c>
      <c r="U119" s="48">
        <v>35</v>
      </c>
      <c r="V119" s="48">
        <v>3</v>
      </c>
    </row>
    <row r="120" ht="17.6" customHeight="1" spans="1:22">
      <c r="A120" s="32" t="str">
        <f>[1]取镜!C128</f>
        <v>石家庄人民眼科</v>
      </c>
      <c r="B120" s="32">
        <f>[1]取镜!D128</f>
        <v>0</v>
      </c>
      <c r="C120" s="32">
        <f>[1]取镜!E128</f>
        <v>0</v>
      </c>
      <c r="D120" s="33">
        <f>[1]取镜!F128</f>
        <v>0</v>
      </c>
      <c r="E120" s="34">
        <f>[1]取镜!G128</f>
        <v>0</v>
      </c>
      <c r="F120" s="25" t="s">
        <v>31</v>
      </c>
      <c r="G120" s="35" t="s">
        <v>34</v>
      </c>
      <c r="H120" s="46">
        <v>1</v>
      </c>
      <c r="I120" s="46">
        <v>1</v>
      </c>
      <c r="J120" s="47">
        <v>-1.875</v>
      </c>
      <c r="K120" s="38">
        <v>-1.25</v>
      </c>
      <c r="L120" s="38">
        <v>-1.25</v>
      </c>
      <c r="M120" s="43">
        <v>175</v>
      </c>
      <c r="N120" s="37">
        <v>-1.875</v>
      </c>
      <c r="O120" s="37">
        <f t="shared" si="3"/>
        <v>0</v>
      </c>
      <c r="P120" s="37">
        <v>23.37</v>
      </c>
      <c r="Q120" s="38">
        <v>23.31</v>
      </c>
      <c r="R120" s="38">
        <v>-0.06</v>
      </c>
      <c r="S120" s="48">
        <v>170</v>
      </c>
      <c r="T120" s="48">
        <v>60</v>
      </c>
      <c r="U120" s="48">
        <v>45</v>
      </c>
      <c r="V120" s="48">
        <v>24</v>
      </c>
    </row>
    <row r="121" ht="17.6" customHeight="1" spans="1:22">
      <c r="A121" s="32" t="str">
        <f>[1]取镜!C129</f>
        <v>北京</v>
      </c>
      <c r="B121" s="32" t="str">
        <f>[1]取镜!D129</f>
        <v>安毅欣</v>
      </c>
      <c r="C121" s="32" t="str">
        <f>[1]取镜!E129</f>
        <v>女</v>
      </c>
      <c r="D121" s="33">
        <f>[1]取镜!F129</f>
        <v>42629</v>
      </c>
      <c r="E121" s="34" t="str">
        <f>[1]取镜!G129</f>
        <v>BJ-GS-066</v>
      </c>
      <c r="F121" s="25" t="s">
        <v>48</v>
      </c>
      <c r="G121" s="35" t="s">
        <v>33</v>
      </c>
      <c r="H121" s="36" t="s">
        <v>472</v>
      </c>
      <c r="I121" s="46">
        <v>1</v>
      </c>
      <c r="J121" s="47">
        <v>-0.75</v>
      </c>
      <c r="K121" s="38">
        <v>-0.75</v>
      </c>
      <c r="L121" s="38">
        <v>-0.75</v>
      </c>
      <c r="M121" s="43">
        <v>165</v>
      </c>
      <c r="N121" s="37">
        <v>-1.125</v>
      </c>
      <c r="O121" s="37">
        <f t="shared" si="3"/>
        <v>-0.375</v>
      </c>
      <c r="P121" s="37">
        <v>23.82</v>
      </c>
      <c r="Q121" s="38">
        <v>23.83</v>
      </c>
      <c r="R121" s="38">
        <v>0.01</v>
      </c>
      <c r="S121" s="48"/>
      <c r="T121" s="48"/>
      <c r="U121" s="48"/>
      <c r="V121" s="48"/>
    </row>
    <row r="122" ht="17.6" customHeight="1" spans="1:22">
      <c r="A122" s="32" t="str">
        <f>[1]取镜!C130</f>
        <v>北京</v>
      </c>
      <c r="B122" s="32">
        <f>[1]取镜!D130</f>
        <v>0</v>
      </c>
      <c r="C122" s="32">
        <f>[1]取镜!E130</f>
        <v>0</v>
      </c>
      <c r="D122" s="33">
        <f>[1]取镜!F130</f>
        <v>0</v>
      </c>
      <c r="E122" s="34">
        <f>[1]取镜!G130</f>
        <v>0</v>
      </c>
      <c r="F122" s="25" t="s">
        <v>48</v>
      </c>
      <c r="G122" s="35" t="s">
        <v>34</v>
      </c>
      <c r="H122" s="46">
        <v>1</v>
      </c>
      <c r="I122" s="46">
        <v>1</v>
      </c>
      <c r="J122" s="47">
        <v>-0.625</v>
      </c>
      <c r="K122" s="38">
        <v>-0.75</v>
      </c>
      <c r="L122" s="38">
        <v>-0.5</v>
      </c>
      <c r="M122" s="43">
        <v>10</v>
      </c>
      <c r="N122" s="37">
        <v>-1</v>
      </c>
      <c r="O122" s="37">
        <f t="shared" si="3"/>
        <v>-0.375</v>
      </c>
      <c r="P122" s="37">
        <v>23.83</v>
      </c>
      <c r="Q122" s="38">
        <v>23.78</v>
      </c>
      <c r="R122" s="38">
        <v>-0.05</v>
      </c>
      <c r="S122" s="48"/>
      <c r="T122" s="48"/>
      <c r="U122" s="48"/>
      <c r="V122" s="48"/>
    </row>
    <row r="123" ht="17.6" customHeight="1" spans="1:22">
      <c r="A123" s="32" t="str">
        <f>[1]取镜!C131</f>
        <v>石家庄人民眼科</v>
      </c>
      <c r="B123" s="32" t="str">
        <f>[1]取镜!D131</f>
        <v>武嘉希</v>
      </c>
      <c r="C123" s="32" t="str">
        <f>[1]取镜!E131</f>
        <v>女</v>
      </c>
      <c r="D123" s="33">
        <f>[1]取镜!F131</f>
        <v>43187</v>
      </c>
      <c r="E123" s="34" t="str">
        <f>[1]取镜!G131</f>
        <v>SJZ-GS-067</v>
      </c>
      <c r="F123" s="25" t="s">
        <v>48</v>
      </c>
      <c r="G123" s="35" t="s">
        <v>33</v>
      </c>
      <c r="H123" s="36">
        <v>1</v>
      </c>
      <c r="I123" s="36">
        <v>1</v>
      </c>
      <c r="J123" s="37"/>
      <c r="K123" s="38">
        <v>-2</v>
      </c>
      <c r="L123" s="38">
        <v>0</v>
      </c>
      <c r="M123" s="43">
        <v>0</v>
      </c>
      <c r="N123" s="37">
        <v>-2</v>
      </c>
      <c r="O123" s="37"/>
      <c r="P123" s="37">
        <v>24.13</v>
      </c>
      <c r="Q123" s="38">
        <v>24.27</v>
      </c>
      <c r="R123" s="38">
        <v>0.14</v>
      </c>
      <c r="S123" s="41">
        <v>170</v>
      </c>
      <c r="T123" s="41">
        <v>170</v>
      </c>
      <c r="U123" s="48">
        <v>9</v>
      </c>
      <c r="V123" s="48">
        <v>8</v>
      </c>
    </row>
    <row r="124" ht="17.6" customHeight="1" spans="1:22">
      <c r="A124" s="32" t="str">
        <f>[1]取镜!C132</f>
        <v>石家庄人民眼科</v>
      </c>
      <c r="B124" s="32">
        <f>[1]取镜!D132</f>
        <v>0</v>
      </c>
      <c r="C124" s="32">
        <f>[1]取镜!E132</f>
        <v>0</v>
      </c>
      <c r="D124" s="33">
        <f>[1]取镜!F132</f>
        <v>0</v>
      </c>
      <c r="E124" s="34">
        <f>[1]取镜!G132</f>
        <v>0</v>
      </c>
      <c r="F124" s="25" t="s">
        <v>48</v>
      </c>
      <c r="G124" s="35" t="s">
        <v>34</v>
      </c>
      <c r="H124" s="36">
        <v>1</v>
      </c>
      <c r="I124" s="36">
        <v>1</v>
      </c>
      <c r="J124" s="37"/>
      <c r="K124" s="38">
        <v>-2</v>
      </c>
      <c r="L124" s="38">
        <v>-0.5</v>
      </c>
      <c r="M124" s="43">
        <v>180</v>
      </c>
      <c r="N124" s="37">
        <v>-2.25</v>
      </c>
      <c r="O124" s="37"/>
      <c r="P124" s="37">
        <v>24.21</v>
      </c>
      <c r="Q124" s="38">
        <v>24.38</v>
      </c>
      <c r="R124" s="38">
        <v>0.17</v>
      </c>
      <c r="S124" s="41">
        <v>170</v>
      </c>
      <c r="T124" s="41">
        <v>170</v>
      </c>
      <c r="U124" s="48">
        <v>15</v>
      </c>
      <c r="V124" s="48">
        <v>6</v>
      </c>
    </row>
    <row r="125" ht="17.6" customHeight="1" spans="1:22">
      <c r="A125" s="32" t="str">
        <f>[1]取镜!C133</f>
        <v>石家庄人民眼科</v>
      </c>
      <c r="B125" s="32" t="str">
        <f>[1]取镜!D133</f>
        <v>罗晨菲</v>
      </c>
      <c r="C125" s="32" t="str">
        <f>[1]取镜!E133</f>
        <v>女</v>
      </c>
      <c r="D125" s="33">
        <f>[1]取镜!F133</f>
        <v>41700</v>
      </c>
      <c r="E125" s="34" t="str">
        <f>[1]取镜!G133</f>
        <v>SJZ-GS-068</v>
      </c>
      <c r="F125" s="25" t="s">
        <v>39</v>
      </c>
      <c r="G125" s="35" t="s">
        <v>33</v>
      </c>
      <c r="H125" s="36">
        <v>1</v>
      </c>
      <c r="I125" s="36">
        <v>1</v>
      </c>
      <c r="J125" s="37">
        <v>-2.125</v>
      </c>
      <c r="K125" s="38">
        <v>-1.75</v>
      </c>
      <c r="L125" s="38">
        <v>-1</v>
      </c>
      <c r="M125" s="43">
        <v>165</v>
      </c>
      <c r="N125" s="37">
        <v>-2.25</v>
      </c>
      <c r="O125" s="37">
        <f>N125-J125</f>
        <v>-0.125</v>
      </c>
      <c r="P125" s="37">
        <v>22.93</v>
      </c>
      <c r="Q125" s="38">
        <v>23.17</v>
      </c>
      <c r="R125" s="38">
        <v>0.24</v>
      </c>
      <c r="S125" s="41">
        <v>170</v>
      </c>
      <c r="T125" s="41">
        <v>170</v>
      </c>
      <c r="U125" s="48">
        <v>120</v>
      </c>
      <c r="V125" s="48">
        <v>65</v>
      </c>
    </row>
    <row r="126" ht="17.6" customHeight="1" spans="1:22">
      <c r="A126" s="32" t="str">
        <f>[1]取镜!C134</f>
        <v>石家庄人民眼科</v>
      </c>
      <c r="B126" s="32">
        <f>[1]取镜!D134</f>
        <v>0</v>
      </c>
      <c r="C126" s="32">
        <f>[1]取镜!E134</f>
        <v>0</v>
      </c>
      <c r="D126" s="33">
        <f>[1]取镜!F134</f>
        <v>0</v>
      </c>
      <c r="E126" s="34">
        <f>[1]取镜!G134</f>
        <v>0</v>
      </c>
      <c r="F126" s="25" t="s">
        <v>39</v>
      </c>
      <c r="G126" s="35" t="s">
        <v>34</v>
      </c>
      <c r="H126" s="36">
        <v>1</v>
      </c>
      <c r="I126" s="36">
        <v>1</v>
      </c>
      <c r="J126" s="37">
        <v>-1.125</v>
      </c>
      <c r="K126" s="38">
        <v>-1</v>
      </c>
      <c r="L126" s="38">
        <v>-1</v>
      </c>
      <c r="M126" s="43">
        <v>10</v>
      </c>
      <c r="N126" s="37">
        <v>-1.5</v>
      </c>
      <c r="O126" s="37">
        <f t="shared" ref="O126:O157" si="4">N126-J126</f>
        <v>-0.375</v>
      </c>
      <c r="P126" s="37">
        <v>22.7</v>
      </c>
      <c r="Q126" s="38">
        <v>22.89</v>
      </c>
      <c r="R126" s="38">
        <v>0.19</v>
      </c>
      <c r="S126" s="41">
        <v>170</v>
      </c>
      <c r="T126" s="41">
        <v>170</v>
      </c>
      <c r="U126" s="48">
        <v>120</v>
      </c>
      <c r="V126" s="48">
        <v>45</v>
      </c>
    </row>
    <row r="127" ht="17.6" customHeight="1" spans="1:22">
      <c r="A127" s="32" t="str">
        <f>[1]取镜!C135</f>
        <v>石家庄人民眼科</v>
      </c>
      <c r="B127" s="32" t="str">
        <f>[1]取镜!D135</f>
        <v>朱般诺</v>
      </c>
      <c r="C127" s="32" t="str">
        <f>[1]取镜!E135</f>
        <v>女</v>
      </c>
      <c r="D127" s="33">
        <f>[1]取镜!F135</f>
        <v>42328</v>
      </c>
      <c r="E127" s="34" t="str">
        <f>[1]取镜!G135</f>
        <v>SJZ-GS-069</v>
      </c>
      <c r="F127" s="25" t="s">
        <v>45</v>
      </c>
      <c r="G127" s="35" t="s">
        <v>33</v>
      </c>
      <c r="H127" s="46">
        <v>1</v>
      </c>
      <c r="I127" s="46">
        <v>1</v>
      </c>
      <c r="J127" s="47">
        <v>-2.5</v>
      </c>
      <c r="K127" s="38">
        <v>-2</v>
      </c>
      <c r="L127" s="38">
        <v>-0.75</v>
      </c>
      <c r="M127" s="43">
        <v>155</v>
      </c>
      <c r="N127" s="37">
        <v>-2.375</v>
      </c>
      <c r="O127" s="37">
        <f t="shared" si="4"/>
        <v>0.125</v>
      </c>
      <c r="P127" s="37">
        <v>23.42</v>
      </c>
      <c r="Q127" s="38">
        <v>23.48</v>
      </c>
      <c r="R127" s="38">
        <v>0.06</v>
      </c>
      <c r="S127" s="41">
        <v>170</v>
      </c>
      <c r="T127" s="41">
        <v>170</v>
      </c>
      <c r="U127" s="48">
        <v>120</v>
      </c>
      <c r="V127" s="48">
        <v>45</v>
      </c>
    </row>
    <row r="128" ht="17.6" customHeight="1" spans="1:22">
      <c r="A128" s="32" t="str">
        <f>[1]取镜!C136</f>
        <v>石家庄人民眼科</v>
      </c>
      <c r="B128" s="32">
        <f>[1]取镜!D136</f>
        <v>0</v>
      </c>
      <c r="C128" s="32">
        <f>[1]取镜!E136</f>
        <v>0</v>
      </c>
      <c r="D128" s="33">
        <f>[1]取镜!F136</f>
        <v>0</v>
      </c>
      <c r="E128" s="34">
        <f>[1]取镜!G136</f>
        <v>0</v>
      </c>
      <c r="F128" s="25" t="s">
        <v>45</v>
      </c>
      <c r="G128" s="35" t="s">
        <v>34</v>
      </c>
      <c r="H128" s="46">
        <v>1</v>
      </c>
      <c r="I128" s="46">
        <v>1</v>
      </c>
      <c r="J128" s="47">
        <v>-3.125</v>
      </c>
      <c r="K128" s="38">
        <v>-2.75</v>
      </c>
      <c r="L128" s="38">
        <v>-1.25</v>
      </c>
      <c r="M128" s="43">
        <v>170</v>
      </c>
      <c r="N128" s="37">
        <v>-3.375</v>
      </c>
      <c r="O128" s="37">
        <f t="shared" si="4"/>
        <v>-0.25</v>
      </c>
      <c r="P128" s="37">
        <v>23.55</v>
      </c>
      <c r="Q128" s="38">
        <v>23.75</v>
      </c>
      <c r="R128" s="38">
        <v>0.2</v>
      </c>
      <c r="S128" s="41">
        <v>170</v>
      </c>
      <c r="T128" s="41">
        <v>170</v>
      </c>
      <c r="U128" s="48">
        <v>80</v>
      </c>
      <c r="V128" s="48">
        <v>15</v>
      </c>
    </row>
    <row r="129" ht="17.6" customHeight="1" spans="1:34">
      <c r="A129" s="32" t="str">
        <f>[1]取镜!C137</f>
        <v>石家庄人民眼科</v>
      </c>
      <c r="B129" s="32" t="str">
        <f>[1]取镜!D137</f>
        <v>杨谨溪</v>
      </c>
      <c r="C129" s="32" t="str">
        <f>[1]取镜!E137</f>
        <v>女</v>
      </c>
      <c r="D129" s="33">
        <f>[1]取镜!F137</f>
        <v>42568</v>
      </c>
      <c r="E129" s="34" t="str">
        <f>[1]取镜!G137</f>
        <v>SJZ-GS-070</v>
      </c>
      <c r="F129" s="25" t="s">
        <v>39</v>
      </c>
      <c r="G129" s="35" t="s">
        <v>33</v>
      </c>
      <c r="H129" s="36">
        <v>1</v>
      </c>
      <c r="I129" s="36">
        <v>1</v>
      </c>
      <c r="J129" s="37">
        <v>-1.125</v>
      </c>
      <c r="K129" s="38">
        <v>-1</v>
      </c>
      <c r="L129" s="38">
        <v>-0.75</v>
      </c>
      <c r="M129" s="43">
        <v>180</v>
      </c>
      <c r="N129" s="37">
        <v>-1.375</v>
      </c>
      <c r="O129" s="37">
        <f t="shared" si="4"/>
        <v>-0.25</v>
      </c>
      <c r="P129" s="37">
        <v>22.57</v>
      </c>
      <c r="Q129" s="38">
        <v>22.63</v>
      </c>
      <c r="R129" s="38">
        <v>0.06</v>
      </c>
      <c r="S129" s="41">
        <v>170</v>
      </c>
      <c r="T129" s="41">
        <v>170</v>
      </c>
      <c r="U129" s="48">
        <v>120</v>
      </c>
      <c r="V129" s="48">
        <v>65</v>
      </c>
    </row>
    <row r="130" ht="17.6" customHeight="1" spans="1:34">
      <c r="A130" s="32" t="str">
        <f>[1]取镜!C138</f>
        <v>石家庄人民眼科</v>
      </c>
      <c r="B130" s="32">
        <f>[1]取镜!D138</f>
        <v>0</v>
      </c>
      <c r="C130" s="32">
        <f>[1]取镜!E138</f>
        <v>0</v>
      </c>
      <c r="D130" s="33">
        <f>[1]取镜!F138</f>
        <v>0</v>
      </c>
      <c r="E130" s="34">
        <f>[1]取镜!G138</f>
        <v>0</v>
      </c>
      <c r="F130" s="25" t="s">
        <v>39</v>
      </c>
      <c r="G130" s="35" t="s">
        <v>34</v>
      </c>
      <c r="H130" s="36">
        <v>1</v>
      </c>
      <c r="I130" s="36">
        <v>1</v>
      </c>
      <c r="J130" s="37">
        <v>-1.125</v>
      </c>
      <c r="K130" s="38">
        <v>-1</v>
      </c>
      <c r="L130" s="38">
        <v>-0.75</v>
      </c>
      <c r="M130" s="43">
        <v>10</v>
      </c>
      <c r="N130" s="37">
        <v>-1.375</v>
      </c>
      <c r="O130" s="37">
        <f t="shared" si="4"/>
        <v>-0.25</v>
      </c>
      <c r="P130" s="37">
        <v>22.61</v>
      </c>
      <c r="Q130" s="38">
        <v>22.68</v>
      </c>
      <c r="R130" s="38">
        <v>0.07</v>
      </c>
      <c r="S130" s="41">
        <v>170</v>
      </c>
      <c r="T130" s="41">
        <v>170</v>
      </c>
      <c r="U130" s="48">
        <v>120</v>
      </c>
      <c r="V130" s="48">
        <v>15</v>
      </c>
    </row>
    <row r="131" ht="17.6" customHeight="1" spans="1:34">
      <c r="A131" s="32" t="str">
        <f>[1]取镜!C139</f>
        <v>石家庄人民眼科</v>
      </c>
      <c r="B131" s="32" t="str">
        <f>[1]取镜!D139</f>
        <v>朱恬熠</v>
      </c>
      <c r="C131" s="32" t="str">
        <f>[1]取镜!E139</f>
        <v>女</v>
      </c>
      <c r="D131" s="33">
        <f>[1]取镜!F139</f>
        <v>41260</v>
      </c>
      <c r="E131" s="34" t="str">
        <f>[1]取镜!G139</f>
        <v>SJZ-GS-071</v>
      </c>
      <c r="F131" s="25" t="s">
        <v>45</v>
      </c>
      <c r="G131" s="35" t="s">
        <v>33</v>
      </c>
      <c r="H131" s="46">
        <v>1</v>
      </c>
      <c r="I131" s="46">
        <v>1</v>
      </c>
      <c r="J131" s="47">
        <v>-4.25</v>
      </c>
      <c r="K131" s="38">
        <v>-3.75</v>
      </c>
      <c r="L131" s="38">
        <v>-0.16</v>
      </c>
      <c r="M131" s="43">
        <v>145</v>
      </c>
      <c r="N131" s="37">
        <v>-3.83</v>
      </c>
      <c r="O131" s="37">
        <f t="shared" si="4"/>
        <v>0.42</v>
      </c>
      <c r="P131" s="37">
        <v>24.12</v>
      </c>
      <c r="Q131" s="38">
        <v>24.14</v>
      </c>
      <c r="R131" s="38">
        <v>0.02</v>
      </c>
      <c r="S131" s="48">
        <v>170</v>
      </c>
      <c r="T131" s="48">
        <v>170</v>
      </c>
      <c r="U131" s="48">
        <v>0</v>
      </c>
      <c r="V131" s="48">
        <v>15</v>
      </c>
    </row>
    <row r="132" ht="17.6" customHeight="1" spans="1:34">
      <c r="A132" s="32" t="str">
        <f>[1]取镜!C140</f>
        <v>石家庄人民眼科</v>
      </c>
      <c r="B132" s="32">
        <f>[1]取镜!D140</f>
        <v>0</v>
      </c>
      <c r="C132" s="32">
        <f>[1]取镜!E140</f>
        <v>0</v>
      </c>
      <c r="D132" s="33">
        <f>[1]取镜!F140</f>
        <v>0</v>
      </c>
      <c r="E132" s="34">
        <f>[1]取镜!G140</f>
        <v>0</v>
      </c>
      <c r="F132" s="25" t="s">
        <v>45</v>
      </c>
      <c r="G132" s="35" t="s">
        <v>34</v>
      </c>
      <c r="H132" s="46">
        <v>1</v>
      </c>
      <c r="I132" s="46">
        <v>1</v>
      </c>
      <c r="J132" s="47">
        <v>-4.125</v>
      </c>
      <c r="K132" s="38">
        <v>-3.5</v>
      </c>
      <c r="L132" s="38">
        <v>-1.25</v>
      </c>
      <c r="M132" s="43">
        <v>170</v>
      </c>
      <c r="N132" s="37">
        <v>-4.125</v>
      </c>
      <c r="O132" s="37">
        <f t="shared" si="4"/>
        <v>0</v>
      </c>
      <c r="P132" s="37">
        <v>24.34</v>
      </c>
      <c r="Q132" s="38">
        <v>24.33</v>
      </c>
      <c r="R132" s="38">
        <v>-0.01</v>
      </c>
      <c r="S132" s="48">
        <v>170</v>
      </c>
      <c r="T132" s="48">
        <v>120</v>
      </c>
      <c r="U132" s="48">
        <v>80</v>
      </c>
      <c r="V132" s="48">
        <v>45</v>
      </c>
    </row>
    <row r="133" ht="17.6" customHeight="1" spans="1:34">
      <c r="A133" s="32" t="str">
        <f>[1]取镜!C141</f>
        <v>石家庄人民眼科</v>
      </c>
      <c r="B133" s="32" t="str">
        <f>[1]取镜!D141</f>
        <v>赵奕成</v>
      </c>
      <c r="C133" s="32" t="str">
        <f>[1]取镜!E141</f>
        <v>男</v>
      </c>
      <c r="D133" s="33">
        <f>[1]取镜!F141</f>
        <v>41596</v>
      </c>
      <c r="E133" s="34" t="str">
        <f>[1]取镜!G141</f>
        <v>SJZ-GS-072</v>
      </c>
      <c r="F133" s="25" t="s">
        <v>31</v>
      </c>
      <c r="G133" s="35" t="s">
        <v>33</v>
      </c>
      <c r="H133" s="36">
        <v>1</v>
      </c>
      <c r="I133" s="36">
        <v>1</v>
      </c>
      <c r="J133" s="37">
        <v>-0.625</v>
      </c>
      <c r="K133" s="38">
        <v>-0.5</v>
      </c>
      <c r="L133" s="38">
        <v>-0.25</v>
      </c>
      <c r="M133" s="43">
        <v>170</v>
      </c>
      <c r="N133" s="37">
        <v>-0.625</v>
      </c>
      <c r="O133" s="37">
        <f t="shared" si="4"/>
        <v>0</v>
      </c>
      <c r="P133" s="37">
        <v>24.67</v>
      </c>
      <c r="Q133" s="38">
        <v>24.6</v>
      </c>
      <c r="R133" s="38">
        <v>-0.07</v>
      </c>
      <c r="S133" s="48">
        <v>170</v>
      </c>
      <c r="T133" s="48">
        <v>170</v>
      </c>
      <c r="U133" s="48">
        <v>35</v>
      </c>
      <c r="V133" s="48">
        <v>3</v>
      </c>
    </row>
    <row r="134" ht="17.6" customHeight="1" spans="1:34">
      <c r="A134" s="32" t="str">
        <f>[1]取镜!C142</f>
        <v>石家庄人民眼科</v>
      </c>
      <c r="B134" s="32">
        <f>[1]取镜!D142</f>
        <v>0</v>
      </c>
      <c r="C134" s="32">
        <f>[1]取镜!E142</f>
        <v>0</v>
      </c>
      <c r="D134" s="33">
        <f>[1]取镜!F142</f>
        <v>0</v>
      </c>
      <c r="E134" s="34">
        <f>[1]取镜!G142</f>
        <v>0</v>
      </c>
      <c r="F134" s="25" t="s">
        <v>31</v>
      </c>
      <c r="G134" s="35" t="s">
        <v>34</v>
      </c>
      <c r="H134" s="36">
        <v>1</v>
      </c>
      <c r="I134" s="36">
        <v>1</v>
      </c>
      <c r="J134" s="37">
        <v>-1.625</v>
      </c>
      <c r="K134" s="38">
        <v>-1.25</v>
      </c>
      <c r="L134" s="38">
        <v>0</v>
      </c>
      <c r="M134" s="43">
        <v>0</v>
      </c>
      <c r="N134" s="37">
        <v>-1.25</v>
      </c>
      <c r="O134" s="37">
        <f t="shared" si="4"/>
        <v>0.375</v>
      </c>
      <c r="P134" s="37">
        <v>25</v>
      </c>
      <c r="Q134" s="38">
        <v>24.83</v>
      </c>
      <c r="R134" s="38">
        <v>-0.17</v>
      </c>
      <c r="S134" s="48">
        <v>170</v>
      </c>
      <c r="T134" s="48">
        <v>170</v>
      </c>
      <c r="U134" s="48">
        <v>15</v>
      </c>
      <c r="V134" s="48">
        <v>3</v>
      </c>
    </row>
    <row r="135" ht="17.6" customHeight="1" spans="1:34">
      <c r="A135" s="32" t="str">
        <f>[1]取镜!C143</f>
        <v>石家庄人民眼科</v>
      </c>
      <c r="B135" s="32" t="str">
        <f>[1]取镜!D143</f>
        <v>卢筱桐</v>
      </c>
      <c r="C135" s="32" t="str">
        <f>[1]取镜!E143</f>
        <v>女</v>
      </c>
      <c r="D135" s="33">
        <f>[1]取镜!F143</f>
        <v>43050</v>
      </c>
      <c r="E135" s="34" t="str">
        <f>[1]取镜!G143</f>
        <v>SJZ-GS-073</v>
      </c>
      <c r="F135" s="25" t="s">
        <v>31</v>
      </c>
      <c r="G135" s="35" t="s">
        <v>33</v>
      </c>
      <c r="H135" s="36">
        <v>1</v>
      </c>
      <c r="I135" s="36">
        <v>1</v>
      </c>
      <c r="J135" s="37">
        <v>-1</v>
      </c>
      <c r="K135" s="38">
        <v>0</v>
      </c>
      <c r="L135" s="38">
        <v>-0.5</v>
      </c>
      <c r="M135" s="43">
        <v>175</v>
      </c>
      <c r="N135" s="37">
        <v>-0.25</v>
      </c>
      <c r="O135" s="37">
        <f t="shared" si="4"/>
        <v>0.75</v>
      </c>
      <c r="P135" s="37">
        <v>24.19</v>
      </c>
      <c r="Q135" s="38">
        <v>23.97</v>
      </c>
      <c r="R135" s="38">
        <v>-0.22</v>
      </c>
      <c r="S135" s="48">
        <v>170</v>
      </c>
      <c r="T135" s="48">
        <v>170</v>
      </c>
      <c r="U135" s="48">
        <v>45</v>
      </c>
      <c r="V135" s="48">
        <v>24</v>
      </c>
    </row>
    <row r="136" ht="17.6" customHeight="1" spans="1:34">
      <c r="A136" s="32" t="str">
        <f>[1]取镜!C144</f>
        <v>石家庄人民眼科</v>
      </c>
      <c r="B136" s="32">
        <f>[1]取镜!D144</f>
        <v>0</v>
      </c>
      <c r="C136" s="32">
        <f>[1]取镜!E144</f>
        <v>0</v>
      </c>
      <c r="D136" s="33">
        <f>[1]取镜!F144</f>
        <v>0</v>
      </c>
      <c r="E136" s="34">
        <f>[1]取镜!G144</f>
        <v>0</v>
      </c>
      <c r="F136" s="25" t="s">
        <v>31</v>
      </c>
      <c r="G136" s="35" t="s">
        <v>34</v>
      </c>
      <c r="H136" s="36">
        <v>1</v>
      </c>
      <c r="I136" s="36">
        <v>1</v>
      </c>
      <c r="J136" s="37">
        <v>-0.75</v>
      </c>
      <c r="K136" s="38">
        <v>0.5</v>
      </c>
      <c r="L136" s="38">
        <v>-0.5</v>
      </c>
      <c r="M136" s="43">
        <v>180</v>
      </c>
      <c r="N136" s="37">
        <v>0.25</v>
      </c>
      <c r="O136" s="37">
        <f t="shared" si="4"/>
        <v>1</v>
      </c>
      <c r="P136" s="49">
        <v>24.16</v>
      </c>
      <c r="Q136" s="50">
        <v>23.78</v>
      </c>
      <c r="R136" s="50">
        <v>-0.38</v>
      </c>
      <c r="S136" s="48">
        <v>170</v>
      </c>
      <c r="T136" s="48">
        <v>170</v>
      </c>
      <c r="U136" s="48">
        <v>80</v>
      </c>
      <c r="V136" s="48">
        <v>15</v>
      </c>
      <c r="AH136" s="1">
        <v>1</v>
      </c>
    </row>
    <row r="137" ht="17.6" customHeight="1" spans="1:34">
      <c r="A137" s="32" t="str">
        <f>[1]取镜!C145</f>
        <v>石家庄人民眼科</v>
      </c>
      <c r="B137" s="32" t="str">
        <f>[1]取镜!D145</f>
        <v>张艺然</v>
      </c>
      <c r="C137" s="32" t="str">
        <f>[1]取镜!E145</f>
        <v>男</v>
      </c>
      <c r="D137" s="33">
        <f>[1]取镜!F145</f>
        <v>43401</v>
      </c>
      <c r="E137" s="34" t="str">
        <f>[1]取镜!G145</f>
        <v>SJZ-GS-074</v>
      </c>
      <c r="F137" s="25" t="s">
        <v>48</v>
      </c>
      <c r="G137" s="35" t="s">
        <v>33</v>
      </c>
      <c r="H137" s="36">
        <v>1</v>
      </c>
      <c r="I137" s="36">
        <v>1</v>
      </c>
      <c r="J137" s="37">
        <v>-1.625</v>
      </c>
      <c r="K137" s="38">
        <v>-2</v>
      </c>
      <c r="L137" s="38">
        <v>-0.5</v>
      </c>
      <c r="M137" s="43">
        <v>180</v>
      </c>
      <c r="N137" s="37">
        <v>-2.25</v>
      </c>
      <c r="O137" s="37">
        <f t="shared" si="4"/>
        <v>-0.625</v>
      </c>
      <c r="P137" s="49">
        <v>24.21</v>
      </c>
      <c r="Q137" s="50">
        <v>24.57</v>
      </c>
      <c r="R137" s="50">
        <v>0.36</v>
      </c>
      <c r="S137" s="48">
        <v>170</v>
      </c>
      <c r="T137" s="48">
        <v>170</v>
      </c>
      <c r="U137" s="48">
        <v>60</v>
      </c>
      <c r="V137" s="48">
        <v>45</v>
      </c>
    </row>
    <row r="138" ht="17.6" customHeight="1" spans="1:34">
      <c r="A138" s="32" t="str">
        <f>[1]取镜!C146</f>
        <v>石家庄人民眼科</v>
      </c>
      <c r="B138" s="32">
        <f>[1]取镜!D146</f>
        <v>0</v>
      </c>
      <c r="C138" s="32">
        <f>[1]取镜!E146</f>
        <v>0</v>
      </c>
      <c r="D138" s="33">
        <f>[1]取镜!F146</f>
        <v>0</v>
      </c>
      <c r="E138" s="34">
        <f>[1]取镜!G146</f>
        <v>0</v>
      </c>
      <c r="F138" s="25" t="s">
        <v>48</v>
      </c>
      <c r="G138" s="35" t="s">
        <v>34</v>
      </c>
      <c r="H138" s="36">
        <v>1</v>
      </c>
      <c r="I138" s="36">
        <v>1</v>
      </c>
      <c r="J138" s="37">
        <v>-0.625</v>
      </c>
      <c r="K138" s="38">
        <v>-0.5</v>
      </c>
      <c r="L138" s="38">
        <v>-0.5</v>
      </c>
      <c r="M138" s="43">
        <v>5</v>
      </c>
      <c r="N138" s="37">
        <v>-0.75</v>
      </c>
      <c r="O138" s="37">
        <f t="shared" si="4"/>
        <v>-0.125</v>
      </c>
      <c r="P138" s="37">
        <v>23.75</v>
      </c>
      <c r="Q138" s="38">
        <v>24.05</v>
      </c>
      <c r="R138" s="38">
        <v>0.3</v>
      </c>
      <c r="S138" s="48">
        <v>170</v>
      </c>
      <c r="T138" s="48">
        <v>170</v>
      </c>
      <c r="U138" s="48">
        <v>25</v>
      </c>
      <c r="V138" s="48">
        <v>6</v>
      </c>
    </row>
    <row r="139" ht="17.6" customHeight="1" spans="1:34">
      <c r="A139" s="32" t="str">
        <f>[1]取镜!C147</f>
        <v>石家庄人民眼科</v>
      </c>
      <c r="B139" s="32" t="str">
        <f>[1]取镜!D147</f>
        <v>白岩泽</v>
      </c>
      <c r="C139" s="32" t="str">
        <f>[1]取镜!E147</f>
        <v>男</v>
      </c>
      <c r="D139" s="33">
        <f>[1]取镜!F147</f>
        <v>42413</v>
      </c>
      <c r="E139" s="34" t="str">
        <f>[1]取镜!G147</f>
        <v>SJZ-GS-075</v>
      </c>
      <c r="F139" s="25" t="s">
        <v>31</v>
      </c>
      <c r="G139" s="35" t="s">
        <v>33</v>
      </c>
      <c r="H139" s="46">
        <v>1</v>
      </c>
      <c r="I139" s="46">
        <v>1</v>
      </c>
      <c r="J139" s="47">
        <v>-2.5</v>
      </c>
      <c r="K139" s="38">
        <v>-1.75</v>
      </c>
      <c r="L139" s="38">
        <v>-1.25</v>
      </c>
      <c r="M139" s="43">
        <v>5</v>
      </c>
      <c r="N139" s="37">
        <v>-2.375</v>
      </c>
      <c r="O139" s="37">
        <f t="shared" si="4"/>
        <v>0.125</v>
      </c>
      <c r="P139" s="37">
        <v>25.79</v>
      </c>
      <c r="Q139" s="38">
        <v>25.87</v>
      </c>
      <c r="R139" s="38">
        <v>0.08</v>
      </c>
      <c r="S139" s="48">
        <v>170</v>
      </c>
      <c r="T139" s="48">
        <v>170</v>
      </c>
      <c r="U139" s="48">
        <v>120</v>
      </c>
      <c r="V139" s="48">
        <v>65</v>
      </c>
    </row>
    <row r="140" ht="17.6" customHeight="1" spans="1:34">
      <c r="A140" s="32" t="str">
        <f>[1]取镜!C148</f>
        <v>石家庄人民眼科</v>
      </c>
      <c r="B140" s="32">
        <f>[1]取镜!D148</f>
        <v>0</v>
      </c>
      <c r="C140" s="32">
        <f>[1]取镜!E148</f>
        <v>0</v>
      </c>
      <c r="D140" s="33">
        <f>[1]取镜!F148</f>
        <v>0</v>
      </c>
      <c r="E140" s="34">
        <f>[1]取镜!G148</f>
        <v>0</v>
      </c>
      <c r="F140" s="25" t="s">
        <v>31</v>
      </c>
      <c r="G140" s="35" t="s">
        <v>34</v>
      </c>
      <c r="H140" s="46">
        <v>0.8</v>
      </c>
      <c r="I140" s="46">
        <v>1</v>
      </c>
      <c r="J140" s="47">
        <v>-1.625</v>
      </c>
      <c r="K140" s="38">
        <v>-0.75</v>
      </c>
      <c r="L140" s="38">
        <v>-1.75</v>
      </c>
      <c r="M140" s="43">
        <v>175</v>
      </c>
      <c r="N140" s="37">
        <v>-1.625</v>
      </c>
      <c r="O140" s="37">
        <f t="shared" si="4"/>
        <v>0</v>
      </c>
      <c r="P140" s="37">
        <v>25.34</v>
      </c>
      <c r="Q140" s="38">
        <v>25.42</v>
      </c>
      <c r="R140" s="38">
        <v>0.08</v>
      </c>
      <c r="S140" s="48">
        <v>170</v>
      </c>
      <c r="T140" s="48">
        <v>170</v>
      </c>
      <c r="U140" s="48">
        <v>120</v>
      </c>
      <c r="V140" s="48">
        <v>35</v>
      </c>
    </row>
    <row r="141" ht="17.6" customHeight="1" spans="1:34">
      <c r="A141" s="32" t="str">
        <f>[1]取镜!C149</f>
        <v>石家庄人民眼科</v>
      </c>
      <c r="B141" s="32" t="str">
        <f>[1]取镜!D149</f>
        <v>宁芸晞</v>
      </c>
      <c r="C141" s="32" t="str">
        <f>[1]取镜!E149</f>
        <v>女</v>
      </c>
      <c r="D141" s="33">
        <f>[1]取镜!F149</f>
        <v>42472</v>
      </c>
      <c r="E141" s="34" t="str">
        <f>[1]取镜!G149</f>
        <v>SJZ-GS-076</v>
      </c>
      <c r="F141" s="25" t="s">
        <v>31</v>
      </c>
      <c r="G141" s="35" t="s">
        <v>33</v>
      </c>
      <c r="H141" s="36">
        <v>1</v>
      </c>
      <c r="I141" s="36">
        <v>1</v>
      </c>
      <c r="J141" s="37">
        <v>-1.5</v>
      </c>
      <c r="K141" s="38">
        <v>-1.75</v>
      </c>
      <c r="L141" s="38">
        <v>-0.5</v>
      </c>
      <c r="M141" s="43">
        <v>180</v>
      </c>
      <c r="N141" s="37">
        <v>-2</v>
      </c>
      <c r="O141" s="37">
        <f t="shared" si="4"/>
        <v>-0.5</v>
      </c>
      <c r="P141" s="37">
        <v>23.43</v>
      </c>
      <c r="Q141" s="38">
        <v>23.55</v>
      </c>
      <c r="R141" s="38">
        <v>0.12</v>
      </c>
      <c r="S141" s="48">
        <v>170</v>
      </c>
      <c r="T141" s="48">
        <v>80</v>
      </c>
      <c r="U141" s="48">
        <v>45</v>
      </c>
      <c r="V141" s="48">
        <v>8</v>
      </c>
    </row>
    <row r="142" ht="17.6" customHeight="1" spans="1:34">
      <c r="A142" s="32" t="str">
        <f>[1]取镜!C150</f>
        <v>石家庄人民眼科</v>
      </c>
      <c r="B142" s="32">
        <f>[1]取镜!D150</f>
        <v>0</v>
      </c>
      <c r="C142" s="32">
        <f>[1]取镜!E150</f>
        <v>0</v>
      </c>
      <c r="D142" s="33">
        <f>[1]取镜!F150</f>
        <v>0</v>
      </c>
      <c r="E142" s="34">
        <f>[1]取镜!G150</f>
        <v>0</v>
      </c>
      <c r="F142" s="25" t="s">
        <v>31</v>
      </c>
      <c r="G142" s="35" t="s">
        <v>34</v>
      </c>
      <c r="H142" s="36">
        <v>1</v>
      </c>
      <c r="I142" s="36">
        <v>1</v>
      </c>
      <c r="J142" s="37">
        <v>-1.75</v>
      </c>
      <c r="K142" s="38">
        <v>-1.25</v>
      </c>
      <c r="L142" s="38">
        <v>-1</v>
      </c>
      <c r="M142" s="43">
        <v>170</v>
      </c>
      <c r="N142" s="37">
        <v>-1.75</v>
      </c>
      <c r="O142" s="37">
        <f t="shared" si="4"/>
        <v>0</v>
      </c>
      <c r="P142" s="37">
        <v>23.39</v>
      </c>
      <c r="Q142" s="38">
        <v>23.48</v>
      </c>
      <c r="R142" s="38">
        <v>0.09</v>
      </c>
      <c r="S142" s="48">
        <v>170</v>
      </c>
      <c r="T142" s="48">
        <v>170</v>
      </c>
      <c r="U142" s="48">
        <v>35</v>
      </c>
      <c r="V142" s="48">
        <v>15</v>
      </c>
    </row>
    <row r="143" ht="17.6" customHeight="1" spans="1:34">
      <c r="A143" s="32" t="str">
        <f>[1]取镜!C151</f>
        <v>北京</v>
      </c>
      <c r="B143" s="32" t="str">
        <f>[1]取镜!D151</f>
        <v>李陶然</v>
      </c>
      <c r="C143" s="32" t="str">
        <f>[1]取镜!E151</f>
        <v>男</v>
      </c>
      <c r="D143" s="33">
        <f>[1]取镜!F151</f>
        <v>41951</v>
      </c>
      <c r="E143" s="34" t="str">
        <f>[1]取镜!G151</f>
        <v>BJ-GS-077</v>
      </c>
      <c r="F143" s="25" t="s">
        <v>48</v>
      </c>
      <c r="G143" s="35" t="s">
        <v>33</v>
      </c>
      <c r="H143" s="46">
        <v>0.8</v>
      </c>
      <c r="I143" s="46">
        <v>0.8</v>
      </c>
      <c r="J143" s="47">
        <v>-2.75</v>
      </c>
      <c r="K143" s="38">
        <v>-1.75</v>
      </c>
      <c r="L143" s="38">
        <v>-0.75</v>
      </c>
      <c r="M143" s="43">
        <v>170</v>
      </c>
      <c r="N143" s="37">
        <v>-2.125</v>
      </c>
      <c r="O143" s="37">
        <f t="shared" si="4"/>
        <v>0.625</v>
      </c>
      <c r="P143" s="37">
        <v>24.86</v>
      </c>
      <c r="Q143" s="38">
        <v>24.89</v>
      </c>
      <c r="R143" s="38">
        <v>0.03</v>
      </c>
      <c r="S143" s="35"/>
      <c r="T143" s="32"/>
      <c r="U143" s="32"/>
      <c r="V143" s="32"/>
    </row>
    <row r="144" ht="17.6" customHeight="1" spans="1:34">
      <c r="A144" s="32" t="str">
        <f>[1]取镜!C152</f>
        <v>北京</v>
      </c>
      <c r="B144" s="32">
        <f>[1]取镜!D152</f>
        <v>0</v>
      </c>
      <c r="C144" s="32">
        <f>[1]取镜!E152</f>
        <v>0</v>
      </c>
      <c r="D144" s="33">
        <f>[1]取镜!F152</f>
        <v>0</v>
      </c>
      <c r="E144" s="34">
        <f>[1]取镜!G152</f>
        <v>0</v>
      </c>
      <c r="F144" s="25" t="s">
        <v>48</v>
      </c>
      <c r="G144" s="35" t="s">
        <v>34</v>
      </c>
      <c r="H144" s="46">
        <v>0.8</v>
      </c>
      <c r="I144" s="46">
        <v>0.8</v>
      </c>
      <c r="J144" s="47">
        <v>-2.5</v>
      </c>
      <c r="K144" s="38">
        <v>-2</v>
      </c>
      <c r="L144" s="38">
        <v>-1</v>
      </c>
      <c r="M144" s="43">
        <v>170</v>
      </c>
      <c r="N144" s="37">
        <v>-2.5</v>
      </c>
      <c r="O144" s="37">
        <f t="shared" si="4"/>
        <v>0</v>
      </c>
      <c r="P144" s="37">
        <v>24.78</v>
      </c>
      <c r="Q144" s="38">
        <v>24.85</v>
      </c>
      <c r="R144" s="38">
        <v>0.07</v>
      </c>
      <c r="S144" s="32"/>
      <c r="T144" s="32"/>
      <c r="U144" s="32"/>
      <c r="V144" s="32"/>
    </row>
    <row r="145" ht="17.6" customHeight="1" spans="1:22">
      <c r="A145" s="32" t="str">
        <f>[1]取镜!C153</f>
        <v>石家庄人民眼科</v>
      </c>
      <c r="B145" s="32" t="str">
        <f>[1]取镜!D153</f>
        <v>孟垂昕</v>
      </c>
      <c r="C145" s="32" t="str">
        <f>[1]取镜!E153</f>
        <v>男</v>
      </c>
      <c r="D145" s="33">
        <f>[1]取镜!F153</f>
        <v>43116</v>
      </c>
      <c r="E145" s="34" t="str">
        <f>[1]取镜!G153</f>
        <v>SJZ-GS-078</v>
      </c>
      <c r="F145" s="25" t="s">
        <v>48</v>
      </c>
      <c r="G145" s="35" t="s">
        <v>33</v>
      </c>
      <c r="H145" s="36">
        <v>1</v>
      </c>
      <c r="I145" s="36">
        <v>1</v>
      </c>
      <c r="J145" s="37">
        <v>-1.375</v>
      </c>
      <c r="K145" s="38">
        <v>-1.25</v>
      </c>
      <c r="L145" s="38">
        <v>-0.25</v>
      </c>
      <c r="M145" s="43">
        <v>170</v>
      </c>
      <c r="N145" s="37">
        <v>-1.375</v>
      </c>
      <c r="O145" s="37">
        <f t="shared" si="4"/>
        <v>0</v>
      </c>
      <c r="P145" s="37">
        <v>23.71</v>
      </c>
      <c r="Q145" s="38">
        <v>23.92</v>
      </c>
      <c r="R145" s="38">
        <v>0.21</v>
      </c>
      <c r="S145" s="48">
        <v>170</v>
      </c>
      <c r="T145" s="48">
        <v>170</v>
      </c>
      <c r="U145" s="48">
        <v>25</v>
      </c>
      <c r="V145" s="48">
        <v>8</v>
      </c>
    </row>
    <row r="146" ht="17.6" customHeight="1" spans="1:22">
      <c r="A146" s="32" t="str">
        <f>[1]取镜!C154</f>
        <v>石家庄人民眼科</v>
      </c>
      <c r="B146" s="32">
        <f>[1]取镜!D154</f>
        <v>0</v>
      </c>
      <c r="C146" s="32">
        <f>[1]取镜!E154</f>
        <v>0</v>
      </c>
      <c r="D146" s="33">
        <f>[1]取镜!F154</f>
        <v>0</v>
      </c>
      <c r="E146" s="34">
        <f>[1]取镜!G154</f>
        <v>0</v>
      </c>
      <c r="F146" s="25" t="s">
        <v>48</v>
      </c>
      <c r="G146" s="35" t="s">
        <v>34</v>
      </c>
      <c r="H146" s="36">
        <v>1</v>
      </c>
      <c r="I146" s="36">
        <v>1</v>
      </c>
      <c r="J146" s="37">
        <v>-1</v>
      </c>
      <c r="K146" s="38">
        <v>-1.25</v>
      </c>
      <c r="L146" s="38">
        <v>-0.5</v>
      </c>
      <c r="M146" s="43">
        <v>10</v>
      </c>
      <c r="N146" s="37">
        <v>-1.5</v>
      </c>
      <c r="O146" s="37">
        <f t="shared" si="4"/>
        <v>-0.5</v>
      </c>
      <c r="P146" s="37">
        <v>23.39</v>
      </c>
      <c r="Q146" s="38">
        <v>23.63</v>
      </c>
      <c r="R146" s="38">
        <v>0.24</v>
      </c>
      <c r="S146" s="48">
        <v>170</v>
      </c>
      <c r="T146" s="48">
        <v>170</v>
      </c>
      <c r="U146" s="48">
        <v>25</v>
      </c>
      <c r="V146" s="48">
        <v>8</v>
      </c>
    </row>
    <row r="147" ht="17.6" customHeight="1" spans="1:22">
      <c r="A147" s="32" t="str">
        <f>[1]取镜!C155</f>
        <v>石家庄人民眼科</v>
      </c>
      <c r="B147" s="32" t="str">
        <f>[1]取镜!D155</f>
        <v>任梓奕</v>
      </c>
      <c r="C147" s="32" t="str">
        <f>[1]取镜!E155</f>
        <v>男</v>
      </c>
      <c r="D147" s="33">
        <f>[1]取镜!F155</f>
        <v>42780</v>
      </c>
      <c r="E147" s="34" t="str">
        <f>[1]取镜!G155</f>
        <v>SJZ-GS-079</v>
      </c>
      <c r="F147" s="25" t="s">
        <v>45</v>
      </c>
      <c r="G147" s="35" t="s">
        <v>33</v>
      </c>
      <c r="H147" s="36" t="s">
        <v>472</v>
      </c>
      <c r="I147" s="46">
        <v>1</v>
      </c>
      <c r="J147" s="47">
        <v>-0.625</v>
      </c>
      <c r="K147" s="38">
        <v>-0.5</v>
      </c>
      <c r="L147" s="38">
        <v>-0.5</v>
      </c>
      <c r="M147" s="43">
        <v>170</v>
      </c>
      <c r="N147" s="37">
        <v>-0.75</v>
      </c>
      <c r="O147" s="37">
        <f t="shared" si="4"/>
        <v>-0.125</v>
      </c>
      <c r="P147" s="37">
        <v>23.77</v>
      </c>
      <c r="Q147" s="38">
        <v>23.92</v>
      </c>
      <c r="R147" s="38">
        <v>0.15</v>
      </c>
      <c r="S147" s="48">
        <v>170</v>
      </c>
      <c r="T147" s="48">
        <v>170</v>
      </c>
      <c r="U147" s="48">
        <v>25</v>
      </c>
      <c r="V147" s="48">
        <v>4</v>
      </c>
    </row>
    <row r="148" ht="17.6" customHeight="1" spans="1:22">
      <c r="A148" s="32" t="str">
        <f>[1]取镜!C156</f>
        <v>石家庄人民眼科</v>
      </c>
      <c r="B148" s="32">
        <f>[1]取镜!D156</f>
        <v>0</v>
      </c>
      <c r="C148" s="32">
        <f>[1]取镜!E156</f>
        <v>0</v>
      </c>
      <c r="D148" s="33">
        <f>[1]取镜!F156</f>
        <v>0</v>
      </c>
      <c r="E148" s="34">
        <f>[1]取镜!G156</f>
        <v>0</v>
      </c>
      <c r="F148" s="25" t="s">
        <v>45</v>
      </c>
      <c r="G148" s="35" t="s">
        <v>34</v>
      </c>
      <c r="H148" s="46">
        <v>1</v>
      </c>
      <c r="I148" s="46">
        <v>1</v>
      </c>
      <c r="J148" s="49">
        <v>-0.875</v>
      </c>
      <c r="K148" s="38">
        <v>-1.25</v>
      </c>
      <c r="L148" s="38">
        <v>-1</v>
      </c>
      <c r="M148" s="43">
        <v>160</v>
      </c>
      <c r="N148" s="49">
        <v>-1.75</v>
      </c>
      <c r="O148" s="37">
        <f t="shared" si="4"/>
        <v>-0.875</v>
      </c>
      <c r="P148" s="49">
        <v>23.87</v>
      </c>
      <c r="Q148" s="50">
        <v>24.02</v>
      </c>
      <c r="R148" s="50">
        <v>0.15</v>
      </c>
      <c r="S148" s="48">
        <v>170</v>
      </c>
      <c r="T148" s="48">
        <v>170</v>
      </c>
      <c r="U148" s="48">
        <v>9</v>
      </c>
      <c r="V148" s="48">
        <v>3</v>
      </c>
    </row>
    <row r="149" ht="17.6" customHeight="1" spans="1:22">
      <c r="A149" s="32" t="str">
        <f>[1]取镜!C157</f>
        <v>石家庄人民眼科</v>
      </c>
      <c r="B149" s="32" t="str">
        <f>[1]取镜!D157</f>
        <v>赵百合</v>
      </c>
      <c r="C149" s="32" t="str">
        <f>[1]取镜!E157</f>
        <v>女</v>
      </c>
      <c r="D149" s="33">
        <f>[1]取镜!F157</f>
        <v>43022</v>
      </c>
      <c r="E149" s="34" t="str">
        <f>[1]取镜!G157</f>
        <v>SJZ-GS-080</v>
      </c>
      <c r="F149" s="25" t="s">
        <v>45</v>
      </c>
      <c r="G149" s="35" t="s">
        <v>33</v>
      </c>
      <c r="H149" s="46">
        <v>1</v>
      </c>
      <c r="I149" s="46">
        <v>1</v>
      </c>
      <c r="J149" s="47">
        <v>-1.375</v>
      </c>
      <c r="K149" s="38">
        <v>-1.25</v>
      </c>
      <c r="L149" s="38">
        <v>0</v>
      </c>
      <c r="M149" s="43">
        <v>0</v>
      </c>
      <c r="N149" s="37">
        <v>-1.25</v>
      </c>
      <c r="O149" s="37">
        <f t="shared" si="4"/>
        <v>0.125</v>
      </c>
      <c r="P149" s="37">
        <v>23.75</v>
      </c>
      <c r="Q149" s="38">
        <v>23.79</v>
      </c>
      <c r="R149" s="38">
        <v>0.04</v>
      </c>
      <c r="S149" s="48">
        <v>170</v>
      </c>
      <c r="T149" s="48">
        <v>170</v>
      </c>
      <c r="U149" s="48">
        <v>35</v>
      </c>
      <c r="V149" s="48">
        <v>8</v>
      </c>
    </row>
    <row r="150" ht="17.6" customHeight="1" spans="1:22">
      <c r="A150" s="32" t="str">
        <f>[1]取镜!C158</f>
        <v>石家庄人民眼科</v>
      </c>
      <c r="B150" s="32">
        <f>[1]取镜!D158</f>
        <v>0</v>
      </c>
      <c r="C150" s="32">
        <f>[1]取镜!E158</f>
        <v>0</v>
      </c>
      <c r="D150" s="33">
        <f>[1]取镜!F158</f>
        <v>0</v>
      </c>
      <c r="E150" s="34">
        <f>[1]取镜!G158</f>
        <v>0</v>
      </c>
      <c r="F150" s="25" t="s">
        <v>45</v>
      </c>
      <c r="G150" s="35" t="s">
        <v>34</v>
      </c>
      <c r="H150" s="46">
        <v>1</v>
      </c>
      <c r="I150" s="46">
        <v>1</v>
      </c>
      <c r="J150" s="47">
        <v>-1.75</v>
      </c>
      <c r="K150" s="38">
        <v>-1.25</v>
      </c>
      <c r="L150" s="38">
        <v>0</v>
      </c>
      <c r="M150" s="43">
        <v>0</v>
      </c>
      <c r="N150" s="37">
        <v>-1.25</v>
      </c>
      <c r="O150" s="37">
        <f t="shared" si="4"/>
        <v>0.5</v>
      </c>
      <c r="P150" s="37">
        <v>23.77</v>
      </c>
      <c r="Q150" s="38">
        <v>23.77</v>
      </c>
      <c r="R150" s="38">
        <v>0</v>
      </c>
      <c r="S150" s="48">
        <v>170</v>
      </c>
      <c r="T150" s="48">
        <v>170</v>
      </c>
      <c r="U150" s="48">
        <v>35</v>
      </c>
      <c r="V150" s="48">
        <v>15</v>
      </c>
    </row>
    <row r="151" ht="17.6" customHeight="1" spans="1:22">
      <c r="A151" s="32" t="str">
        <f>[1]取镜!C159</f>
        <v>石家庄人民眼科</v>
      </c>
      <c r="B151" s="32" t="str">
        <f>[1]取镜!D159</f>
        <v>马浩然</v>
      </c>
      <c r="C151" s="32" t="str">
        <f>[1]取镜!E159</f>
        <v>男</v>
      </c>
      <c r="D151" s="33">
        <f>[1]取镜!F159</f>
        <v>40847</v>
      </c>
      <c r="E151" s="34" t="str">
        <f>[1]取镜!G159</f>
        <v>SJZ-GS-081</v>
      </c>
      <c r="F151" s="25" t="s">
        <v>48</v>
      </c>
      <c r="G151" s="35" t="s">
        <v>33</v>
      </c>
      <c r="H151" s="46">
        <v>1</v>
      </c>
      <c r="I151" s="46">
        <v>1</v>
      </c>
      <c r="J151" s="47">
        <v>-1.625</v>
      </c>
      <c r="K151" s="52">
        <v>-1.5</v>
      </c>
      <c r="L151" s="52">
        <v>-0.5</v>
      </c>
      <c r="M151" s="53">
        <v>175</v>
      </c>
      <c r="N151" s="37">
        <v>-1.75</v>
      </c>
      <c r="O151" s="37">
        <f t="shared" si="4"/>
        <v>-0.125</v>
      </c>
      <c r="P151" s="37">
        <v>25.58</v>
      </c>
      <c r="Q151" s="38">
        <v>25.46</v>
      </c>
      <c r="R151" s="38">
        <v>-0.12</v>
      </c>
      <c r="S151" s="48">
        <v>170</v>
      </c>
      <c r="T151" s="48">
        <v>170</v>
      </c>
      <c r="U151" s="48">
        <v>60</v>
      </c>
      <c r="V151" s="48">
        <v>8</v>
      </c>
    </row>
    <row r="152" ht="17.6" customHeight="1" spans="1:22">
      <c r="A152" s="32" t="str">
        <f>[1]取镜!C160</f>
        <v>石家庄人民眼科</v>
      </c>
      <c r="B152" s="32">
        <f>[1]取镜!D160</f>
        <v>0</v>
      </c>
      <c r="C152" s="32">
        <f>[1]取镜!E160</f>
        <v>0</v>
      </c>
      <c r="D152" s="33">
        <f>[1]取镜!F160</f>
        <v>0</v>
      </c>
      <c r="E152" s="34">
        <f>[1]取镜!G160</f>
        <v>0</v>
      </c>
      <c r="F152" s="25" t="s">
        <v>48</v>
      </c>
      <c r="G152" s="35" t="s">
        <v>34</v>
      </c>
      <c r="H152" s="46">
        <v>1</v>
      </c>
      <c r="I152" s="46">
        <v>1</v>
      </c>
      <c r="J152" s="47">
        <v>-2.625</v>
      </c>
      <c r="K152" s="52">
        <v>-2.5</v>
      </c>
      <c r="L152" s="52">
        <v>-0.5</v>
      </c>
      <c r="M152" s="53">
        <v>165</v>
      </c>
      <c r="N152" s="37">
        <v>-2.75</v>
      </c>
      <c r="O152" s="37">
        <f t="shared" si="4"/>
        <v>-0.125</v>
      </c>
      <c r="P152" s="37">
        <v>26.09</v>
      </c>
      <c r="Q152" s="38">
        <v>26.04</v>
      </c>
      <c r="R152" s="38">
        <v>-0.05</v>
      </c>
      <c r="S152" s="48">
        <v>170</v>
      </c>
      <c r="T152" s="48">
        <v>170</v>
      </c>
      <c r="U152" s="48">
        <v>35</v>
      </c>
      <c r="V152" s="48">
        <v>24</v>
      </c>
    </row>
    <row r="153" ht="17.6" customHeight="1" spans="1:22">
      <c r="A153" s="32" t="str">
        <f>[1]取镜!C161</f>
        <v>石家庄人民眼科</v>
      </c>
      <c r="B153" s="32" t="str">
        <f>[1]取镜!D161</f>
        <v>尉晴希</v>
      </c>
      <c r="C153" s="32" t="str">
        <f>[1]取镜!E161</f>
        <v>女</v>
      </c>
      <c r="D153" s="33">
        <f>[1]取镜!F161</f>
        <v>41918</v>
      </c>
      <c r="E153" s="34" t="str">
        <f>[1]取镜!G161</f>
        <v>SJZ-GS-082</v>
      </c>
      <c r="F153" s="25" t="s">
        <v>39</v>
      </c>
      <c r="G153" s="35" t="s">
        <v>33</v>
      </c>
      <c r="H153" s="46">
        <v>1</v>
      </c>
      <c r="I153" s="46">
        <v>1</v>
      </c>
      <c r="J153" s="47">
        <v>-1.5</v>
      </c>
      <c r="K153" s="38">
        <v>-1.5</v>
      </c>
      <c r="L153" s="38">
        <v>0</v>
      </c>
      <c r="M153" s="43">
        <v>0</v>
      </c>
      <c r="N153" s="37">
        <v>-1.5</v>
      </c>
      <c r="O153" s="37">
        <f t="shared" si="4"/>
        <v>0</v>
      </c>
      <c r="P153" s="37">
        <v>23.85</v>
      </c>
      <c r="Q153" s="38">
        <v>23.98</v>
      </c>
      <c r="R153" s="38">
        <v>0.13</v>
      </c>
      <c r="S153" s="48">
        <v>170</v>
      </c>
      <c r="T153" s="48">
        <v>170</v>
      </c>
      <c r="U153" s="48">
        <v>60</v>
      </c>
      <c r="V153" s="41">
        <v>8</v>
      </c>
    </row>
    <row r="154" ht="17.6" customHeight="1" spans="1:22">
      <c r="A154" s="32" t="str">
        <f>[1]取镜!C162</f>
        <v>石家庄人民眼科</v>
      </c>
      <c r="B154" s="32">
        <f>[1]取镜!D162</f>
        <v>0</v>
      </c>
      <c r="C154" s="32">
        <f>[1]取镜!E162</f>
        <v>0</v>
      </c>
      <c r="D154" s="33">
        <f>[1]取镜!F162</f>
        <v>0</v>
      </c>
      <c r="E154" s="34">
        <f>[1]取镜!G162</f>
        <v>0</v>
      </c>
      <c r="F154" s="25" t="s">
        <v>39</v>
      </c>
      <c r="G154" s="35" t="s">
        <v>34</v>
      </c>
      <c r="H154" s="46">
        <v>1</v>
      </c>
      <c r="I154" s="46">
        <v>1</v>
      </c>
      <c r="J154" s="47">
        <v>-1.5</v>
      </c>
      <c r="K154" s="38">
        <v>-1.5</v>
      </c>
      <c r="L154" s="38">
        <v>0</v>
      </c>
      <c r="M154" s="43">
        <v>0</v>
      </c>
      <c r="N154" s="37">
        <v>-1.5</v>
      </c>
      <c r="O154" s="37">
        <f t="shared" si="4"/>
        <v>0</v>
      </c>
      <c r="P154" s="37">
        <v>23.84</v>
      </c>
      <c r="Q154" s="38">
        <v>24</v>
      </c>
      <c r="R154" s="38">
        <v>0.16</v>
      </c>
      <c r="S154" s="48">
        <v>170</v>
      </c>
      <c r="T154" s="48">
        <v>170</v>
      </c>
      <c r="U154" s="48">
        <v>45</v>
      </c>
      <c r="V154" s="48">
        <v>8</v>
      </c>
    </row>
    <row r="155" ht="17.6" customHeight="1" spans="1:22">
      <c r="A155" s="32" t="str">
        <f>[1]取镜!C163</f>
        <v>石家庄人民眼科</v>
      </c>
      <c r="B155" s="32" t="str">
        <f>[1]取镜!D163</f>
        <v>靳佩洁</v>
      </c>
      <c r="C155" s="32" t="str">
        <f>[1]取镜!E163</f>
        <v>女</v>
      </c>
      <c r="D155" s="33">
        <f>[1]取镜!F163</f>
        <v>42860</v>
      </c>
      <c r="E155" s="34" t="str">
        <f>[1]取镜!G163</f>
        <v>SJZ-GS-083</v>
      </c>
      <c r="F155" s="25" t="s">
        <v>39</v>
      </c>
      <c r="G155" s="35" t="s">
        <v>33</v>
      </c>
      <c r="H155" s="46">
        <v>1</v>
      </c>
      <c r="I155" s="46">
        <v>1</v>
      </c>
      <c r="J155" s="47">
        <v>-1.125</v>
      </c>
      <c r="K155" s="38">
        <v>-1</v>
      </c>
      <c r="L155" s="38">
        <v>-0.75</v>
      </c>
      <c r="M155" s="43">
        <v>5</v>
      </c>
      <c r="N155" s="37">
        <v>-1.375</v>
      </c>
      <c r="O155" s="37">
        <f t="shared" si="4"/>
        <v>-0.25</v>
      </c>
      <c r="P155" s="37">
        <v>22.47</v>
      </c>
      <c r="Q155" s="38">
        <v>22.65</v>
      </c>
      <c r="R155" s="38">
        <v>0.18</v>
      </c>
      <c r="S155" s="48">
        <v>170</v>
      </c>
      <c r="T155" s="48">
        <v>170</v>
      </c>
      <c r="U155" s="48">
        <v>80</v>
      </c>
      <c r="V155" s="48">
        <v>8</v>
      </c>
    </row>
    <row r="156" ht="17.6" customHeight="1" spans="1:22">
      <c r="A156" s="32" t="str">
        <f>[1]取镜!C164</f>
        <v>石家庄人民眼科</v>
      </c>
      <c r="B156" s="32">
        <f>[1]取镜!D164</f>
        <v>0</v>
      </c>
      <c r="C156" s="32">
        <f>[1]取镜!E164</f>
        <v>0</v>
      </c>
      <c r="D156" s="33">
        <f>[1]取镜!F164</f>
        <v>0</v>
      </c>
      <c r="E156" s="34">
        <f>[1]取镜!G164</f>
        <v>0</v>
      </c>
      <c r="F156" s="25" t="s">
        <v>39</v>
      </c>
      <c r="G156" s="35" t="s">
        <v>34</v>
      </c>
      <c r="H156" s="46">
        <v>1</v>
      </c>
      <c r="I156" s="46">
        <v>1</v>
      </c>
      <c r="J156" s="49">
        <v>-1.375</v>
      </c>
      <c r="K156" s="38">
        <v>-1.75</v>
      </c>
      <c r="L156" s="38">
        <v>-1</v>
      </c>
      <c r="M156" s="43">
        <v>180</v>
      </c>
      <c r="N156" s="49">
        <v>-2.25</v>
      </c>
      <c r="O156" s="37">
        <f t="shared" si="4"/>
        <v>-0.875</v>
      </c>
      <c r="P156" s="49">
        <v>22.67</v>
      </c>
      <c r="Q156" s="50">
        <v>22.87</v>
      </c>
      <c r="R156" s="50">
        <v>0.2</v>
      </c>
      <c r="S156" s="48">
        <v>170</v>
      </c>
      <c r="T156" s="48">
        <v>170</v>
      </c>
      <c r="U156" s="48">
        <v>120</v>
      </c>
      <c r="V156" s="48">
        <v>65</v>
      </c>
    </row>
    <row r="157" ht="17.6" customHeight="1" spans="1:22">
      <c r="A157" s="32" t="str">
        <f>[1]取镜!C165</f>
        <v>石家庄人民眼科</v>
      </c>
      <c r="B157" s="32" t="str">
        <f>[1]取镜!D165</f>
        <v>王麒硕</v>
      </c>
      <c r="C157" s="32" t="str">
        <f>[1]取镜!E165</f>
        <v>男</v>
      </c>
      <c r="D157" s="33">
        <f>[1]取镜!F165</f>
        <v>41000</v>
      </c>
      <c r="E157" s="34" t="str">
        <f>[1]取镜!G165</f>
        <v>SJZ-GS-084</v>
      </c>
      <c r="F157" s="25" t="s">
        <v>45</v>
      </c>
      <c r="G157" s="35" t="s">
        <v>33</v>
      </c>
      <c r="H157" s="46">
        <v>1</v>
      </c>
      <c r="I157" s="46">
        <v>1</v>
      </c>
      <c r="J157" s="47">
        <v>-3.25</v>
      </c>
      <c r="K157" s="38">
        <v>-2.75</v>
      </c>
      <c r="L157" s="38">
        <v>-0.75</v>
      </c>
      <c r="M157" s="43">
        <v>180</v>
      </c>
      <c r="N157" s="37">
        <v>-3.125</v>
      </c>
      <c r="O157" s="37">
        <f t="shared" si="4"/>
        <v>0.125</v>
      </c>
      <c r="P157" s="37">
        <v>26.61</v>
      </c>
      <c r="Q157" s="38">
        <v>26.55</v>
      </c>
      <c r="R157" s="38">
        <v>-0.06</v>
      </c>
      <c r="S157" s="48">
        <v>170</v>
      </c>
      <c r="T157" s="48">
        <v>120</v>
      </c>
      <c r="U157" s="48">
        <v>25</v>
      </c>
      <c r="V157" s="48">
        <v>15</v>
      </c>
    </row>
    <row r="158" ht="17.6" customHeight="1" spans="1:22">
      <c r="A158" s="32" t="str">
        <f>[1]取镜!C166</f>
        <v>石家庄人民眼科</v>
      </c>
      <c r="B158" s="32">
        <f>[1]取镜!D166</f>
        <v>0</v>
      </c>
      <c r="C158" s="32">
        <f>[1]取镜!E166</f>
        <v>0</v>
      </c>
      <c r="D158" s="33">
        <f>[1]取镜!F166</f>
        <v>0</v>
      </c>
      <c r="E158" s="34">
        <f>[1]取镜!G166</f>
        <v>0</v>
      </c>
      <c r="F158" s="25" t="s">
        <v>45</v>
      </c>
      <c r="G158" s="35" t="s">
        <v>34</v>
      </c>
      <c r="H158" s="46">
        <v>1</v>
      </c>
      <c r="I158" s="46">
        <v>1</v>
      </c>
      <c r="J158" s="47">
        <v>-3.625</v>
      </c>
      <c r="K158" s="38">
        <v>-3.25</v>
      </c>
      <c r="L158" s="38">
        <v>-1.25</v>
      </c>
      <c r="M158" s="43">
        <v>165</v>
      </c>
      <c r="N158" s="37">
        <v>-3.875</v>
      </c>
      <c r="O158" s="37">
        <f t="shared" ref="O158:O192" si="5">N158-J158</f>
        <v>-0.25</v>
      </c>
      <c r="P158" s="37">
        <v>26.74</v>
      </c>
      <c r="Q158" s="38">
        <v>26.76</v>
      </c>
      <c r="R158" s="38">
        <v>0.02</v>
      </c>
      <c r="S158" s="48">
        <v>170</v>
      </c>
      <c r="T158" s="48">
        <v>170</v>
      </c>
      <c r="U158" s="48">
        <v>35</v>
      </c>
      <c r="V158" s="48">
        <v>8</v>
      </c>
    </row>
    <row r="159" ht="17.6" customHeight="1" spans="1:22">
      <c r="A159" s="32" t="str">
        <f>[1]取镜!C167</f>
        <v>石家庄人民眼科</v>
      </c>
      <c r="B159" s="32" t="str">
        <f>[1]取镜!D167</f>
        <v>李恒宇</v>
      </c>
      <c r="C159" s="32" t="str">
        <f>[1]取镜!E167</f>
        <v>男</v>
      </c>
      <c r="D159" s="33">
        <f>[1]取镜!F167</f>
        <v>43571</v>
      </c>
      <c r="E159" s="34" t="str">
        <f>[1]取镜!G167</f>
        <v>SJZ-GS-085</v>
      </c>
      <c r="F159" s="25" t="s">
        <v>45</v>
      </c>
      <c r="G159" s="35" t="s">
        <v>33</v>
      </c>
      <c r="H159" s="36">
        <v>1</v>
      </c>
      <c r="I159" s="36">
        <v>1</v>
      </c>
      <c r="J159" s="37">
        <v>-2</v>
      </c>
      <c r="K159" s="38">
        <v>-1.25</v>
      </c>
      <c r="L159" s="38">
        <v>-0.75</v>
      </c>
      <c r="M159" s="43">
        <v>5</v>
      </c>
      <c r="N159" s="37">
        <v>-1.625</v>
      </c>
      <c r="O159" s="37">
        <f t="shared" si="5"/>
        <v>0.375</v>
      </c>
      <c r="P159" s="37">
        <v>23.45</v>
      </c>
      <c r="Q159" s="38">
        <v>23.52</v>
      </c>
      <c r="R159" s="38">
        <v>0.07</v>
      </c>
      <c r="S159" s="48">
        <v>100</v>
      </c>
      <c r="T159" s="48">
        <v>170</v>
      </c>
      <c r="U159" s="48">
        <v>170</v>
      </c>
      <c r="V159" s="48">
        <v>0</v>
      </c>
    </row>
    <row r="160" ht="17.6" customHeight="1" spans="1:22">
      <c r="A160" s="32" t="str">
        <f>[1]取镜!C168</f>
        <v>石家庄人民眼科</v>
      </c>
      <c r="B160" s="32">
        <f>[1]取镜!D168</f>
        <v>0</v>
      </c>
      <c r="C160" s="32">
        <f>[1]取镜!E168</f>
        <v>0</v>
      </c>
      <c r="D160" s="33">
        <f>[1]取镜!F168</f>
        <v>0</v>
      </c>
      <c r="E160" s="34">
        <f>[1]取镜!G168</f>
        <v>0</v>
      </c>
      <c r="F160" s="25" t="s">
        <v>45</v>
      </c>
      <c r="G160" s="35" t="s">
        <v>34</v>
      </c>
      <c r="H160" s="36">
        <v>1</v>
      </c>
      <c r="I160" s="36">
        <v>1</v>
      </c>
      <c r="J160" s="37">
        <v>-2.25</v>
      </c>
      <c r="K160" s="38">
        <v>-1.25</v>
      </c>
      <c r="L160" s="38">
        <v>-1.25</v>
      </c>
      <c r="M160" s="43">
        <v>175</v>
      </c>
      <c r="N160" s="37">
        <v>-1.875</v>
      </c>
      <c r="O160" s="37">
        <f t="shared" si="5"/>
        <v>0.375</v>
      </c>
      <c r="P160" s="37">
        <v>23.63</v>
      </c>
      <c r="Q160" s="38">
        <v>23.7</v>
      </c>
      <c r="R160" s="38">
        <v>0.07</v>
      </c>
      <c r="S160" s="48">
        <v>100</v>
      </c>
      <c r="T160" s="48">
        <v>170</v>
      </c>
      <c r="U160" s="48">
        <v>170</v>
      </c>
      <c r="V160" s="48">
        <v>0</v>
      </c>
    </row>
    <row r="161" ht="17.6" customHeight="1" spans="1:22">
      <c r="A161" s="32" t="str">
        <f>[1]取镜!C169</f>
        <v>石家庄人民眼科</v>
      </c>
      <c r="B161" s="32" t="str">
        <f>[1]取镜!D169</f>
        <v>桑欣雨</v>
      </c>
      <c r="C161" s="32" t="str">
        <f>[1]取镜!E169</f>
        <v>女</v>
      </c>
      <c r="D161" s="33">
        <f>[1]取镜!F169</f>
        <v>42062</v>
      </c>
      <c r="E161" s="34" t="str">
        <f>[1]取镜!G169</f>
        <v>SJZ-GS-086</v>
      </c>
      <c r="F161" s="25" t="s">
        <v>39</v>
      </c>
      <c r="G161" s="35" t="s">
        <v>33</v>
      </c>
      <c r="H161" s="46">
        <v>1</v>
      </c>
      <c r="I161" s="46">
        <v>1</v>
      </c>
      <c r="J161" s="47">
        <v>-1</v>
      </c>
      <c r="K161" s="38">
        <v>-0.75</v>
      </c>
      <c r="L161" s="38">
        <v>-0.25</v>
      </c>
      <c r="M161" s="43">
        <v>175</v>
      </c>
      <c r="N161" s="37">
        <v>-0.875</v>
      </c>
      <c r="O161" s="37">
        <f t="shared" si="5"/>
        <v>0.125</v>
      </c>
      <c r="P161" s="37">
        <v>22.75</v>
      </c>
      <c r="Q161" s="38">
        <v>22.8</v>
      </c>
      <c r="R161" s="38">
        <v>0.05</v>
      </c>
      <c r="S161" s="48">
        <v>170</v>
      </c>
      <c r="T161" s="48">
        <v>170</v>
      </c>
      <c r="U161" s="48">
        <v>25</v>
      </c>
      <c r="V161" s="48">
        <v>15</v>
      </c>
    </row>
    <row r="162" ht="17.6" customHeight="1" spans="1:22">
      <c r="A162" s="32" t="str">
        <f>[1]取镜!C170</f>
        <v>石家庄人民眼科</v>
      </c>
      <c r="B162" s="32">
        <f>[1]取镜!D170</f>
        <v>0</v>
      </c>
      <c r="C162" s="32">
        <f>[1]取镜!E170</f>
        <v>0</v>
      </c>
      <c r="D162" s="33">
        <f>[1]取镜!F170</f>
        <v>0</v>
      </c>
      <c r="E162" s="34">
        <f>[1]取镜!G170</f>
        <v>0</v>
      </c>
      <c r="F162" s="25" t="s">
        <v>39</v>
      </c>
      <c r="G162" s="35" t="s">
        <v>34</v>
      </c>
      <c r="H162" s="46">
        <v>1</v>
      </c>
      <c r="I162" s="46">
        <v>1</v>
      </c>
      <c r="J162" s="47">
        <v>-0.625</v>
      </c>
      <c r="K162" s="38">
        <v>-0.75</v>
      </c>
      <c r="L162" s="38">
        <v>-0.5</v>
      </c>
      <c r="M162" s="43">
        <v>5</v>
      </c>
      <c r="N162" s="37">
        <v>-1</v>
      </c>
      <c r="O162" s="37">
        <f t="shared" si="5"/>
        <v>-0.375</v>
      </c>
      <c r="P162" s="37">
        <v>22.6</v>
      </c>
      <c r="Q162" s="38">
        <v>22.79</v>
      </c>
      <c r="R162" s="38">
        <v>0.19</v>
      </c>
      <c r="S162" s="48">
        <v>170</v>
      </c>
      <c r="T162" s="48">
        <v>170</v>
      </c>
      <c r="U162" s="48">
        <v>35</v>
      </c>
      <c r="V162" s="48">
        <v>15</v>
      </c>
    </row>
    <row r="163" ht="17.6" customHeight="1" spans="1:22">
      <c r="A163" s="32" t="str">
        <f>[1]取镜!C171</f>
        <v>石家庄人民眼科</v>
      </c>
      <c r="B163" s="32" t="str">
        <f>[1]取镜!D171</f>
        <v>周语晗</v>
      </c>
      <c r="C163" s="32" t="str">
        <f>[1]取镜!E171</f>
        <v>女</v>
      </c>
      <c r="D163" s="33">
        <f>[1]取镜!F171</f>
        <v>41200</v>
      </c>
      <c r="E163" s="34" t="str">
        <f>[1]取镜!G171</f>
        <v>SJZ-GS-087</v>
      </c>
      <c r="F163" s="25" t="s">
        <v>45</v>
      </c>
      <c r="G163" s="35" t="s">
        <v>33</v>
      </c>
      <c r="H163" s="36">
        <v>1</v>
      </c>
      <c r="I163" s="36">
        <v>1</v>
      </c>
      <c r="J163" s="37">
        <v>-3.5</v>
      </c>
      <c r="K163" s="38">
        <v>-3.5</v>
      </c>
      <c r="L163" s="38">
        <v>0</v>
      </c>
      <c r="M163" s="43">
        <v>0</v>
      </c>
      <c r="N163" s="37">
        <v>-3.5</v>
      </c>
      <c r="O163" s="37">
        <f t="shared" si="5"/>
        <v>0</v>
      </c>
      <c r="P163" s="37">
        <v>25.06</v>
      </c>
      <c r="Q163" s="52"/>
      <c r="R163" s="52"/>
      <c r="S163" s="48">
        <v>170</v>
      </c>
      <c r="T163" s="48">
        <v>120</v>
      </c>
      <c r="U163" s="48">
        <v>120</v>
      </c>
      <c r="V163" s="48">
        <v>6</v>
      </c>
    </row>
    <row r="164" ht="17.6" customHeight="1" spans="1:22">
      <c r="A164" s="32" t="str">
        <f>[1]取镜!C172</f>
        <v>石家庄人民眼科</v>
      </c>
      <c r="B164" s="32">
        <f>[1]取镜!D172</f>
        <v>0</v>
      </c>
      <c r="C164" s="32">
        <f>[1]取镜!E172</f>
        <v>0</v>
      </c>
      <c r="D164" s="33">
        <f>[1]取镜!F172</f>
        <v>0</v>
      </c>
      <c r="E164" s="34">
        <f>[1]取镜!G172</f>
        <v>0</v>
      </c>
      <c r="F164" s="25" t="s">
        <v>45</v>
      </c>
      <c r="G164" s="35" t="s">
        <v>34</v>
      </c>
      <c r="H164" s="36">
        <v>1</v>
      </c>
      <c r="I164" s="36">
        <v>1</v>
      </c>
      <c r="J164" s="37">
        <v>-3</v>
      </c>
      <c r="K164" s="38">
        <v>-3</v>
      </c>
      <c r="L164" s="38">
        <v>-1</v>
      </c>
      <c r="M164" s="43">
        <v>160</v>
      </c>
      <c r="N164" s="37">
        <v>-3.5</v>
      </c>
      <c r="O164" s="37">
        <f t="shared" si="5"/>
        <v>-0.5</v>
      </c>
      <c r="P164" s="37">
        <v>24.88</v>
      </c>
      <c r="Q164" s="52"/>
      <c r="R164" s="52"/>
      <c r="S164" s="48">
        <v>170</v>
      </c>
      <c r="T164" s="48">
        <v>170</v>
      </c>
      <c r="U164" s="48">
        <v>60</v>
      </c>
      <c r="V164" s="48">
        <v>8</v>
      </c>
    </row>
    <row r="165" ht="17.6" customHeight="1" spans="1:22">
      <c r="A165" s="32" t="str">
        <f>[1]取镜!C173</f>
        <v>石家庄人民眼科</v>
      </c>
      <c r="B165" s="32" t="str">
        <f>[1]取镜!D173</f>
        <v>朱谷雨</v>
      </c>
      <c r="C165" s="32" t="str">
        <f>[1]取镜!E173</f>
        <v>女</v>
      </c>
      <c r="D165" s="33">
        <f>[1]取镜!F173</f>
        <v>42479</v>
      </c>
      <c r="E165" s="34" t="str">
        <f>[1]取镜!G173</f>
        <v>SJZ-GS-088</v>
      </c>
      <c r="F165" s="25" t="s">
        <v>45</v>
      </c>
      <c r="G165" s="35" t="s">
        <v>33</v>
      </c>
      <c r="H165" s="46">
        <v>1</v>
      </c>
      <c r="I165" s="46">
        <v>1</v>
      </c>
      <c r="J165" s="47">
        <v>-1.625</v>
      </c>
      <c r="K165" s="38">
        <v>-1.25</v>
      </c>
      <c r="L165" s="38">
        <v>-0.5</v>
      </c>
      <c r="M165" s="43">
        <v>170</v>
      </c>
      <c r="N165" s="37">
        <v>-1.5</v>
      </c>
      <c r="O165" s="37">
        <f t="shared" si="5"/>
        <v>0.125</v>
      </c>
      <c r="P165" s="37">
        <v>23.28</v>
      </c>
      <c r="Q165" s="38">
        <v>23.21</v>
      </c>
      <c r="R165" s="38">
        <v>-0.07</v>
      </c>
      <c r="S165" s="48">
        <v>170</v>
      </c>
      <c r="T165" s="48">
        <v>80</v>
      </c>
      <c r="U165" s="48">
        <v>120</v>
      </c>
      <c r="V165" s="48">
        <v>65</v>
      </c>
    </row>
    <row r="166" ht="17.6" customHeight="1" spans="1:22">
      <c r="A166" s="32" t="str">
        <f>[1]取镜!C174</f>
        <v>石家庄人民眼科</v>
      </c>
      <c r="B166" s="32">
        <f>[1]取镜!D174</f>
        <v>0</v>
      </c>
      <c r="C166" s="32">
        <f>[1]取镜!E174</f>
        <v>0</v>
      </c>
      <c r="D166" s="33">
        <f>[1]取镜!F174</f>
        <v>0</v>
      </c>
      <c r="E166" s="34">
        <f>[1]取镜!G174</f>
        <v>0</v>
      </c>
      <c r="F166" s="25" t="s">
        <v>45</v>
      </c>
      <c r="G166" s="35" t="s">
        <v>34</v>
      </c>
      <c r="H166" s="46">
        <v>1</v>
      </c>
      <c r="I166" s="46">
        <v>1</v>
      </c>
      <c r="J166" s="47">
        <v>-1.5</v>
      </c>
      <c r="K166" s="38">
        <v>-1.25</v>
      </c>
      <c r="L166" s="38">
        <v>-0.5</v>
      </c>
      <c r="M166" s="43">
        <v>170</v>
      </c>
      <c r="N166" s="37">
        <v>-1.5</v>
      </c>
      <c r="O166" s="37">
        <f t="shared" si="5"/>
        <v>0</v>
      </c>
      <c r="P166" s="37">
        <v>23.45</v>
      </c>
      <c r="Q166" s="38">
        <v>23.47</v>
      </c>
      <c r="R166" s="38">
        <v>0.02</v>
      </c>
      <c r="S166" s="48">
        <v>170</v>
      </c>
      <c r="T166" s="48">
        <v>120</v>
      </c>
      <c r="U166" s="48">
        <v>35</v>
      </c>
      <c r="V166" s="48">
        <v>4</v>
      </c>
    </row>
    <row r="167" ht="17.6" customHeight="1" spans="1:22">
      <c r="A167" s="32" t="str">
        <f>[1]取镜!C175</f>
        <v>石家庄人民眼科</v>
      </c>
      <c r="B167" s="32" t="str">
        <f>[1]取镜!D175</f>
        <v>齐天培</v>
      </c>
      <c r="C167" s="32" t="str">
        <f>[1]取镜!E175</f>
        <v>男</v>
      </c>
      <c r="D167" s="33">
        <f>[1]取镜!F175</f>
        <v>42866</v>
      </c>
      <c r="E167" s="34" t="str">
        <f>[1]取镜!G175</f>
        <v>SJG-GS-089</v>
      </c>
      <c r="F167" s="25" t="s">
        <v>39</v>
      </c>
      <c r="G167" s="35" t="s">
        <v>33</v>
      </c>
      <c r="H167" s="36">
        <v>1</v>
      </c>
      <c r="I167" s="36">
        <v>1</v>
      </c>
      <c r="J167" s="37">
        <v>-1.125</v>
      </c>
      <c r="K167" s="38">
        <v>-0.75</v>
      </c>
      <c r="L167" s="38">
        <v>-1</v>
      </c>
      <c r="M167" s="43">
        <v>165</v>
      </c>
      <c r="N167" s="37">
        <v>-1.25</v>
      </c>
      <c r="O167" s="37">
        <f t="shared" si="5"/>
        <v>-0.125</v>
      </c>
      <c r="P167" s="37">
        <v>24.58</v>
      </c>
      <c r="Q167" s="38">
        <v>24.67</v>
      </c>
      <c r="R167" s="38">
        <v>0.09</v>
      </c>
      <c r="S167" s="48">
        <v>170</v>
      </c>
      <c r="T167" s="48">
        <v>170</v>
      </c>
      <c r="U167" s="48">
        <v>120</v>
      </c>
      <c r="V167" s="48">
        <v>65</v>
      </c>
    </row>
    <row r="168" ht="17.6" customHeight="1" spans="1:22">
      <c r="A168" s="32" t="str">
        <f>[1]取镜!C176</f>
        <v>石家庄人民眼科</v>
      </c>
      <c r="B168" s="32">
        <f>[1]取镜!D176</f>
        <v>0</v>
      </c>
      <c r="C168" s="32">
        <f>[1]取镜!E176</f>
        <v>0</v>
      </c>
      <c r="D168" s="33">
        <f>[1]取镜!F176</f>
        <v>0</v>
      </c>
      <c r="E168" s="34">
        <f>[1]取镜!G176</f>
        <v>0</v>
      </c>
      <c r="F168" s="25" t="s">
        <v>39</v>
      </c>
      <c r="G168" s="35" t="s">
        <v>34</v>
      </c>
      <c r="H168" s="36">
        <v>1</v>
      </c>
      <c r="I168" s="36">
        <v>1</v>
      </c>
      <c r="J168" s="37">
        <v>-1.5</v>
      </c>
      <c r="K168" s="38">
        <v>-1</v>
      </c>
      <c r="L168" s="38">
        <v>-0.75</v>
      </c>
      <c r="M168" s="43">
        <v>5</v>
      </c>
      <c r="N168" s="37">
        <v>-1.375</v>
      </c>
      <c r="O168" s="37">
        <f t="shared" si="5"/>
        <v>0.125</v>
      </c>
      <c r="P168" s="37">
        <v>24.94</v>
      </c>
      <c r="Q168" s="38">
        <v>25.05</v>
      </c>
      <c r="R168" s="38">
        <v>0.11</v>
      </c>
      <c r="S168" s="48">
        <v>170</v>
      </c>
      <c r="T168" s="48">
        <v>170</v>
      </c>
      <c r="U168" s="48">
        <v>60</v>
      </c>
      <c r="V168" s="48">
        <v>65</v>
      </c>
    </row>
    <row r="169" ht="17.6" customHeight="1" spans="1:22">
      <c r="A169" s="32" t="str">
        <f>[1]取镜!C177</f>
        <v>石家庄人民眼科</v>
      </c>
      <c r="B169" s="32" t="str">
        <f>[1]取镜!D177</f>
        <v>张懿童</v>
      </c>
      <c r="C169" s="32" t="str">
        <f>[1]取镜!E177</f>
        <v>男</v>
      </c>
      <c r="D169" s="33">
        <f>[1]取镜!F177</f>
        <v>42007</v>
      </c>
      <c r="E169" s="34" t="str">
        <f>[1]取镜!G177</f>
        <v>SJZ-GS-090</v>
      </c>
      <c r="F169" s="25" t="s">
        <v>48</v>
      </c>
      <c r="G169" s="35" t="s">
        <v>33</v>
      </c>
      <c r="H169" s="36">
        <v>1</v>
      </c>
      <c r="I169" s="36">
        <v>1</v>
      </c>
      <c r="J169" s="37">
        <v>-2.125</v>
      </c>
      <c r="K169" s="38">
        <v>-2</v>
      </c>
      <c r="L169" s="38">
        <v>-0.75</v>
      </c>
      <c r="M169" s="43">
        <v>180</v>
      </c>
      <c r="N169" s="37">
        <v>-2.375</v>
      </c>
      <c r="O169" s="37">
        <f t="shared" si="5"/>
        <v>-0.25</v>
      </c>
      <c r="P169" s="37">
        <v>25.18</v>
      </c>
      <c r="Q169" s="38">
        <v>25.4</v>
      </c>
      <c r="R169" s="38">
        <v>0.22</v>
      </c>
      <c r="S169" s="48">
        <v>170</v>
      </c>
      <c r="T169" s="48">
        <v>170</v>
      </c>
      <c r="U169" s="48">
        <v>45</v>
      </c>
      <c r="V169" s="48">
        <v>8</v>
      </c>
    </row>
    <row r="170" ht="17.6" customHeight="1" spans="1:22">
      <c r="A170" s="32" t="str">
        <f>[1]取镜!C178</f>
        <v>石家庄人民眼科</v>
      </c>
      <c r="B170" s="32">
        <f>[1]取镜!D178</f>
        <v>0</v>
      </c>
      <c r="C170" s="32">
        <f>[1]取镜!E178</f>
        <v>0</v>
      </c>
      <c r="D170" s="33">
        <f>[1]取镜!F178</f>
        <v>0</v>
      </c>
      <c r="E170" s="34">
        <f>[1]取镜!G178</f>
        <v>0</v>
      </c>
      <c r="F170" s="25" t="s">
        <v>48</v>
      </c>
      <c r="G170" s="35" t="s">
        <v>34</v>
      </c>
      <c r="H170" s="36">
        <v>1</v>
      </c>
      <c r="I170" s="36">
        <v>1</v>
      </c>
      <c r="J170" s="37">
        <v>-2.125</v>
      </c>
      <c r="K170" s="38">
        <v>-2</v>
      </c>
      <c r="L170" s="38">
        <v>-0.75</v>
      </c>
      <c r="M170" s="43">
        <v>170</v>
      </c>
      <c r="N170" s="37">
        <v>-2.375</v>
      </c>
      <c r="O170" s="37">
        <f t="shared" si="5"/>
        <v>-0.25</v>
      </c>
      <c r="P170" s="37">
        <v>25.08</v>
      </c>
      <c r="Q170" s="38">
        <v>25.3</v>
      </c>
      <c r="R170" s="38">
        <v>0.22</v>
      </c>
      <c r="S170" s="48">
        <v>170</v>
      </c>
      <c r="T170" s="48">
        <v>170</v>
      </c>
      <c r="U170" s="48">
        <v>120</v>
      </c>
      <c r="V170" s="48">
        <v>6</v>
      </c>
    </row>
    <row r="171" ht="17.6" customHeight="1" spans="1:22">
      <c r="A171" s="32" t="str">
        <f>[1]取镜!C179</f>
        <v>石家庄人民眼科</v>
      </c>
      <c r="B171" s="32" t="str">
        <f>[1]取镜!D179</f>
        <v>刘宸睿</v>
      </c>
      <c r="C171" s="32" t="str">
        <f>[1]取镜!E179</f>
        <v>女</v>
      </c>
      <c r="D171" s="33">
        <f>[1]取镜!F179</f>
        <v>43372</v>
      </c>
      <c r="E171" s="34" t="str">
        <f>[1]取镜!G179</f>
        <v>SJZ-GS-091</v>
      </c>
      <c r="F171" s="25" t="s">
        <v>45</v>
      </c>
      <c r="G171" s="35" t="s">
        <v>33</v>
      </c>
      <c r="H171" s="36">
        <v>1</v>
      </c>
      <c r="I171" s="36">
        <v>1</v>
      </c>
      <c r="J171" s="37">
        <v>-1</v>
      </c>
      <c r="K171" s="38">
        <v>-0.75</v>
      </c>
      <c r="L171" s="38">
        <v>-0.5</v>
      </c>
      <c r="M171" s="43">
        <v>175</v>
      </c>
      <c r="N171" s="37">
        <v>-1</v>
      </c>
      <c r="O171" s="37">
        <f t="shared" si="5"/>
        <v>0</v>
      </c>
      <c r="P171" s="37">
        <v>24.2</v>
      </c>
      <c r="Q171" s="38">
        <v>24.3</v>
      </c>
      <c r="R171" s="38">
        <v>0.1</v>
      </c>
      <c r="S171" s="48">
        <v>170</v>
      </c>
      <c r="T171" s="48">
        <v>170</v>
      </c>
      <c r="U171" s="48">
        <v>80</v>
      </c>
      <c r="V171" s="48">
        <v>65</v>
      </c>
    </row>
    <row r="172" ht="17.6" customHeight="1" spans="1:22">
      <c r="A172" s="32" t="str">
        <f>[1]取镜!C180</f>
        <v>石家庄人民眼科</v>
      </c>
      <c r="B172" s="32">
        <f>[1]取镜!D180</f>
        <v>0</v>
      </c>
      <c r="C172" s="32">
        <f>[1]取镜!E180</f>
        <v>0</v>
      </c>
      <c r="D172" s="33">
        <f>[1]取镜!F180</f>
        <v>0</v>
      </c>
      <c r="E172" s="34">
        <f>[1]取镜!G180</f>
        <v>0</v>
      </c>
      <c r="F172" s="25" t="s">
        <v>45</v>
      </c>
      <c r="G172" s="35" t="s">
        <v>34</v>
      </c>
      <c r="H172" s="36">
        <v>1</v>
      </c>
      <c r="I172" s="36">
        <v>1</v>
      </c>
      <c r="J172" s="37">
        <v>-1.125</v>
      </c>
      <c r="K172" s="38">
        <v>-0.5</v>
      </c>
      <c r="L172" s="38">
        <v>-1</v>
      </c>
      <c r="M172" s="43">
        <v>165</v>
      </c>
      <c r="N172" s="37">
        <v>-1</v>
      </c>
      <c r="O172" s="37">
        <f t="shared" si="5"/>
        <v>0.125</v>
      </c>
      <c r="P172" s="37">
        <v>24.21</v>
      </c>
      <c r="Q172" s="38">
        <v>24.31</v>
      </c>
      <c r="R172" s="38">
        <v>0.1</v>
      </c>
      <c r="S172" s="48">
        <v>170</v>
      </c>
      <c r="T172" s="48">
        <v>170</v>
      </c>
      <c r="U172" s="48">
        <v>120</v>
      </c>
      <c r="V172" s="48">
        <v>35</v>
      </c>
    </row>
    <row r="173" ht="17.6" customHeight="1" spans="1:22">
      <c r="A173" s="32" t="str">
        <f>[1]取镜!C181</f>
        <v>石家庄人民眼科</v>
      </c>
      <c r="B173" s="32" t="str">
        <f>[1]取镜!D181</f>
        <v>刘昊泽</v>
      </c>
      <c r="C173" s="32" t="str">
        <f>[1]取镜!E181</f>
        <v>男</v>
      </c>
      <c r="D173" s="33">
        <f>[1]取镜!F181</f>
        <v>43572</v>
      </c>
      <c r="E173" s="34" t="str">
        <f>[1]取镜!G181</f>
        <v>SJZ-GS-092</v>
      </c>
      <c r="F173" s="25" t="s">
        <v>39</v>
      </c>
      <c r="G173" s="35" t="s">
        <v>33</v>
      </c>
      <c r="H173" s="36">
        <v>1</v>
      </c>
      <c r="I173" s="36">
        <v>1</v>
      </c>
      <c r="J173" s="37">
        <v>-0.56</v>
      </c>
      <c r="K173" s="38">
        <v>-0.75</v>
      </c>
      <c r="L173" s="38">
        <v>-0.5</v>
      </c>
      <c r="M173" s="43">
        <v>150</v>
      </c>
      <c r="N173" s="37">
        <v>-1</v>
      </c>
      <c r="O173" s="37">
        <f t="shared" si="5"/>
        <v>-0.44</v>
      </c>
      <c r="P173" s="37">
        <v>23.06</v>
      </c>
      <c r="Q173" s="38">
        <v>23.09</v>
      </c>
      <c r="R173" s="38">
        <v>0.03</v>
      </c>
      <c r="S173" s="48">
        <v>170</v>
      </c>
      <c r="T173" s="48">
        <v>170</v>
      </c>
      <c r="U173" s="48">
        <v>0</v>
      </c>
      <c r="V173" s="48">
        <v>0</v>
      </c>
    </row>
    <row r="174" ht="17.6" customHeight="1" spans="1:22">
      <c r="A174" s="32" t="str">
        <f>[1]取镜!C182</f>
        <v>石家庄人民眼科</v>
      </c>
      <c r="B174" s="32">
        <f>[1]取镜!D182</f>
        <v>0</v>
      </c>
      <c r="C174" s="32">
        <f>[1]取镜!E182</f>
        <v>0</v>
      </c>
      <c r="D174" s="33">
        <f>[1]取镜!F182</f>
        <v>0</v>
      </c>
      <c r="E174" s="34">
        <f>[1]取镜!G182</f>
        <v>0</v>
      </c>
      <c r="F174" s="25" t="s">
        <v>39</v>
      </c>
      <c r="G174" s="35" t="s">
        <v>34</v>
      </c>
      <c r="H174" s="36">
        <v>1</v>
      </c>
      <c r="I174" s="36">
        <v>1</v>
      </c>
      <c r="J174" s="37">
        <v>-0.805</v>
      </c>
      <c r="K174" s="38">
        <v>-0.5</v>
      </c>
      <c r="L174" s="38">
        <v>-0.5</v>
      </c>
      <c r="M174" s="43">
        <v>170</v>
      </c>
      <c r="N174" s="37">
        <v>-0.75</v>
      </c>
      <c r="O174" s="37">
        <f t="shared" si="5"/>
        <v>0.055</v>
      </c>
      <c r="P174" s="37">
        <v>23.13</v>
      </c>
      <c r="Q174" s="38">
        <v>23.19</v>
      </c>
      <c r="R174" s="38">
        <v>0.06</v>
      </c>
      <c r="S174" s="48">
        <v>170</v>
      </c>
      <c r="T174" s="48">
        <v>170</v>
      </c>
      <c r="U174" s="48">
        <v>0</v>
      </c>
      <c r="V174" s="48">
        <v>0</v>
      </c>
    </row>
    <row r="175" ht="17.6" customHeight="1" spans="1:22">
      <c r="A175" s="32" t="str">
        <f>[1]取镜!C183</f>
        <v>石家庄人民眼科</v>
      </c>
      <c r="B175" s="32" t="str">
        <f>[1]取镜!D183</f>
        <v>齐政涵</v>
      </c>
      <c r="C175" s="32" t="str">
        <f>[1]取镜!E183</f>
        <v>男</v>
      </c>
      <c r="D175" s="33">
        <f>[1]取镜!F183</f>
        <v>41536</v>
      </c>
      <c r="E175" s="34" t="str">
        <f>[1]取镜!G183</f>
        <v>SJZ-GS-093</v>
      </c>
      <c r="F175" s="25" t="s">
        <v>39</v>
      </c>
      <c r="G175" s="35" t="s">
        <v>33</v>
      </c>
      <c r="H175" s="36">
        <v>1</v>
      </c>
      <c r="I175" s="36">
        <v>1</v>
      </c>
      <c r="J175" s="37">
        <v>-2.625</v>
      </c>
      <c r="K175" s="38">
        <v>-2.5</v>
      </c>
      <c r="L175" s="38">
        <v>-1</v>
      </c>
      <c r="M175" s="43">
        <v>5</v>
      </c>
      <c r="N175" s="37">
        <v>-3</v>
      </c>
      <c r="O175" s="37">
        <f t="shared" si="5"/>
        <v>-0.375</v>
      </c>
      <c r="P175" s="37">
        <v>25.67</v>
      </c>
      <c r="Q175" s="38">
        <v>25.65</v>
      </c>
      <c r="R175" s="38">
        <v>-0.02</v>
      </c>
      <c r="S175" s="48">
        <v>170</v>
      </c>
      <c r="T175" s="48">
        <v>170</v>
      </c>
      <c r="U175" s="48">
        <v>80</v>
      </c>
      <c r="V175" s="48">
        <v>45</v>
      </c>
    </row>
    <row r="176" ht="17.6" customHeight="1" spans="1:22">
      <c r="A176" s="32" t="str">
        <f>[1]取镜!C184</f>
        <v>石家庄人民眼科</v>
      </c>
      <c r="B176" s="32">
        <f>[1]取镜!D184</f>
        <v>0</v>
      </c>
      <c r="C176" s="32">
        <f>[1]取镜!E184</f>
        <v>0</v>
      </c>
      <c r="D176" s="33">
        <f>[1]取镜!F184</f>
        <v>0</v>
      </c>
      <c r="E176" s="34">
        <f>[1]取镜!G184</f>
        <v>0</v>
      </c>
      <c r="F176" s="25" t="s">
        <v>39</v>
      </c>
      <c r="G176" s="35" t="s">
        <v>34</v>
      </c>
      <c r="H176" s="36">
        <v>1</v>
      </c>
      <c r="I176" s="36">
        <v>1</v>
      </c>
      <c r="J176" s="37">
        <v>-1.5</v>
      </c>
      <c r="K176" s="38">
        <v>-1.25</v>
      </c>
      <c r="L176" s="38">
        <v>-1.25</v>
      </c>
      <c r="M176" s="43">
        <v>165</v>
      </c>
      <c r="N176" s="37">
        <v>-1.875</v>
      </c>
      <c r="O176" s="37">
        <f t="shared" si="5"/>
        <v>-0.375</v>
      </c>
      <c r="P176" s="37">
        <v>25.03</v>
      </c>
      <c r="Q176" s="38">
        <v>25.04</v>
      </c>
      <c r="R176" s="38">
        <v>0.01</v>
      </c>
      <c r="S176" s="48">
        <v>170</v>
      </c>
      <c r="T176" s="48">
        <v>170</v>
      </c>
      <c r="U176" s="48">
        <v>60</v>
      </c>
      <c r="V176" s="48">
        <v>25</v>
      </c>
    </row>
    <row r="177" ht="17.6" customHeight="1" spans="1:22">
      <c r="A177" s="32" t="str">
        <f>[1]取镜!C185</f>
        <v>石家庄人民眼科</v>
      </c>
      <c r="B177" s="32" t="str">
        <f>[1]取镜!D185</f>
        <v>王璟琦</v>
      </c>
      <c r="C177" s="32" t="str">
        <f>[1]取镜!E185</f>
        <v>男</v>
      </c>
      <c r="D177" s="33">
        <f>[1]取镜!F185</f>
        <v>42691</v>
      </c>
      <c r="E177" s="34" t="str">
        <f>[1]取镜!G185</f>
        <v>SJZ-GS-094</v>
      </c>
      <c r="F177" s="25" t="s">
        <v>31</v>
      </c>
      <c r="G177" s="35" t="s">
        <v>33</v>
      </c>
      <c r="H177" s="46">
        <v>1</v>
      </c>
      <c r="I177" s="46">
        <v>1</v>
      </c>
      <c r="J177" s="47">
        <v>-1.375</v>
      </c>
      <c r="K177" s="38">
        <v>-0.75</v>
      </c>
      <c r="L177" s="38">
        <v>-1</v>
      </c>
      <c r="M177" s="43">
        <v>165</v>
      </c>
      <c r="N177" s="37">
        <v>-1.25</v>
      </c>
      <c r="O177" s="37">
        <f t="shared" si="5"/>
        <v>0.125</v>
      </c>
      <c r="P177" s="37">
        <v>24.14</v>
      </c>
      <c r="Q177" s="38">
        <v>24.26</v>
      </c>
      <c r="R177" s="38">
        <v>0.12</v>
      </c>
      <c r="S177" s="48">
        <v>170</v>
      </c>
      <c r="T177" s="48">
        <v>170</v>
      </c>
      <c r="U177" s="48">
        <v>120</v>
      </c>
      <c r="V177" s="48">
        <v>45</v>
      </c>
    </row>
    <row r="178" ht="17.6" customHeight="1" spans="1:22">
      <c r="A178" s="32" t="str">
        <f>[1]取镜!C186</f>
        <v>石家庄人民眼科</v>
      </c>
      <c r="B178" s="32">
        <f>[1]取镜!D186</f>
        <v>0</v>
      </c>
      <c r="C178" s="32">
        <f>[1]取镜!E186</f>
        <v>0</v>
      </c>
      <c r="D178" s="33">
        <f>[1]取镜!F186</f>
        <v>0</v>
      </c>
      <c r="E178" s="34">
        <f>[1]取镜!G186</f>
        <v>0</v>
      </c>
      <c r="F178" s="25" t="s">
        <v>31</v>
      </c>
      <c r="G178" s="35" t="s">
        <v>34</v>
      </c>
      <c r="H178" s="46">
        <v>1</v>
      </c>
      <c r="I178" s="46">
        <v>1</v>
      </c>
      <c r="J178" s="47">
        <v>-1.5</v>
      </c>
      <c r="K178" s="38">
        <v>-0.75</v>
      </c>
      <c r="L178" s="38">
        <v>-1</v>
      </c>
      <c r="M178" s="43">
        <v>180</v>
      </c>
      <c r="N178" s="37">
        <v>-1.25</v>
      </c>
      <c r="O178" s="37">
        <f t="shared" si="5"/>
        <v>0.25</v>
      </c>
      <c r="P178" s="37">
        <v>24.26</v>
      </c>
      <c r="Q178" s="38">
        <v>24.36</v>
      </c>
      <c r="R178" s="38">
        <v>0.1</v>
      </c>
      <c r="S178" s="48">
        <v>170</v>
      </c>
      <c r="T178" s="48">
        <v>170</v>
      </c>
      <c r="U178" s="48">
        <v>80</v>
      </c>
      <c r="V178" s="48">
        <v>45</v>
      </c>
    </row>
    <row r="179" ht="17.6" customHeight="1" spans="1:22">
      <c r="A179" s="32" t="str">
        <f>[1]取镜!C187</f>
        <v>石家庄人民眼科</v>
      </c>
      <c r="B179" s="32" t="str">
        <f>[1]取镜!D187</f>
        <v>孙笑晗</v>
      </c>
      <c r="C179" s="32" t="str">
        <f>[1]取镜!E187</f>
        <v>女</v>
      </c>
      <c r="D179" s="33">
        <f>[1]取镜!F187</f>
        <v>41612</v>
      </c>
      <c r="E179" s="34" t="str">
        <f>[1]取镜!G187</f>
        <v>SJZ-GS-095</v>
      </c>
      <c r="F179" s="25" t="s">
        <v>48</v>
      </c>
      <c r="G179" s="35" t="s">
        <v>33</v>
      </c>
      <c r="H179" s="46">
        <v>1</v>
      </c>
      <c r="I179" s="46">
        <v>1</v>
      </c>
      <c r="J179" s="47">
        <v>-2</v>
      </c>
      <c r="K179" s="38">
        <v>-1.75</v>
      </c>
      <c r="L179" s="38">
        <v>-0.5</v>
      </c>
      <c r="M179" s="43">
        <v>15</v>
      </c>
      <c r="N179" s="37">
        <v>-2</v>
      </c>
      <c r="O179" s="37">
        <f t="shared" si="5"/>
        <v>0</v>
      </c>
      <c r="P179" s="37">
        <v>23.75</v>
      </c>
      <c r="Q179" s="38">
        <v>23.7</v>
      </c>
      <c r="R179" s="38">
        <v>-0.05</v>
      </c>
      <c r="S179" s="48">
        <v>170</v>
      </c>
      <c r="T179" s="48">
        <v>170</v>
      </c>
      <c r="U179" s="48">
        <v>60</v>
      </c>
      <c r="V179" s="48">
        <v>35</v>
      </c>
    </row>
    <row r="180" ht="17.6" customHeight="1" spans="1:22">
      <c r="A180" s="32" t="str">
        <f>[1]取镜!C188</f>
        <v>石家庄人民眼科</v>
      </c>
      <c r="B180" s="32">
        <f>[1]取镜!D188</f>
        <v>0</v>
      </c>
      <c r="C180" s="32">
        <f>[1]取镜!E188</f>
        <v>0</v>
      </c>
      <c r="D180" s="33">
        <f>[1]取镜!F188</f>
        <v>0</v>
      </c>
      <c r="E180" s="34">
        <f>[1]取镜!G188</f>
        <v>0</v>
      </c>
      <c r="F180" s="25" t="s">
        <v>48</v>
      </c>
      <c r="G180" s="35" t="s">
        <v>34</v>
      </c>
      <c r="H180" s="46">
        <v>1</v>
      </c>
      <c r="I180" s="46">
        <v>1</v>
      </c>
      <c r="J180" s="47">
        <v>-1.75</v>
      </c>
      <c r="K180" s="38">
        <v>-1.75</v>
      </c>
      <c r="L180" s="38">
        <v>-0.5</v>
      </c>
      <c r="M180" s="43">
        <v>175</v>
      </c>
      <c r="N180" s="37">
        <v>-2</v>
      </c>
      <c r="O180" s="37">
        <f t="shared" si="5"/>
        <v>-0.25</v>
      </c>
      <c r="P180" s="37">
        <v>23.59</v>
      </c>
      <c r="Q180" s="38">
        <v>23.64</v>
      </c>
      <c r="R180" s="38">
        <v>0.05</v>
      </c>
      <c r="S180" s="48">
        <v>170</v>
      </c>
      <c r="T180" s="48">
        <v>170</v>
      </c>
      <c r="U180" s="48">
        <v>80</v>
      </c>
      <c r="V180" s="48">
        <v>45</v>
      </c>
    </row>
    <row r="181" ht="17.6" customHeight="1" spans="1:22">
      <c r="A181" s="32" t="str">
        <f>[1]取镜!C189</f>
        <v>石家庄人民眼科</v>
      </c>
      <c r="B181" s="32" t="str">
        <f>[1]取镜!D189</f>
        <v>马浩宇</v>
      </c>
      <c r="C181" s="32" t="str">
        <f>[1]取镜!E189</f>
        <v>男</v>
      </c>
      <c r="D181" s="33">
        <f>[1]取镜!F189</f>
        <v>42484</v>
      </c>
      <c r="E181" s="34" t="str">
        <f>[1]取镜!G189</f>
        <v>SJZ-GS-096</v>
      </c>
      <c r="F181" s="25" t="s">
        <v>39</v>
      </c>
      <c r="G181" s="35" t="s">
        <v>33</v>
      </c>
      <c r="H181" s="46">
        <v>1</v>
      </c>
      <c r="I181" s="46">
        <v>1</v>
      </c>
      <c r="J181" s="47">
        <v>-1.75</v>
      </c>
      <c r="K181" s="38">
        <v>-1.75</v>
      </c>
      <c r="L181" s="38">
        <v>0</v>
      </c>
      <c r="M181" s="43">
        <v>0</v>
      </c>
      <c r="N181" s="37">
        <v>-1.75</v>
      </c>
      <c r="O181" s="37">
        <f t="shared" si="5"/>
        <v>0</v>
      </c>
      <c r="P181" s="37">
        <v>25.01</v>
      </c>
      <c r="Q181" s="38">
        <v>25.09</v>
      </c>
      <c r="R181" s="38">
        <v>0.08</v>
      </c>
      <c r="S181" s="48">
        <v>170</v>
      </c>
      <c r="T181" s="48">
        <v>170</v>
      </c>
      <c r="U181" s="48">
        <v>80</v>
      </c>
      <c r="V181" s="48">
        <v>15</v>
      </c>
    </row>
    <row r="182" ht="17.6" customHeight="1" spans="1:22">
      <c r="A182" s="32" t="str">
        <f>[1]取镜!C190</f>
        <v>石家庄人民眼科</v>
      </c>
      <c r="B182" s="32">
        <f>[1]取镜!D190</f>
        <v>0</v>
      </c>
      <c r="C182" s="32">
        <f>[1]取镜!E190</f>
        <v>0</v>
      </c>
      <c r="D182" s="33">
        <f>[1]取镜!F190</f>
        <v>0</v>
      </c>
      <c r="E182" s="34">
        <f>[1]取镜!G190</f>
        <v>0</v>
      </c>
      <c r="F182" s="25" t="s">
        <v>39</v>
      </c>
      <c r="G182" s="35" t="s">
        <v>34</v>
      </c>
      <c r="H182" s="46">
        <v>1</v>
      </c>
      <c r="I182" s="46">
        <v>1</v>
      </c>
      <c r="J182" s="47">
        <v>-0.625</v>
      </c>
      <c r="K182" s="38">
        <v>-0.25</v>
      </c>
      <c r="L182" s="38">
        <v>-0.5</v>
      </c>
      <c r="M182" s="43">
        <v>155</v>
      </c>
      <c r="N182" s="37">
        <v>-0.5</v>
      </c>
      <c r="O182" s="37">
        <f t="shared" si="5"/>
        <v>0.125</v>
      </c>
      <c r="P182" s="37">
        <v>24.43</v>
      </c>
      <c r="Q182" s="38">
        <v>24.46</v>
      </c>
      <c r="R182" s="38">
        <v>0.03</v>
      </c>
      <c r="S182" s="48">
        <v>170</v>
      </c>
      <c r="T182" s="48">
        <v>170</v>
      </c>
      <c r="U182" s="48">
        <v>120</v>
      </c>
      <c r="V182" s="48">
        <v>35</v>
      </c>
    </row>
    <row r="183" ht="17.6" customHeight="1" spans="1:22">
      <c r="A183" s="32" t="str">
        <f>[1]取镜!C191</f>
        <v>石家庄人民眼科</v>
      </c>
      <c r="B183" s="32" t="str">
        <f>[1]取镜!D191</f>
        <v>张怡诺</v>
      </c>
      <c r="C183" s="32" t="str">
        <f>[1]取镜!E191</f>
        <v>女</v>
      </c>
      <c r="D183" s="33">
        <f>[1]取镜!F191</f>
        <v>41781</v>
      </c>
      <c r="E183" s="34" t="str">
        <f>[1]取镜!G191</f>
        <v>SJZ-GS-097</v>
      </c>
      <c r="F183" s="25" t="s">
        <v>48</v>
      </c>
      <c r="G183" s="35" t="s">
        <v>33</v>
      </c>
      <c r="H183" s="46">
        <v>1</v>
      </c>
      <c r="I183" s="46">
        <v>1</v>
      </c>
      <c r="J183" s="47">
        <v>-2.625</v>
      </c>
      <c r="K183" s="38">
        <v>-2.5</v>
      </c>
      <c r="L183" s="38">
        <v>-0.5</v>
      </c>
      <c r="M183" s="43">
        <v>150</v>
      </c>
      <c r="N183" s="37">
        <v>-2.75</v>
      </c>
      <c r="O183" s="37">
        <f t="shared" si="5"/>
        <v>-0.125</v>
      </c>
      <c r="P183" s="37">
        <v>24.66</v>
      </c>
      <c r="Q183" s="38">
        <v>24.65</v>
      </c>
      <c r="R183" s="38">
        <v>-0.01</v>
      </c>
      <c r="S183" s="48">
        <v>170</v>
      </c>
      <c r="T183" s="48">
        <v>120</v>
      </c>
      <c r="U183" s="48">
        <v>15</v>
      </c>
      <c r="V183" s="48">
        <v>6</v>
      </c>
    </row>
    <row r="184" ht="17.6" customHeight="1" spans="1:22">
      <c r="A184" s="32" t="str">
        <f>[1]取镜!C192</f>
        <v>石家庄人民眼科</v>
      </c>
      <c r="B184" s="32">
        <f>[1]取镜!D192</f>
        <v>0</v>
      </c>
      <c r="C184" s="32">
        <f>[1]取镜!E192</f>
        <v>0</v>
      </c>
      <c r="D184" s="33">
        <f>[1]取镜!F192</f>
        <v>0</v>
      </c>
      <c r="E184" s="34">
        <f>[1]取镜!G192</f>
        <v>0</v>
      </c>
      <c r="F184" s="25" t="s">
        <v>48</v>
      </c>
      <c r="G184" s="35" t="s">
        <v>34</v>
      </c>
      <c r="H184" s="46">
        <v>1</v>
      </c>
      <c r="I184" s="46">
        <v>1</v>
      </c>
      <c r="J184" s="47">
        <v>-4</v>
      </c>
      <c r="K184" s="38">
        <v>-3.25</v>
      </c>
      <c r="L184" s="38">
        <v>-2</v>
      </c>
      <c r="M184" s="43">
        <v>170</v>
      </c>
      <c r="N184" s="37">
        <v>-4.25</v>
      </c>
      <c r="O184" s="37">
        <f t="shared" si="5"/>
        <v>-0.25</v>
      </c>
      <c r="P184" s="37">
        <v>25.35</v>
      </c>
      <c r="Q184" s="38">
        <v>25.3</v>
      </c>
      <c r="R184" s="38">
        <v>-0.05</v>
      </c>
      <c r="S184" s="48">
        <v>170</v>
      </c>
      <c r="T184" s="48">
        <v>170</v>
      </c>
      <c r="U184" s="48">
        <v>80</v>
      </c>
      <c r="V184" s="48">
        <v>45</v>
      </c>
    </row>
    <row r="185" ht="17.6" customHeight="1" spans="1:22">
      <c r="A185" s="32" t="str">
        <f>[1]取镜!C193</f>
        <v>石家庄人民眼科</v>
      </c>
      <c r="B185" s="32" t="str">
        <f>[1]取镜!D193</f>
        <v>王梓航</v>
      </c>
      <c r="C185" s="32" t="str">
        <f>[1]取镜!E193</f>
        <v>男</v>
      </c>
      <c r="D185" s="33">
        <f>[1]取镜!F193</f>
        <v>41229</v>
      </c>
      <c r="E185" s="34" t="str">
        <f>[1]取镜!G193</f>
        <v>SJZ-GS-098</v>
      </c>
      <c r="F185" s="25" t="s">
        <v>48</v>
      </c>
      <c r="G185" s="35" t="s">
        <v>33</v>
      </c>
      <c r="H185" s="46">
        <v>1</v>
      </c>
      <c r="I185" s="46">
        <v>1</v>
      </c>
      <c r="J185" s="47">
        <v>-1</v>
      </c>
      <c r="K185" s="38">
        <v>-1</v>
      </c>
      <c r="L185" s="38">
        <v>0</v>
      </c>
      <c r="M185" s="43">
        <v>0</v>
      </c>
      <c r="N185" s="37">
        <v>-1</v>
      </c>
      <c r="O185" s="37">
        <f t="shared" si="5"/>
        <v>0</v>
      </c>
      <c r="P185" s="37">
        <v>24.53</v>
      </c>
      <c r="Q185" s="38">
        <v>24.5</v>
      </c>
      <c r="R185" s="38">
        <v>-0.03</v>
      </c>
      <c r="S185" s="48">
        <v>170</v>
      </c>
      <c r="T185" s="48">
        <v>170</v>
      </c>
      <c r="U185" s="48">
        <v>25</v>
      </c>
      <c r="V185" s="48">
        <v>6</v>
      </c>
    </row>
    <row r="186" ht="17.6" customHeight="1" spans="1:22">
      <c r="A186" s="32" t="str">
        <f>[1]取镜!C194</f>
        <v>石家庄人民眼科</v>
      </c>
      <c r="B186" s="32">
        <f>[1]取镜!D194</f>
        <v>0</v>
      </c>
      <c r="C186" s="32">
        <f>[1]取镜!E194</f>
        <v>0</v>
      </c>
      <c r="D186" s="33">
        <f>[1]取镜!F194</f>
        <v>0</v>
      </c>
      <c r="E186" s="34">
        <f>[1]取镜!G194</f>
        <v>0</v>
      </c>
      <c r="F186" s="25" t="s">
        <v>48</v>
      </c>
      <c r="G186" s="35" t="s">
        <v>34</v>
      </c>
      <c r="H186" s="46">
        <v>1</v>
      </c>
      <c r="I186" s="46">
        <v>1</v>
      </c>
      <c r="J186" s="47">
        <v>-1</v>
      </c>
      <c r="K186" s="38">
        <v>-0.5</v>
      </c>
      <c r="L186" s="38">
        <v>-0.75</v>
      </c>
      <c r="M186" s="43">
        <v>180</v>
      </c>
      <c r="N186" s="37">
        <v>-0.875</v>
      </c>
      <c r="O186" s="37">
        <f t="shared" si="5"/>
        <v>0.125</v>
      </c>
      <c r="P186" s="37">
        <v>24.52</v>
      </c>
      <c r="Q186" s="38">
        <v>24.49</v>
      </c>
      <c r="R186" s="38">
        <v>-0.03</v>
      </c>
      <c r="S186" s="48">
        <v>170</v>
      </c>
      <c r="T186" s="48">
        <v>170</v>
      </c>
      <c r="U186" s="48">
        <v>120</v>
      </c>
      <c r="V186" s="48">
        <v>8</v>
      </c>
    </row>
    <row r="187" ht="17.6" customHeight="1" spans="1:22">
      <c r="A187" s="32" t="str">
        <f>[1]取镜!C195</f>
        <v>石家庄人民眼科</v>
      </c>
      <c r="B187" s="32" t="str">
        <f>[1]取镜!D195</f>
        <v>程慧妍</v>
      </c>
      <c r="C187" s="32" t="str">
        <f>[1]取镜!E195</f>
        <v>女</v>
      </c>
      <c r="D187" s="33">
        <f>[1]取镜!F195</f>
        <v>43229</v>
      </c>
      <c r="E187" s="34" t="str">
        <f>[1]取镜!G195</f>
        <v>SJZ-GS-099</v>
      </c>
      <c r="F187" s="25" t="s">
        <v>31</v>
      </c>
      <c r="G187" s="35" t="s">
        <v>33</v>
      </c>
      <c r="H187" s="46">
        <v>1</v>
      </c>
      <c r="I187" s="46">
        <v>1</v>
      </c>
      <c r="J187" s="47">
        <v>-2.75</v>
      </c>
      <c r="K187" s="38">
        <v>-2.5</v>
      </c>
      <c r="L187" s="38">
        <v>-0.75</v>
      </c>
      <c r="M187" s="43">
        <v>180</v>
      </c>
      <c r="N187" s="37">
        <v>-2.875</v>
      </c>
      <c r="O187" s="37">
        <f t="shared" si="5"/>
        <v>-0.125</v>
      </c>
      <c r="P187" s="37">
        <v>24.29</v>
      </c>
      <c r="Q187" s="38">
        <v>24.45</v>
      </c>
      <c r="R187" s="38">
        <v>0.16</v>
      </c>
      <c r="S187" s="48">
        <v>120</v>
      </c>
      <c r="T187" s="48">
        <v>25</v>
      </c>
      <c r="U187" s="48">
        <v>0</v>
      </c>
      <c r="V187" s="48">
        <v>0</v>
      </c>
    </row>
    <row r="188" ht="17.6" customHeight="1" spans="1:22">
      <c r="A188" s="32" t="str">
        <f>[1]取镜!C196</f>
        <v>石家庄人民眼科</v>
      </c>
      <c r="B188" s="32">
        <f>[1]取镜!D196</f>
        <v>0</v>
      </c>
      <c r="C188" s="32">
        <f>[1]取镜!E196</f>
        <v>0</v>
      </c>
      <c r="D188" s="33">
        <f>[1]取镜!F196</f>
        <v>0</v>
      </c>
      <c r="E188" s="34">
        <f>[1]取镜!G196</f>
        <v>0</v>
      </c>
      <c r="F188" s="25" t="s">
        <v>31</v>
      </c>
      <c r="G188" s="35" t="s">
        <v>34</v>
      </c>
      <c r="H188" s="46">
        <v>1</v>
      </c>
      <c r="I188" s="46">
        <v>1</v>
      </c>
      <c r="J188" s="47">
        <v>-3</v>
      </c>
      <c r="K188" s="38">
        <v>-3</v>
      </c>
      <c r="L188" s="38">
        <v>-0.75</v>
      </c>
      <c r="M188" s="43">
        <v>165</v>
      </c>
      <c r="N188" s="37">
        <v>-3.375</v>
      </c>
      <c r="O188" s="37">
        <f t="shared" si="5"/>
        <v>-0.375</v>
      </c>
      <c r="P188" s="37">
        <v>24.48</v>
      </c>
      <c r="Q188" s="38">
        <v>24.69</v>
      </c>
      <c r="R188" s="38">
        <v>0.21</v>
      </c>
      <c r="S188" s="48">
        <v>170</v>
      </c>
      <c r="T188" s="48">
        <v>45</v>
      </c>
      <c r="U188" s="48">
        <v>45</v>
      </c>
      <c r="V188" s="48">
        <v>15</v>
      </c>
    </row>
    <row r="189" ht="17.6" customHeight="1" spans="1:22">
      <c r="A189" s="32" t="str">
        <f>[1]取镜!C197</f>
        <v>石家庄人民眼科</v>
      </c>
      <c r="B189" s="32" t="str">
        <f>[1]取镜!D197</f>
        <v>杨启帆</v>
      </c>
      <c r="C189" s="32" t="str">
        <f>[1]取镜!E197</f>
        <v>男</v>
      </c>
      <c r="D189" s="33">
        <f>[1]取镜!F197</f>
        <v>41906</v>
      </c>
      <c r="E189" s="34" t="str">
        <f>[1]取镜!G197</f>
        <v>SJZ-GS-100</v>
      </c>
      <c r="F189" s="25" t="s">
        <v>31</v>
      </c>
      <c r="G189" s="35" t="s">
        <v>33</v>
      </c>
      <c r="H189" s="46">
        <v>1</v>
      </c>
      <c r="I189" s="36" t="s">
        <v>473</v>
      </c>
      <c r="J189" s="37">
        <v>-1.875</v>
      </c>
      <c r="K189" s="38">
        <v>-1.75</v>
      </c>
      <c r="L189" s="38">
        <v>0</v>
      </c>
      <c r="M189" s="43">
        <v>0</v>
      </c>
      <c r="N189" s="37">
        <v>-1.75</v>
      </c>
      <c r="O189" s="37">
        <f t="shared" si="5"/>
        <v>0.125</v>
      </c>
      <c r="P189" s="37">
        <v>25.84</v>
      </c>
      <c r="Q189" s="38">
        <v>25.98</v>
      </c>
      <c r="R189" s="38">
        <v>0.14</v>
      </c>
      <c r="S189" s="48">
        <v>170</v>
      </c>
      <c r="T189" s="48">
        <v>170</v>
      </c>
      <c r="U189" s="48">
        <v>45</v>
      </c>
      <c r="V189" s="48">
        <v>8</v>
      </c>
    </row>
    <row r="190" ht="17.6" customHeight="1" spans="1:22">
      <c r="A190" s="32" t="str">
        <f>[1]取镜!C198</f>
        <v>石家庄人民眼科</v>
      </c>
      <c r="B190" s="32">
        <f>[1]取镜!D198</f>
        <v>0</v>
      </c>
      <c r="C190" s="32">
        <f>[1]取镜!E198</f>
        <v>0</v>
      </c>
      <c r="D190" s="33">
        <f>[1]取镜!F198</f>
        <v>0</v>
      </c>
      <c r="E190" s="34">
        <f>[1]取镜!G198</f>
        <v>0</v>
      </c>
      <c r="F190" s="25" t="s">
        <v>31</v>
      </c>
      <c r="G190" s="35" t="s">
        <v>34</v>
      </c>
      <c r="H190" s="46">
        <v>1</v>
      </c>
      <c r="I190" s="46">
        <v>1</v>
      </c>
      <c r="J190" s="47">
        <v>-1.875</v>
      </c>
      <c r="K190" s="38">
        <v>-1.75</v>
      </c>
      <c r="L190" s="38">
        <v>-0.5</v>
      </c>
      <c r="M190" s="43">
        <v>175</v>
      </c>
      <c r="N190" s="37">
        <v>-2</v>
      </c>
      <c r="O190" s="37">
        <f t="shared" si="5"/>
        <v>-0.125</v>
      </c>
      <c r="P190" s="37">
        <v>25.92</v>
      </c>
      <c r="Q190" s="38">
        <v>26.04</v>
      </c>
      <c r="R190" s="38">
        <v>0.12</v>
      </c>
      <c r="S190" s="48">
        <v>170</v>
      </c>
      <c r="T190" s="48">
        <v>170</v>
      </c>
      <c r="U190" s="48">
        <v>45</v>
      </c>
      <c r="V190" s="48">
        <v>6</v>
      </c>
    </row>
    <row r="191" ht="17.6" customHeight="1" spans="1:22">
      <c r="A191" s="32" t="str">
        <f>[1]取镜!C199</f>
        <v>石家庄人民眼科</v>
      </c>
      <c r="B191" s="32" t="str">
        <f>[1]取镜!D199</f>
        <v>李芊佑</v>
      </c>
      <c r="C191" s="32" t="str">
        <f>[1]取镜!E199</f>
        <v>男</v>
      </c>
      <c r="D191" s="33">
        <f>[1]取镜!F199</f>
        <v>42502</v>
      </c>
      <c r="E191" s="34" t="str">
        <f>[1]取镜!G199</f>
        <v>SJZ-GS-101</v>
      </c>
      <c r="F191" s="25" t="s">
        <v>48</v>
      </c>
      <c r="G191" s="35" t="s">
        <v>33</v>
      </c>
      <c r="H191" s="46">
        <v>1</v>
      </c>
      <c r="I191" s="46">
        <v>1</v>
      </c>
      <c r="J191" s="47">
        <v>-1.875</v>
      </c>
      <c r="K191" s="38">
        <v>-1.5</v>
      </c>
      <c r="L191" s="38">
        <v>-0.5</v>
      </c>
      <c r="M191" s="43">
        <v>175</v>
      </c>
      <c r="N191" s="37">
        <v>-1.75</v>
      </c>
      <c r="O191" s="37">
        <f t="shared" si="5"/>
        <v>0.125</v>
      </c>
      <c r="P191" s="37">
        <v>24.06</v>
      </c>
      <c r="Q191" s="38">
        <v>24</v>
      </c>
      <c r="R191" s="38">
        <v>-0.06</v>
      </c>
      <c r="S191" s="48">
        <v>170</v>
      </c>
      <c r="T191" s="48">
        <v>170</v>
      </c>
      <c r="U191" s="48">
        <v>120</v>
      </c>
      <c r="V191" s="48">
        <v>0</v>
      </c>
    </row>
    <row r="192" ht="17.6" customHeight="1" spans="1:22">
      <c r="A192" s="32" t="str">
        <f>[1]取镜!C200</f>
        <v>石家庄人民眼科</v>
      </c>
      <c r="B192" s="32">
        <f>[1]取镜!D200</f>
        <v>0</v>
      </c>
      <c r="C192" s="32">
        <f>[1]取镜!E200</f>
        <v>0</v>
      </c>
      <c r="D192" s="33">
        <f>[1]取镜!F200</f>
        <v>0</v>
      </c>
      <c r="E192" s="34">
        <f>[1]取镜!G200</f>
        <v>0</v>
      </c>
      <c r="F192" s="25" t="s">
        <v>48</v>
      </c>
      <c r="G192" s="35" t="s">
        <v>34</v>
      </c>
      <c r="H192" s="46">
        <v>1</v>
      </c>
      <c r="I192" s="46">
        <v>1</v>
      </c>
      <c r="J192" s="47">
        <v>-1.125</v>
      </c>
      <c r="K192" s="38">
        <v>-1.25</v>
      </c>
      <c r="L192" s="38">
        <v>-0.5</v>
      </c>
      <c r="M192" s="43">
        <v>165</v>
      </c>
      <c r="N192" s="37">
        <v>-1.5</v>
      </c>
      <c r="O192" s="37">
        <f t="shared" si="5"/>
        <v>-0.375</v>
      </c>
      <c r="P192" s="37">
        <v>23.74</v>
      </c>
      <c r="Q192" s="38">
        <v>23.72</v>
      </c>
      <c r="R192" s="38">
        <v>-0.02</v>
      </c>
      <c r="S192" s="48">
        <v>170</v>
      </c>
      <c r="T192" s="48">
        <v>170</v>
      </c>
      <c r="U192" s="48">
        <v>120</v>
      </c>
      <c r="V192" s="48">
        <v>65</v>
      </c>
    </row>
    <row r="193" ht="17.6" customHeight="1" spans="1:22">
      <c r="A193" s="32" t="str">
        <f>[1]取镜!C201</f>
        <v>北京</v>
      </c>
      <c r="B193" s="32" t="str">
        <f>[1]取镜!D201</f>
        <v>韦婉</v>
      </c>
      <c r="C193" s="32" t="str">
        <f>[1]取镜!E201</f>
        <v>女</v>
      </c>
      <c r="D193" s="33">
        <f>[1]取镜!F201</f>
        <v>41870</v>
      </c>
      <c r="E193" s="34" t="str">
        <f>[1]取镜!G201</f>
        <v>BJ-GS-102</v>
      </c>
      <c r="F193" s="25" t="s">
        <v>48</v>
      </c>
      <c r="G193" s="35" t="s">
        <v>33</v>
      </c>
      <c r="H193" s="46">
        <v>1</v>
      </c>
      <c r="I193" s="46">
        <v>1</v>
      </c>
      <c r="J193" s="47"/>
      <c r="K193" s="38">
        <v>-1.75</v>
      </c>
      <c r="L193" s="38">
        <v>-0.25</v>
      </c>
      <c r="M193" s="43">
        <v>165</v>
      </c>
      <c r="N193" s="37">
        <v>-1.875</v>
      </c>
      <c r="O193" s="37"/>
      <c r="P193" s="37">
        <v>23.54</v>
      </c>
      <c r="Q193" s="38">
        <v>23.66</v>
      </c>
      <c r="R193" s="38">
        <v>0.12</v>
      </c>
      <c r="S193" s="48"/>
      <c r="T193" s="48"/>
      <c r="U193" s="48"/>
      <c r="V193" s="48"/>
    </row>
    <row r="194" ht="17.6" customHeight="1" spans="1:22">
      <c r="A194" s="32" t="str">
        <f>[1]取镜!C202</f>
        <v>北京</v>
      </c>
      <c r="B194" s="32">
        <f>[1]取镜!D202</f>
        <v>0</v>
      </c>
      <c r="C194" s="32">
        <f>[1]取镜!E202</f>
        <v>0</v>
      </c>
      <c r="D194" s="33">
        <f>[1]取镜!F202</f>
        <v>0</v>
      </c>
      <c r="E194" s="34">
        <f>[1]取镜!G202</f>
        <v>0</v>
      </c>
      <c r="F194" s="25" t="s">
        <v>48</v>
      </c>
      <c r="G194" s="35" t="s">
        <v>34</v>
      </c>
      <c r="H194" s="46">
        <v>1</v>
      </c>
      <c r="I194" s="46">
        <v>1</v>
      </c>
      <c r="J194" s="47"/>
      <c r="K194" s="38">
        <v>-0.75</v>
      </c>
      <c r="L194" s="38">
        <v>-1</v>
      </c>
      <c r="M194" s="43">
        <v>175</v>
      </c>
      <c r="N194" s="37">
        <v>-1.25</v>
      </c>
      <c r="O194" s="37"/>
      <c r="P194" s="37">
        <v>23.32</v>
      </c>
      <c r="Q194" s="38">
        <v>23.38</v>
      </c>
      <c r="R194" s="38">
        <v>0.06</v>
      </c>
      <c r="S194" s="48"/>
      <c r="T194" s="48"/>
      <c r="U194" s="48"/>
      <c r="V194" s="48"/>
    </row>
    <row r="195" ht="17.6" customHeight="1" spans="1:22">
      <c r="A195" s="32" t="str">
        <f>[1]取镜!C203</f>
        <v>北京</v>
      </c>
      <c r="B195" s="32" t="str">
        <f>[1]取镜!D203</f>
        <v>韦承</v>
      </c>
      <c r="C195" s="32" t="str">
        <f>[1]取镜!E203</f>
        <v>男</v>
      </c>
      <c r="D195" s="33">
        <f>[1]取镜!F203</f>
        <v>42773</v>
      </c>
      <c r="E195" s="34" t="str">
        <f>[1]取镜!G203</f>
        <v>BJ-GS-103</v>
      </c>
      <c r="F195" s="25" t="s">
        <v>31</v>
      </c>
      <c r="G195" s="35" t="s">
        <v>33</v>
      </c>
      <c r="H195" s="46">
        <v>1</v>
      </c>
      <c r="I195" s="36">
        <v>1</v>
      </c>
      <c r="J195" s="37"/>
      <c r="K195" s="38">
        <v>-1.5</v>
      </c>
      <c r="L195" s="38">
        <v>-0.5</v>
      </c>
      <c r="M195" s="43">
        <v>95</v>
      </c>
      <c r="N195" s="37">
        <v>-1.75</v>
      </c>
      <c r="O195" s="37"/>
      <c r="P195" s="37">
        <v>24.49</v>
      </c>
      <c r="Q195" s="38">
        <v>24.52</v>
      </c>
      <c r="R195" s="38">
        <v>0.03</v>
      </c>
      <c r="S195" s="48"/>
      <c r="T195" s="48"/>
      <c r="U195" s="48"/>
      <c r="V195" s="48"/>
    </row>
    <row r="196" ht="17.6" customHeight="1" spans="1:22">
      <c r="A196" s="32" t="str">
        <f>[1]取镜!C204</f>
        <v>北京</v>
      </c>
      <c r="B196" s="32">
        <f>[1]取镜!D204</f>
        <v>0</v>
      </c>
      <c r="C196" s="32">
        <f>[1]取镜!E204</f>
        <v>0</v>
      </c>
      <c r="D196" s="33">
        <f>[1]取镜!F204</f>
        <v>0</v>
      </c>
      <c r="E196" s="34">
        <f>[1]取镜!G204</f>
        <v>0</v>
      </c>
      <c r="F196" s="25" t="s">
        <v>31</v>
      </c>
      <c r="G196" s="35" t="s">
        <v>34</v>
      </c>
      <c r="H196" s="46">
        <v>1</v>
      </c>
      <c r="I196" s="46">
        <v>1</v>
      </c>
      <c r="J196" s="47"/>
      <c r="K196" s="38">
        <v>-1.25</v>
      </c>
      <c r="L196" s="38">
        <v>-0.25</v>
      </c>
      <c r="M196" s="43">
        <v>95</v>
      </c>
      <c r="N196" s="37">
        <v>-1.375</v>
      </c>
      <c r="O196" s="37"/>
      <c r="P196" s="37">
        <v>24.49</v>
      </c>
      <c r="Q196" s="38">
        <v>24.54</v>
      </c>
      <c r="R196" s="38">
        <v>0.05</v>
      </c>
      <c r="S196" s="48"/>
      <c r="T196" s="48"/>
      <c r="U196" s="48"/>
      <c r="V196" s="48"/>
    </row>
    <row r="197" ht="17.6" customHeight="1" spans="1:22">
      <c r="A197" s="32" t="str">
        <f>[1]取镜!C205</f>
        <v>石家庄人民眼科</v>
      </c>
      <c r="B197" s="32" t="str">
        <f>[1]取镜!D205</f>
        <v>靳钧成</v>
      </c>
      <c r="C197" s="32" t="str">
        <f>[1]取镜!E205</f>
        <v>男</v>
      </c>
      <c r="D197" s="33">
        <f>[1]取镜!F205</f>
        <v>42044</v>
      </c>
      <c r="E197" s="34" t="str">
        <f>[1]取镜!G205</f>
        <v>SJZ-GS-104</v>
      </c>
      <c r="F197" s="25" t="s">
        <v>45</v>
      </c>
      <c r="G197" s="35" t="s">
        <v>33</v>
      </c>
      <c r="H197" s="46">
        <v>1</v>
      </c>
      <c r="I197" s="36">
        <v>1</v>
      </c>
      <c r="J197" s="37">
        <v>-2.375</v>
      </c>
      <c r="K197" s="38">
        <v>-2.5</v>
      </c>
      <c r="L197" s="38">
        <v>-1</v>
      </c>
      <c r="M197" s="43">
        <v>15</v>
      </c>
      <c r="N197" s="37">
        <v>-3</v>
      </c>
      <c r="O197" s="37">
        <f>N197-J197</f>
        <v>-0.625</v>
      </c>
      <c r="P197" s="37">
        <v>24.65</v>
      </c>
      <c r="Q197" s="38">
        <v>24.81</v>
      </c>
      <c r="R197" s="38">
        <v>0.16</v>
      </c>
      <c r="S197" s="48">
        <v>170</v>
      </c>
      <c r="T197" s="48">
        <v>170</v>
      </c>
      <c r="U197" s="48">
        <v>0</v>
      </c>
      <c r="V197" s="48">
        <v>0</v>
      </c>
    </row>
    <row r="198" ht="17.6" customHeight="1" spans="1:22">
      <c r="A198" s="32" t="str">
        <f>[1]取镜!C206</f>
        <v>石家庄人民眼科</v>
      </c>
      <c r="B198" s="32">
        <f>[1]取镜!D206</f>
        <v>0</v>
      </c>
      <c r="C198" s="32">
        <f>[1]取镜!E206</f>
        <v>0</v>
      </c>
      <c r="D198" s="33">
        <f>[1]取镜!F206</f>
        <v>0</v>
      </c>
      <c r="E198" s="34">
        <f>[1]取镜!G206</f>
        <v>0</v>
      </c>
      <c r="F198" s="25" t="s">
        <v>45</v>
      </c>
      <c r="G198" s="35" t="s">
        <v>34</v>
      </c>
      <c r="H198" s="46">
        <v>1</v>
      </c>
      <c r="I198" s="46">
        <v>1</v>
      </c>
      <c r="J198" s="47">
        <v>-2.75</v>
      </c>
      <c r="K198" s="38">
        <v>-2.75</v>
      </c>
      <c r="L198" s="38">
        <v>-1</v>
      </c>
      <c r="M198" s="43">
        <v>165</v>
      </c>
      <c r="N198" s="37">
        <v>-3.25</v>
      </c>
      <c r="O198" s="37">
        <f t="shared" ref="O198:O215" si="6">N198-J198</f>
        <v>-0.5</v>
      </c>
      <c r="P198" s="37">
        <v>24.7</v>
      </c>
      <c r="Q198" s="38">
        <v>24.82</v>
      </c>
      <c r="R198" s="38">
        <v>0.12</v>
      </c>
      <c r="S198" s="48">
        <v>170</v>
      </c>
      <c r="T198" s="48">
        <v>0</v>
      </c>
      <c r="U198" s="48">
        <v>0</v>
      </c>
      <c r="V198" s="48">
        <v>0</v>
      </c>
    </row>
    <row r="199" ht="17.6" customHeight="1" spans="1:22">
      <c r="A199" s="32" t="str">
        <f>[1]取镜!C207</f>
        <v>石家庄人民眼科</v>
      </c>
      <c r="B199" s="32" t="str">
        <f>[1]取镜!D207</f>
        <v>马语芙</v>
      </c>
      <c r="C199" s="32" t="str">
        <f>[1]取镜!E207</f>
        <v>女</v>
      </c>
      <c r="D199" s="33">
        <f>[1]取镜!F207</f>
        <v>42084</v>
      </c>
      <c r="E199" s="34" t="str">
        <f>[1]取镜!G207</f>
        <v>SJZ-GS-105</v>
      </c>
      <c r="F199" s="25" t="s">
        <v>45</v>
      </c>
      <c r="G199" s="35" t="s">
        <v>33</v>
      </c>
      <c r="H199" s="46">
        <v>1</v>
      </c>
      <c r="I199" s="36">
        <v>1</v>
      </c>
      <c r="J199" s="37">
        <v>-1.75</v>
      </c>
      <c r="K199" s="38">
        <v>-1.5</v>
      </c>
      <c r="L199" s="38">
        <v>-0.25</v>
      </c>
      <c r="M199" s="43">
        <v>170</v>
      </c>
      <c r="N199" s="37">
        <v>-1.625</v>
      </c>
      <c r="O199" s="37">
        <f t="shared" si="6"/>
        <v>0.125</v>
      </c>
      <c r="P199" s="37">
        <v>23.18</v>
      </c>
      <c r="Q199" s="38">
        <v>23.37</v>
      </c>
      <c r="R199" s="38">
        <v>0.19</v>
      </c>
      <c r="S199" s="48">
        <v>170</v>
      </c>
      <c r="T199" s="48">
        <v>170</v>
      </c>
      <c r="U199" s="48">
        <v>60</v>
      </c>
      <c r="V199" s="48">
        <v>35</v>
      </c>
    </row>
    <row r="200" ht="17.6" customHeight="1" spans="1:22">
      <c r="A200" s="32" t="str">
        <f>[1]取镜!C208</f>
        <v>石家庄人民眼科</v>
      </c>
      <c r="B200" s="32">
        <f>[1]取镜!D208</f>
        <v>0</v>
      </c>
      <c r="C200" s="32">
        <f>[1]取镜!E208</f>
        <v>0</v>
      </c>
      <c r="D200" s="33">
        <f>[1]取镜!F208</f>
        <v>0</v>
      </c>
      <c r="E200" s="34">
        <f>[1]取镜!G208</f>
        <v>0</v>
      </c>
      <c r="F200" s="25" t="s">
        <v>45</v>
      </c>
      <c r="G200" s="35" t="s">
        <v>34</v>
      </c>
      <c r="H200" s="46">
        <v>1</v>
      </c>
      <c r="I200" s="46">
        <v>1</v>
      </c>
      <c r="J200" s="47">
        <v>-1.875</v>
      </c>
      <c r="K200" s="38">
        <v>-1.75</v>
      </c>
      <c r="L200" s="38">
        <v>-0.75</v>
      </c>
      <c r="M200" s="43">
        <v>165</v>
      </c>
      <c r="N200" s="37">
        <v>-2.125</v>
      </c>
      <c r="O200" s="37">
        <f t="shared" si="6"/>
        <v>-0.25</v>
      </c>
      <c r="P200" s="37">
        <v>23.55</v>
      </c>
      <c r="Q200" s="38">
        <v>23.69</v>
      </c>
      <c r="R200" s="38">
        <v>0.14</v>
      </c>
      <c r="S200" s="48">
        <v>170</v>
      </c>
      <c r="T200" s="48">
        <v>170</v>
      </c>
      <c r="U200" s="48">
        <v>100</v>
      </c>
      <c r="V200" s="48">
        <v>45</v>
      </c>
    </row>
    <row r="201" ht="17.6" customHeight="1" spans="1:22">
      <c r="A201" s="32" t="str">
        <f>[1]取镜!C209</f>
        <v>石家庄人民眼科</v>
      </c>
      <c r="B201" s="32" t="str">
        <f>[1]取镜!D209</f>
        <v>解颜齐</v>
      </c>
      <c r="C201" s="32" t="str">
        <f>[1]取镜!E209</f>
        <v>女</v>
      </c>
      <c r="D201" s="33">
        <f>[1]取镜!F209</f>
        <v>41504</v>
      </c>
      <c r="E201" s="34" t="str">
        <f>[1]取镜!G209</f>
        <v>SJZ-GS-106</v>
      </c>
      <c r="F201" s="25" t="s">
        <v>31</v>
      </c>
      <c r="G201" s="35" t="s">
        <v>33</v>
      </c>
      <c r="H201" s="46">
        <v>1</v>
      </c>
      <c r="I201" s="36" t="s">
        <v>474</v>
      </c>
      <c r="J201" s="37">
        <v>-1.375</v>
      </c>
      <c r="K201" s="38">
        <v>-1</v>
      </c>
      <c r="L201" s="38">
        <v>-1.5</v>
      </c>
      <c r="M201" s="43">
        <v>5</v>
      </c>
      <c r="N201" s="37">
        <v>-1.75</v>
      </c>
      <c r="O201" s="37">
        <f t="shared" si="6"/>
        <v>-0.375</v>
      </c>
      <c r="P201" s="37">
        <v>24.08</v>
      </c>
      <c r="Q201" s="38">
        <v>24.14</v>
      </c>
      <c r="R201" s="38">
        <v>0.06</v>
      </c>
      <c r="S201" s="48">
        <v>170</v>
      </c>
      <c r="T201" s="48">
        <v>170</v>
      </c>
      <c r="U201" s="48">
        <v>80</v>
      </c>
      <c r="V201" s="48">
        <v>8</v>
      </c>
    </row>
    <row r="202" ht="17.6" customHeight="1" spans="1:22">
      <c r="A202" s="32" t="str">
        <f>[1]取镜!C210</f>
        <v>石家庄人民眼科</v>
      </c>
      <c r="B202" s="32">
        <f>[1]取镜!D210</f>
        <v>0</v>
      </c>
      <c r="C202" s="32">
        <f>[1]取镜!E210</f>
        <v>0</v>
      </c>
      <c r="D202" s="33">
        <f>[1]取镜!F210</f>
        <v>0</v>
      </c>
      <c r="E202" s="34">
        <f>[1]取镜!G210</f>
        <v>0</v>
      </c>
      <c r="F202" s="25" t="s">
        <v>31</v>
      </c>
      <c r="G202" s="35" t="s">
        <v>34</v>
      </c>
      <c r="H202" s="46">
        <v>1</v>
      </c>
      <c r="I202" s="46">
        <v>1</v>
      </c>
      <c r="J202" s="47">
        <v>-1.125</v>
      </c>
      <c r="K202" s="38">
        <v>-0.5</v>
      </c>
      <c r="L202" s="38">
        <v>-1.75</v>
      </c>
      <c r="M202" s="43">
        <v>170</v>
      </c>
      <c r="N202" s="37">
        <v>-1.375</v>
      </c>
      <c r="O202" s="37">
        <f t="shared" si="6"/>
        <v>-0.25</v>
      </c>
      <c r="P202" s="37">
        <v>23.82</v>
      </c>
      <c r="Q202" s="38">
        <v>23.93</v>
      </c>
      <c r="R202" s="38">
        <v>0.11</v>
      </c>
      <c r="S202" s="48">
        <v>170</v>
      </c>
      <c r="T202" s="48">
        <v>170</v>
      </c>
      <c r="U202" s="48">
        <v>60</v>
      </c>
      <c r="V202" s="48">
        <v>15</v>
      </c>
    </row>
    <row r="203" ht="17.6" customHeight="1" spans="1:22">
      <c r="A203" s="32" t="str">
        <f>[1]取镜!C211</f>
        <v>石家庄人民眼科</v>
      </c>
      <c r="B203" s="32" t="str">
        <f>[1]取镜!D211</f>
        <v>范珈宁</v>
      </c>
      <c r="C203" s="32" t="str">
        <f>[1]取镜!E211</f>
        <v>女</v>
      </c>
      <c r="D203" s="33">
        <f>[1]取镜!F211</f>
        <v>42576</v>
      </c>
      <c r="E203" s="34" t="str">
        <f>[1]取镜!G211</f>
        <v>SJZ-GS-107</v>
      </c>
      <c r="F203" s="25" t="s">
        <v>39</v>
      </c>
      <c r="G203" s="35" t="s">
        <v>33</v>
      </c>
      <c r="H203" s="46">
        <v>1</v>
      </c>
      <c r="I203" s="46">
        <v>1</v>
      </c>
      <c r="J203" s="47">
        <v>-0.625</v>
      </c>
      <c r="K203" s="38">
        <v>-0.5</v>
      </c>
      <c r="L203" s="38">
        <v>-1.5</v>
      </c>
      <c r="M203" s="43">
        <v>170</v>
      </c>
      <c r="N203" s="37">
        <v>-1.25</v>
      </c>
      <c r="O203" s="37">
        <f t="shared" si="6"/>
        <v>-0.625</v>
      </c>
      <c r="P203" s="37">
        <v>22.69</v>
      </c>
      <c r="Q203" s="38">
        <v>22.82</v>
      </c>
      <c r="R203" s="38">
        <v>0.13</v>
      </c>
      <c r="S203" s="48">
        <v>170</v>
      </c>
      <c r="T203" s="48">
        <v>170</v>
      </c>
      <c r="U203" s="48">
        <v>120</v>
      </c>
      <c r="V203" s="48">
        <v>8</v>
      </c>
    </row>
    <row r="204" ht="17.6" customHeight="1" spans="1:22">
      <c r="A204" s="32" t="str">
        <f>[1]取镜!C212</f>
        <v>石家庄人民眼科</v>
      </c>
      <c r="B204" s="32">
        <f>[1]取镜!D212</f>
        <v>0</v>
      </c>
      <c r="C204" s="32">
        <f>[1]取镜!E212</f>
        <v>0</v>
      </c>
      <c r="D204" s="33">
        <f>[1]取镜!F212</f>
        <v>0</v>
      </c>
      <c r="E204" s="34">
        <f>[1]取镜!G212</f>
        <v>0</v>
      </c>
      <c r="F204" s="25" t="s">
        <v>39</v>
      </c>
      <c r="G204" s="35" t="s">
        <v>34</v>
      </c>
      <c r="H204" s="46">
        <v>1</v>
      </c>
      <c r="I204" s="46">
        <v>1</v>
      </c>
      <c r="J204" s="47">
        <v>-0.5</v>
      </c>
      <c r="K204" s="38">
        <v>-0.5</v>
      </c>
      <c r="L204" s="38">
        <v>-0.75</v>
      </c>
      <c r="M204" s="43">
        <v>180</v>
      </c>
      <c r="N204" s="37">
        <v>-0.875</v>
      </c>
      <c r="O204" s="37">
        <f t="shared" si="6"/>
        <v>-0.375</v>
      </c>
      <c r="P204" s="37">
        <v>22.7</v>
      </c>
      <c r="Q204" s="38">
        <v>22.75</v>
      </c>
      <c r="R204" s="38">
        <v>0.05</v>
      </c>
      <c r="S204" s="48">
        <v>170</v>
      </c>
      <c r="T204" s="48">
        <v>170</v>
      </c>
      <c r="U204" s="48">
        <v>80</v>
      </c>
      <c r="V204" s="48">
        <v>65</v>
      </c>
    </row>
    <row r="205" ht="17.6" customHeight="1" spans="1:22">
      <c r="A205" s="32" t="str">
        <f>[1]取镜!C213</f>
        <v>石家庄人民眼科</v>
      </c>
      <c r="B205" s="32" t="str">
        <f>[1]取镜!D213</f>
        <v>田尚泽</v>
      </c>
      <c r="C205" s="32" t="str">
        <f>[1]取镜!E213</f>
        <v>男</v>
      </c>
      <c r="D205" s="33">
        <f>[1]取镜!F213</f>
        <v>43159</v>
      </c>
      <c r="E205" s="34" t="str">
        <f>[1]取镜!G213</f>
        <v>SJZ-GS-108</v>
      </c>
      <c r="F205" s="25" t="s">
        <v>48</v>
      </c>
      <c r="G205" s="35" t="s">
        <v>33</v>
      </c>
      <c r="H205" s="46">
        <v>1</v>
      </c>
      <c r="I205" s="46">
        <v>1</v>
      </c>
      <c r="J205" s="47">
        <v>-1.625</v>
      </c>
      <c r="K205" s="38">
        <v>-1.5</v>
      </c>
      <c r="L205" s="38">
        <v>-0.25</v>
      </c>
      <c r="M205" s="43">
        <v>125</v>
      </c>
      <c r="N205" s="37">
        <v>-1.625</v>
      </c>
      <c r="O205" s="37">
        <f t="shared" si="6"/>
        <v>0</v>
      </c>
      <c r="P205" s="37">
        <v>23.07</v>
      </c>
      <c r="Q205" s="38">
        <v>23.11</v>
      </c>
      <c r="R205" s="38">
        <v>0.04</v>
      </c>
      <c r="S205" s="48">
        <v>170</v>
      </c>
      <c r="T205" s="48">
        <v>170</v>
      </c>
      <c r="U205" s="48">
        <v>45</v>
      </c>
      <c r="V205" s="48">
        <v>30</v>
      </c>
    </row>
    <row r="206" ht="17.6" customHeight="1" spans="1:22">
      <c r="A206" s="32" t="str">
        <f>[1]取镜!C214</f>
        <v>石家庄人民眼科</v>
      </c>
      <c r="B206" s="32">
        <f>[1]取镜!D214</f>
        <v>0</v>
      </c>
      <c r="C206" s="32">
        <f>[1]取镜!E214</f>
        <v>0</v>
      </c>
      <c r="D206" s="33">
        <f>[1]取镜!F214</f>
        <v>0</v>
      </c>
      <c r="E206" s="34">
        <f>[1]取镜!G214</f>
        <v>0</v>
      </c>
      <c r="F206" s="25" t="s">
        <v>48</v>
      </c>
      <c r="G206" s="35" t="s">
        <v>34</v>
      </c>
      <c r="H206" s="46">
        <v>1</v>
      </c>
      <c r="I206" s="46">
        <v>1</v>
      </c>
      <c r="J206" s="47">
        <v>-2.125</v>
      </c>
      <c r="K206" s="38">
        <v>-1.75</v>
      </c>
      <c r="L206" s="38">
        <v>-0.25</v>
      </c>
      <c r="M206" s="43">
        <v>155</v>
      </c>
      <c r="N206" s="37">
        <v>-1.875</v>
      </c>
      <c r="O206" s="37">
        <f t="shared" si="6"/>
        <v>0.25</v>
      </c>
      <c r="P206" s="37">
        <v>23.29</v>
      </c>
      <c r="Q206" s="38">
        <v>23.33</v>
      </c>
      <c r="R206" s="38">
        <v>0.04</v>
      </c>
      <c r="S206" s="48">
        <v>170</v>
      </c>
      <c r="T206" s="48">
        <v>150</v>
      </c>
      <c r="U206" s="48">
        <v>45</v>
      </c>
      <c r="V206" s="48">
        <v>45</v>
      </c>
    </row>
    <row r="207" ht="17.6" customHeight="1" spans="1:22">
      <c r="A207" s="32" t="str">
        <f>[1]取镜!C215</f>
        <v>石家庄人民眼科</v>
      </c>
      <c r="B207" s="32" t="str">
        <f>[1]取镜!D215</f>
        <v>赵苡帆</v>
      </c>
      <c r="C207" s="32" t="str">
        <f>[1]取镜!E215</f>
        <v>女</v>
      </c>
      <c r="D207" s="33">
        <f>[1]取镜!F215</f>
        <v>42298</v>
      </c>
      <c r="E207" s="34" t="str">
        <f>[1]取镜!G215</f>
        <v>SJZ-GS-109</v>
      </c>
      <c r="F207" s="25" t="s">
        <v>39</v>
      </c>
      <c r="G207" s="35" t="s">
        <v>33</v>
      </c>
      <c r="H207" s="46">
        <v>1</v>
      </c>
      <c r="I207" s="46">
        <v>1</v>
      </c>
      <c r="J207" s="47">
        <v>-1.75</v>
      </c>
      <c r="K207" s="38">
        <v>-1.75</v>
      </c>
      <c r="L207" s="38">
        <v>0</v>
      </c>
      <c r="M207" s="43">
        <v>0</v>
      </c>
      <c r="N207" s="37">
        <v>-1.75</v>
      </c>
      <c r="O207" s="37">
        <f t="shared" si="6"/>
        <v>0</v>
      </c>
      <c r="P207" s="37">
        <v>24.79</v>
      </c>
      <c r="Q207" s="38">
        <v>24.72</v>
      </c>
      <c r="R207" s="38">
        <v>-0.07</v>
      </c>
      <c r="S207" s="48">
        <v>170</v>
      </c>
      <c r="T207" s="48">
        <v>170</v>
      </c>
      <c r="U207" s="48">
        <v>0</v>
      </c>
      <c r="V207" s="48">
        <v>8</v>
      </c>
    </row>
    <row r="208" ht="17.6" customHeight="1" spans="1:22">
      <c r="A208" s="32" t="str">
        <f>[1]取镜!C216</f>
        <v>石家庄人民眼科</v>
      </c>
      <c r="B208" s="32">
        <f>[1]取镜!D216</f>
        <v>0</v>
      </c>
      <c r="C208" s="32">
        <f>[1]取镜!E216</f>
        <v>0</v>
      </c>
      <c r="D208" s="33">
        <f>[1]取镜!F216</f>
        <v>0</v>
      </c>
      <c r="E208" s="34">
        <f>[1]取镜!G216</f>
        <v>0</v>
      </c>
      <c r="F208" s="25" t="s">
        <v>39</v>
      </c>
      <c r="G208" s="35" t="s">
        <v>34</v>
      </c>
      <c r="H208" s="46">
        <v>1</v>
      </c>
      <c r="I208" s="46">
        <v>1</v>
      </c>
      <c r="J208" s="47">
        <v>-1.75</v>
      </c>
      <c r="K208" s="38">
        <v>-2</v>
      </c>
      <c r="L208" s="38">
        <v>0</v>
      </c>
      <c r="M208" s="43">
        <v>0</v>
      </c>
      <c r="N208" s="37">
        <v>-2</v>
      </c>
      <c r="O208" s="37">
        <f t="shared" si="6"/>
        <v>-0.25</v>
      </c>
      <c r="P208" s="37">
        <v>24.82</v>
      </c>
      <c r="Q208" s="38">
        <v>24.81</v>
      </c>
      <c r="R208" s="38">
        <v>-0.01</v>
      </c>
      <c r="S208" s="48">
        <v>170</v>
      </c>
      <c r="T208" s="48">
        <v>170</v>
      </c>
      <c r="U208" s="48">
        <v>80</v>
      </c>
      <c r="V208" s="48">
        <v>65</v>
      </c>
    </row>
    <row r="209" ht="17.6" customHeight="1" spans="1:22">
      <c r="A209" s="32" t="str">
        <f>[1]取镜!C217</f>
        <v>石家庄人民眼科</v>
      </c>
      <c r="B209" s="32" t="str">
        <f>[1]取镜!D217</f>
        <v>赵丝羽</v>
      </c>
      <c r="C209" s="32" t="str">
        <f>[1]取镜!E217</f>
        <v>女</v>
      </c>
      <c r="D209" s="33">
        <f>[1]取镜!F217</f>
        <v>41431</v>
      </c>
      <c r="E209" s="34" t="str">
        <f>[1]取镜!G217</f>
        <v>SJZ-GS-110</v>
      </c>
      <c r="F209" s="25" t="s">
        <v>31</v>
      </c>
      <c r="G209" s="35" t="s">
        <v>33</v>
      </c>
      <c r="H209" s="46">
        <v>1</v>
      </c>
      <c r="I209" s="46">
        <v>1</v>
      </c>
      <c r="J209" s="47">
        <v>-4.25</v>
      </c>
      <c r="K209" s="38">
        <v>-4</v>
      </c>
      <c r="L209" s="38">
        <v>-0.75</v>
      </c>
      <c r="M209" s="43">
        <v>170</v>
      </c>
      <c r="N209" s="37">
        <v>-4.375</v>
      </c>
      <c r="O209" s="37">
        <f t="shared" si="6"/>
        <v>-0.125</v>
      </c>
      <c r="P209" s="37">
        <v>25.36</v>
      </c>
      <c r="Q209" s="38">
        <v>25.38</v>
      </c>
      <c r="R209" s="38">
        <v>0.02</v>
      </c>
      <c r="S209" s="48">
        <v>170</v>
      </c>
      <c r="T209" s="48">
        <v>170</v>
      </c>
      <c r="U209" s="48">
        <v>15</v>
      </c>
      <c r="V209" s="48">
        <v>4</v>
      </c>
    </row>
    <row r="210" ht="17.6" customHeight="1" spans="1:22">
      <c r="A210" s="32" t="str">
        <f>[1]取镜!C218</f>
        <v>石家庄人民眼科</v>
      </c>
      <c r="B210" s="32">
        <f>[1]取镜!D218</f>
        <v>0</v>
      </c>
      <c r="C210" s="32">
        <f>[1]取镜!E218</f>
        <v>0</v>
      </c>
      <c r="D210" s="33">
        <f>[1]取镜!F218</f>
        <v>0</v>
      </c>
      <c r="E210" s="34">
        <f>[1]取镜!G218</f>
        <v>0</v>
      </c>
      <c r="F210" s="25" t="s">
        <v>31</v>
      </c>
      <c r="G210" s="35" t="s">
        <v>34</v>
      </c>
      <c r="H210" s="46">
        <v>1</v>
      </c>
      <c r="I210" s="46">
        <v>1</v>
      </c>
      <c r="J210" s="47">
        <v>-3</v>
      </c>
      <c r="K210" s="38">
        <v>-2.25</v>
      </c>
      <c r="L210" s="38">
        <v>-1.5</v>
      </c>
      <c r="M210" s="43">
        <v>170</v>
      </c>
      <c r="N210" s="37">
        <v>-3</v>
      </c>
      <c r="O210" s="37">
        <f t="shared" si="6"/>
        <v>0</v>
      </c>
      <c r="P210" s="37">
        <v>24.84</v>
      </c>
      <c r="Q210" s="38">
        <v>24.8</v>
      </c>
      <c r="R210" s="38">
        <v>-0.04</v>
      </c>
      <c r="S210" s="48">
        <v>170</v>
      </c>
      <c r="T210" s="48">
        <v>170</v>
      </c>
      <c r="U210" s="48">
        <v>35</v>
      </c>
      <c r="V210" s="48">
        <v>8</v>
      </c>
    </row>
    <row r="211" ht="17.6" customHeight="1" spans="1:22">
      <c r="A211" s="32" t="str">
        <f>[1]取镜!C219</f>
        <v>石家庄人民眼科</v>
      </c>
      <c r="B211" s="32" t="str">
        <f>[1]取镜!D219</f>
        <v>李一天</v>
      </c>
      <c r="C211" s="32" t="str">
        <f>[1]取镜!E219</f>
        <v>男</v>
      </c>
      <c r="D211" s="33">
        <f>[1]取镜!F219</f>
        <v>42875</v>
      </c>
      <c r="E211" s="34" t="str">
        <f>[1]取镜!G219</f>
        <v>SJZ-GS-112</v>
      </c>
      <c r="F211" s="25" t="s">
        <v>45</v>
      </c>
      <c r="G211" s="35" t="s">
        <v>33</v>
      </c>
      <c r="H211" s="46">
        <v>0.8</v>
      </c>
      <c r="I211" s="46">
        <v>1</v>
      </c>
      <c r="J211" s="47">
        <v>-1.25</v>
      </c>
      <c r="K211" s="38">
        <v>-1</v>
      </c>
      <c r="L211" s="38">
        <v>-0.75</v>
      </c>
      <c r="M211" s="43">
        <v>165</v>
      </c>
      <c r="N211" s="37">
        <v>-1.375</v>
      </c>
      <c r="O211" s="37">
        <f t="shared" si="6"/>
        <v>-0.125</v>
      </c>
      <c r="P211" s="37">
        <v>24.41</v>
      </c>
      <c r="Q211" s="38">
        <v>24.51</v>
      </c>
      <c r="R211" s="38">
        <v>0.1</v>
      </c>
      <c r="S211" s="48">
        <v>170</v>
      </c>
      <c r="T211" s="48">
        <v>170</v>
      </c>
      <c r="U211" s="48">
        <v>45</v>
      </c>
      <c r="V211" s="48">
        <v>4</v>
      </c>
    </row>
    <row r="212" ht="17.6" customHeight="1" spans="1:22">
      <c r="A212" s="32" t="str">
        <f>[1]取镜!C220</f>
        <v>石家庄人民眼科</v>
      </c>
      <c r="B212" s="32">
        <f>[1]取镜!D220</f>
        <v>0</v>
      </c>
      <c r="C212" s="32">
        <f>[1]取镜!E220</f>
        <v>0</v>
      </c>
      <c r="D212" s="33">
        <f>[1]取镜!F220</f>
        <v>0</v>
      </c>
      <c r="E212" s="34">
        <f>[1]取镜!G220</f>
        <v>0</v>
      </c>
      <c r="F212" s="25" t="s">
        <v>45</v>
      </c>
      <c r="G212" s="35" t="s">
        <v>34</v>
      </c>
      <c r="H212" s="46">
        <v>0.8</v>
      </c>
      <c r="I212" s="46">
        <v>1</v>
      </c>
      <c r="J212" s="47">
        <v>-1.5</v>
      </c>
      <c r="K212" s="38">
        <v>-1.75</v>
      </c>
      <c r="L212" s="38">
        <v>-0.5</v>
      </c>
      <c r="M212" s="43">
        <v>155</v>
      </c>
      <c r="N212" s="37">
        <v>-2</v>
      </c>
      <c r="O212" s="37">
        <f t="shared" si="6"/>
        <v>-0.5</v>
      </c>
      <c r="P212" s="37">
        <v>24.5</v>
      </c>
      <c r="Q212" s="38">
        <v>24.71</v>
      </c>
      <c r="R212" s="38">
        <v>0.21</v>
      </c>
      <c r="S212" s="48">
        <v>170</v>
      </c>
      <c r="T212" s="48">
        <v>170</v>
      </c>
      <c r="U212" s="48">
        <v>120</v>
      </c>
      <c r="V212" s="48">
        <v>65</v>
      </c>
    </row>
    <row r="213" ht="17.6" customHeight="1" spans="1:22">
      <c r="A213" s="32" t="str">
        <f>[1]取镜!C221</f>
        <v>北京</v>
      </c>
      <c r="B213" s="32" t="str">
        <f>[1]取镜!D221</f>
        <v>邹承睿</v>
      </c>
      <c r="C213" s="32" t="str">
        <f>[1]取镜!E221</f>
        <v>男</v>
      </c>
      <c r="D213" s="33">
        <f>[1]取镜!F221</f>
        <v>42546</v>
      </c>
      <c r="E213" s="34" t="str">
        <f>[1]取镜!G221</f>
        <v>BJ-GS-113</v>
      </c>
      <c r="F213" s="25" t="s">
        <v>48</v>
      </c>
      <c r="G213" s="35" t="s">
        <v>33</v>
      </c>
      <c r="H213" s="46">
        <v>1</v>
      </c>
      <c r="I213" s="36" t="s">
        <v>473</v>
      </c>
      <c r="J213" s="37">
        <v>-2.625</v>
      </c>
      <c r="K213" s="38">
        <v>-2</v>
      </c>
      <c r="L213" s="38">
        <v>-0.5</v>
      </c>
      <c r="M213" s="43">
        <v>5</v>
      </c>
      <c r="N213" s="37">
        <v>-2.25</v>
      </c>
      <c r="O213" s="37">
        <f t="shared" si="6"/>
        <v>0.375</v>
      </c>
      <c r="P213" s="37">
        <v>25.25</v>
      </c>
      <c r="Q213" s="38">
        <v>25.39</v>
      </c>
      <c r="R213" s="38">
        <v>0.14</v>
      </c>
      <c r="S213" s="48">
        <v>6</v>
      </c>
      <c r="T213" s="48">
        <v>5</v>
      </c>
      <c r="U213" s="48">
        <v>5</v>
      </c>
      <c r="V213" s="48">
        <v>5</v>
      </c>
    </row>
    <row r="214" ht="17.6" customHeight="1" spans="1:22">
      <c r="A214" s="32" t="str">
        <f>[1]取镜!C222</f>
        <v>北京</v>
      </c>
      <c r="B214" s="32">
        <f>[1]取镜!D222</f>
        <v>0</v>
      </c>
      <c r="C214" s="32">
        <f>[1]取镜!E222</f>
        <v>0</v>
      </c>
      <c r="D214" s="33">
        <f>[1]取镜!F222</f>
        <v>0</v>
      </c>
      <c r="E214" s="34">
        <f>[1]取镜!G222</f>
        <v>0</v>
      </c>
      <c r="F214" s="25" t="s">
        <v>48</v>
      </c>
      <c r="G214" s="35" t="s">
        <v>34</v>
      </c>
      <c r="H214" s="46">
        <v>1</v>
      </c>
      <c r="I214" s="36" t="s">
        <v>472</v>
      </c>
      <c r="J214" s="37">
        <v>-2.875</v>
      </c>
      <c r="K214" s="38">
        <v>-2.5</v>
      </c>
      <c r="L214" s="38">
        <v>-0.5</v>
      </c>
      <c r="M214" s="43">
        <v>170</v>
      </c>
      <c r="N214" s="37">
        <v>-2.75</v>
      </c>
      <c r="O214" s="37">
        <f t="shared" si="6"/>
        <v>0.125</v>
      </c>
      <c r="P214" s="37">
        <v>25.39</v>
      </c>
      <c r="Q214" s="38">
        <v>25.56</v>
      </c>
      <c r="R214" s="38">
        <v>0.17</v>
      </c>
      <c r="S214" s="48">
        <v>5</v>
      </c>
      <c r="T214" s="48">
        <v>6</v>
      </c>
      <c r="U214" s="48">
        <v>6</v>
      </c>
      <c r="V214" s="48">
        <v>5</v>
      </c>
    </row>
    <row r="215" ht="17.6" customHeight="1" spans="1:22">
      <c r="A215" s="32" t="str">
        <f>[1]取镜!C223</f>
        <v>石家庄人民眼科</v>
      </c>
      <c r="B215" s="32" t="str">
        <f>[1]取镜!D223</f>
        <v>吴卓函</v>
      </c>
      <c r="C215" s="32" t="str">
        <f>[1]取镜!E223</f>
        <v>女</v>
      </c>
      <c r="D215" s="33">
        <f>[1]取镜!F223</f>
        <v>41905</v>
      </c>
      <c r="E215" s="34" t="str">
        <f>[1]取镜!G223</f>
        <v>SJZ-GS-114</v>
      </c>
      <c r="F215" s="25" t="s">
        <v>31</v>
      </c>
      <c r="G215" s="35" t="s">
        <v>33</v>
      </c>
      <c r="H215" s="36" t="s">
        <v>473</v>
      </c>
      <c r="I215" s="36" t="s">
        <v>473</v>
      </c>
      <c r="J215" s="37">
        <v>-2.125</v>
      </c>
      <c r="K215" s="38">
        <v>-2</v>
      </c>
      <c r="L215" s="38">
        <v>-0.75</v>
      </c>
      <c r="M215" s="43">
        <v>10</v>
      </c>
      <c r="N215" s="37">
        <v>-2.375</v>
      </c>
      <c r="O215" s="37">
        <f t="shared" si="6"/>
        <v>-0.25</v>
      </c>
      <c r="P215" s="37">
        <v>24.12</v>
      </c>
      <c r="Q215" s="38">
        <v>24.22</v>
      </c>
      <c r="R215" s="38">
        <v>0.1</v>
      </c>
      <c r="S215" s="48">
        <v>170</v>
      </c>
      <c r="T215" s="48">
        <v>170</v>
      </c>
      <c r="U215" s="48">
        <v>35</v>
      </c>
      <c r="V215" s="48">
        <v>8</v>
      </c>
    </row>
    <row r="216" ht="17.6" customHeight="1" spans="1:22">
      <c r="A216" s="32" t="str">
        <f>[1]取镜!C225</f>
        <v>石家庄人民眼科</v>
      </c>
      <c r="B216" s="32">
        <f>[1]取镜!D224</f>
        <v>0</v>
      </c>
      <c r="C216" s="32">
        <f>[1]取镜!E224</f>
        <v>0</v>
      </c>
      <c r="D216" s="33">
        <f>[1]取镜!F224</f>
        <v>0</v>
      </c>
      <c r="E216" s="34">
        <f>[1]取镜!G224</f>
        <v>0</v>
      </c>
      <c r="F216" s="25" t="s">
        <v>31</v>
      </c>
      <c r="G216" s="35" t="s">
        <v>34</v>
      </c>
      <c r="H216" s="46">
        <v>1</v>
      </c>
      <c r="I216" s="46">
        <v>1</v>
      </c>
      <c r="J216" s="49">
        <v>-2.25</v>
      </c>
      <c r="K216" s="38">
        <v>-2.75</v>
      </c>
      <c r="L216" s="38">
        <v>-0.75</v>
      </c>
      <c r="M216" s="43">
        <v>165</v>
      </c>
      <c r="N216" s="49">
        <v>-3.125</v>
      </c>
      <c r="O216" s="37">
        <f t="shared" ref="O216:O234" si="7">N216-J216</f>
        <v>-0.875</v>
      </c>
      <c r="P216" s="49">
        <v>24.31</v>
      </c>
      <c r="Q216" s="50">
        <v>24.49</v>
      </c>
      <c r="R216" s="50">
        <v>0.18</v>
      </c>
      <c r="S216" s="48">
        <v>170</v>
      </c>
      <c r="T216" s="48">
        <v>170</v>
      </c>
      <c r="U216" s="48">
        <v>35</v>
      </c>
      <c r="V216" s="48">
        <v>8</v>
      </c>
    </row>
    <row r="217" ht="17.6" customHeight="1" spans="1:22">
      <c r="A217" s="32" t="str">
        <f>[1]取镜!C226</f>
        <v>石家庄人民眼科</v>
      </c>
      <c r="B217" s="32" t="str">
        <f>[1]取镜!D225</f>
        <v>薛舒元</v>
      </c>
      <c r="C217" s="32" t="str">
        <f>[1]取镜!E225</f>
        <v>女</v>
      </c>
      <c r="D217" s="33">
        <f>[1]取镜!F225</f>
        <v>42702</v>
      </c>
      <c r="E217" s="34" t="str">
        <f>[1]取镜!G225</f>
        <v>SJZ-GS-115</v>
      </c>
      <c r="F217" s="25" t="s">
        <v>39</v>
      </c>
      <c r="G217" s="35" t="s">
        <v>33</v>
      </c>
      <c r="H217" s="46">
        <v>1</v>
      </c>
      <c r="I217" s="46">
        <v>1</v>
      </c>
      <c r="J217" s="47">
        <v>-0.5</v>
      </c>
      <c r="K217" s="38">
        <v>-0.5</v>
      </c>
      <c r="L217" s="38">
        <v>-0.5</v>
      </c>
      <c r="M217" s="43">
        <v>140</v>
      </c>
      <c r="N217" s="37">
        <v>-0.75</v>
      </c>
      <c r="O217" s="37">
        <f t="shared" si="7"/>
        <v>-0.25</v>
      </c>
      <c r="P217" s="37">
        <v>23.56</v>
      </c>
      <c r="Q217" s="38">
        <v>23.68</v>
      </c>
      <c r="R217" s="38">
        <v>0.12</v>
      </c>
      <c r="S217" s="48">
        <v>170</v>
      </c>
      <c r="T217" s="48">
        <v>170</v>
      </c>
      <c r="U217" s="48">
        <v>80</v>
      </c>
      <c r="V217" s="48">
        <v>35</v>
      </c>
    </row>
    <row r="218" ht="17.6" customHeight="1" spans="1:22">
      <c r="A218" s="32" t="str">
        <f>[1]取镜!C226</f>
        <v>石家庄人民眼科</v>
      </c>
      <c r="B218" s="32">
        <f>[1]取镜!D226</f>
        <v>0</v>
      </c>
      <c r="C218" s="32">
        <f>[1]取镜!E226</f>
        <v>0</v>
      </c>
      <c r="D218" s="33">
        <f>[1]取镜!F226</f>
        <v>0</v>
      </c>
      <c r="E218" s="34">
        <f>[1]取镜!G226</f>
        <v>0</v>
      </c>
      <c r="F218" s="25" t="s">
        <v>39</v>
      </c>
      <c r="G218" s="35" t="s">
        <v>34</v>
      </c>
      <c r="H218" s="46">
        <v>1</v>
      </c>
      <c r="I218" s="46">
        <v>1</v>
      </c>
      <c r="J218" s="47">
        <v>-0.375</v>
      </c>
      <c r="K218" s="38">
        <v>0</v>
      </c>
      <c r="L218" s="38">
        <v>-0.25</v>
      </c>
      <c r="M218" s="43">
        <v>5</v>
      </c>
      <c r="N218" s="37">
        <v>-0.125</v>
      </c>
      <c r="O218" s="37">
        <f t="shared" si="7"/>
        <v>0.25</v>
      </c>
      <c r="P218" s="37">
        <v>23.41</v>
      </c>
      <c r="Q218" s="38">
        <v>23.54</v>
      </c>
      <c r="R218" s="38">
        <v>0.13</v>
      </c>
      <c r="S218" s="48">
        <v>170</v>
      </c>
      <c r="T218" s="48">
        <v>170</v>
      </c>
      <c r="U218" s="48">
        <v>80</v>
      </c>
      <c r="V218" s="48">
        <v>4</v>
      </c>
    </row>
    <row r="219" ht="17.6" customHeight="1" spans="1:22">
      <c r="A219" s="32"/>
      <c r="B219" s="32"/>
      <c r="C219" s="32"/>
      <c r="D219" s="33">
        <v>42521</v>
      </c>
      <c r="E219" s="54" t="s">
        <v>280</v>
      </c>
      <c r="F219" s="25" t="s">
        <v>45</v>
      </c>
      <c r="G219" s="35" t="s">
        <v>33</v>
      </c>
      <c r="H219" s="36">
        <v>1</v>
      </c>
      <c r="I219" s="36">
        <v>1</v>
      </c>
      <c r="J219" s="55">
        <v>-2.5</v>
      </c>
      <c r="K219" s="38">
        <v>-1.75</v>
      </c>
      <c r="L219" s="38">
        <v>-0.75</v>
      </c>
      <c r="M219" s="43">
        <v>175</v>
      </c>
      <c r="N219" s="37">
        <v>-2.125</v>
      </c>
      <c r="O219" s="37">
        <f t="shared" si="7"/>
        <v>0.375</v>
      </c>
      <c r="P219" s="11">
        <v>24.59</v>
      </c>
      <c r="Q219" s="38">
        <v>24.53</v>
      </c>
      <c r="R219" s="38">
        <v>-0.06</v>
      </c>
      <c r="S219" s="48">
        <v>170</v>
      </c>
      <c r="T219" s="48">
        <v>170</v>
      </c>
      <c r="U219" s="48">
        <v>80</v>
      </c>
      <c r="V219" s="48">
        <v>15</v>
      </c>
    </row>
    <row r="220" ht="17.6" customHeight="1" spans="1:22">
      <c r="A220" s="32"/>
      <c r="B220" s="32"/>
      <c r="C220" s="32"/>
      <c r="D220" s="33"/>
      <c r="E220" s="34"/>
      <c r="F220" s="25" t="s">
        <v>45</v>
      </c>
      <c r="G220" s="35" t="s">
        <v>34</v>
      </c>
      <c r="H220" s="36">
        <v>1</v>
      </c>
      <c r="I220" s="36">
        <v>1</v>
      </c>
      <c r="J220" s="55">
        <v>-3</v>
      </c>
      <c r="K220" s="38">
        <v>-1.75</v>
      </c>
      <c r="L220" s="38">
        <v>-1.25</v>
      </c>
      <c r="M220" s="43">
        <v>180</v>
      </c>
      <c r="N220" s="37">
        <f>K220+0.5*L220</f>
        <v>-2.375</v>
      </c>
      <c r="O220" s="37">
        <f t="shared" si="7"/>
        <v>0.625</v>
      </c>
      <c r="P220" s="11">
        <v>24.59</v>
      </c>
      <c r="Q220" s="38">
        <v>24.56</v>
      </c>
      <c r="R220" s="50">
        <v>-0.03</v>
      </c>
      <c r="S220" s="48">
        <v>170</v>
      </c>
      <c r="T220" s="48">
        <v>170</v>
      </c>
      <c r="U220" s="48">
        <v>120</v>
      </c>
      <c r="V220" s="48">
        <v>65</v>
      </c>
    </row>
    <row r="221" ht="17.6" customHeight="1" spans="1:22">
      <c r="A221" s="32"/>
      <c r="B221" s="32"/>
      <c r="C221" s="32"/>
      <c r="D221" s="33">
        <v>41749</v>
      </c>
      <c r="E221" s="54" t="s">
        <v>282</v>
      </c>
      <c r="F221" s="25" t="s">
        <v>31</v>
      </c>
      <c r="G221" s="35" t="s">
        <v>33</v>
      </c>
      <c r="H221" s="36">
        <v>1</v>
      </c>
      <c r="I221" s="36">
        <v>1</v>
      </c>
      <c r="J221" s="55">
        <v>-1.625</v>
      </c>
      <c r="K221" s="38">
        <v>-1.25</v>
      </c>
      <c r="L221" s="38">
        <v>-1</v>
      </c>
      <c r="M221" s="43">
        <v>180</v>
      </c>
      <c r="N221" s="37">
        <v>-1.75</v>
      </c>
      <c r="O221" s="37">
        <f t="shared" si="7"/>
        <v>-0.125</v>
      </c>
      <c r="P221" s="11">
        <v>24.94</v>
      </c>
      <c r="Q221" s="38">
        <v>25.14</v>
      </c>
      <c r="R221" s="38">
        <v>0.2</v>
      </c>
      <c r="S221" s="48">
        <v>170</v>
      </c>
      <c r="T221" s="48">
        <v>170</v>
      </c>
      <c r="U221" s="48">
        <v>60</v>
      </c>
      <c r="V221" s="48">
        <v>35</v>
      </c>
    </row>
    <row r="222" ht="17.6" customHeight="1" spans="1:22">
      <c r="A222" s="32"/>
      <c r="B222" s="32"/>
      <c r="C222" s="32"/>
      <c r="D222" s="33"/>
      <c r="E222" s="34"/>
      <c r="F222" s="25" t="s">
        <v>31</v>
      </c>
      <c r="G222" s="35" t="s">
        <v>34</v>
      </c>
      <c r="H222" s="36">
        <v>1</v>
      </c>
      <c r="I222" s="36">
        <v>1</v>
      </c>
      <c r="J222" s="55">
        <v>-1.75</v>
      </c>
      <c r="K222" s="38">
        <v>-1.25</v>
      </c>
      <c r="L222" s="38">
        <v>-1.25</v>
      </c>
      <c r="M222" s="43">
        <v>180</v>
      </c>
      <c r="N222" s="37">
        <f>K222+0.5*L222</f>
        <v>-1.875</v>
      </c>
      <c r="O222" s="37">
        <f t="shared" si="7"/>
        <v>-0.125</v>
      </c>
      <c r="P222" s="11">
        <v>24.86</v>
      </c>
      <c r="Q222" s="38">
        <v>25.08</v>
      </c>
      <c r="R222" s="50">
        <v>0.22</v>
      </c>
      <c r="S222" s="48">
        <v>170</v>
      </c>
      <c r="T222" s="48">
        <v>170</v>
      </c>
      <c r="U222" s="48">
        <v>120</v>
      </c>
      <c r="V222" s="48">
        <v>45</v>
      </c>
    </row>
    <row r="223" ht="17.6" customHeight="1" spans="1:22">
      <c r="A223" s="32"/>
      <c r="B223" s="32"/>
      <c r="C223" s="32"/>
      <c r="D223" s="33">
        <v>42973</v>
      </c>
      <c r="E223" s="54" t="s">
        <v>284</v>
      </c>
      <c r="F223" s="25" t="s">
        <v>45</v>
      </c>
      <c r="G223" s="35" t="s">
        <v>33</v>
      </c>
      <c r="H223" s="46">
        <v>0.8</v>
      </c>
      <c r="I223" s="46">
        <v>1</v>
      </c>
      <c r="J223" s="55">
        <v>-1.25</v>
      </c>
      <c r="K223" s="38">
        <v>-1.25</v>
      </c>
      <c r="L223" s="38">
        <v>-0.5</v>
      </c>
      <c r="M223" s="43">
        <v>85</v>
      </c>
      <c r="N223" s="37">
        <v>-1.5</v>
      </c>
      <c r="O223" s="37">
        <f t="shared" si="7"/>
        <v>-0.25</v>
      </c>
      <c r="P223" s="11">
        <v>22.43</v>
      </c>
      <c r="Q223" s="38">
        <v>22.49</v>
      </c>
      <c r="R223" s="38">
        <v>0.06</v>
      </c>
      <c r="S223" s="48">
        <v>170</v>
      </c>
      <c r="T223" s="48">
        <v>170</v>
      </c>
      <c r="U223" s="48">
        <v>120</v>
      </c>
      <c r="V223" s="48">
        <v>15</v>
      </c>
    </row>
    <row r="224" ht="17.6" customHeight="1" spans="1:22">
      <c r="A224" s="32"/>
      <c r="B224" s="32"/>
      <c r="C224" s="32"/>
      <c r="D224" s="33"/>
      <c r="E224" s="34"/>
      <c r="F224" s="25" t="s">
        <v>45</v>
      </c>
      <c r="G224" s="35" t="s">
        <v>34</v>
      </c>
      <c r="H224" s="46">
        <v>0.8</v>
      </c>
      <c r="I224" s="46">
        <v>1</v>
      </c>
      <c r="J224" s="55">
        <v>-1.5</v>
      </c>
      <c r="K224" s="38">
        <v>-2.25</v>
      </c>
      <c r="L224" s="38">
        <v>0</v>
      </c>
      <c r="M224" s="43">
        <v>0</v>
      </c>
      <c r="N224" s="37">
        <f>K224+0.5*L224</f>
        <v>-2.25</v>
      </c>
      <c r="O224" s="37">
        <f t="shared" si="7"/>
        <v>-0.75</v>
      </c>
      <c r="P224" s="11">
        <v>22.52</v>
      </c>
      <c r="Q224" s="38">
        <v>22.65</v>
      </c>
      <c r="R224" s="50">
        <v>0.13</v>
      </c>
      <c r="S224" s="48">
        <v>170</v>
      </c>
      <c r="T224" s="48">
        <v>170</v>
      </c>
      <c r="U224" s="48">
        <v>80</v>
      </c>
      <c r="V224" s="48">
        <v>65</v>
      </c>
    </row>
    <row r="225" ht="17.6" customHeight="1" spans="1:22">
      <c r="A225" s="32"/>
      <c r="B225" s="32"/>
      <c r="C225" s="32"/>
      <c r="D225" s="33"/>
      <c r="E225" s="54" t="s">
        <v>286</v>
      </c>
      <c r="F225" s="25" t="s">
        <v>31</v>
      </c>
      <c r="G225" s="35" t="s">
        <v>33</v>
      </c>
      <c r="H225" s="36">
        <v>1</v>
      </c>
      <c r="I225" s="36">
        <v>1</v>
      </c>
      <c r="J225" s="55">
        <v>-1.5</v>
      </c>
      <c r="K225" s="38">
        <v>-1</v>
      </c>
      <c r="L225" s="38">
        <v>-1</v>
      </c>
      <c r="M225" s="43">
        <v>170</v>
      </c>
      <c r="N225" s="37">
        <v>-1.5</v>
      </c>
      <c r="O225" s="37">
        <f t="shared" si="7"/>
        <v>0</v>
      </c>
      <c r="P225" s="11">
        <v>25.16</v>
      </c>
      <c r="Q225" s="38">
        <v>25.28</v>
      </c>
      <c r="R225" s="38">
        <v>0.12</v>
      </c>
      <c r="S225" s="48">
        <v>170</v>
      </c>
      <c r="T225" s="48">
        <v>170</v>
      </c>
      <c r="U225" s="48">
        <v>0</v>
      </c>
      <c r="V225" s="48">
        <v>35</v>
      </c>
    </row>
    <row r="226" ht="17.6" customHeight="1" spans="1:22">
      <c r="A226" s="32"/>
      <c r="B226" s="32"/>
      <c r="C226" s="32"/>
      <c r="D226" s="33"/>
      <c r="E226" s="34"/>
      <c r="F226" s="25" t="s">
        <v>31</v>
      </c>
      <c r="G226" s="35" t="s">
        <v>34</v>
      </c>
      <c r="H226" s="36">
        <v>1</v>
      </c>
      <c r="I226" s="36">
        <v>1</v>
      </c>
      <c r="J226" s="55">
        <v>-1.125</v>
      </c>
      <c r="K226" s="38">
        <v>-0.75</v>
      </c>
      <c r="L226" s="38">
        <v>-1.25</v>
      </c>
      <c r="M226" s="43">
        <v>180</v>
      </c>
      <c r="N226" s="37">
        <f>K226+0.5*L226</f>
        <v>-1.375</v>
      </c>
      <c r="O226" s="37">
        <f t="shared" si="7"/>
        <v>-0.25</v>
      </c>
      <c r="P226" s="11">
        <v>25.01</v>
      </c>
      <c r="Q226" s="38">
        <v>25.18</v>
      </c>
      <c r="R226" s="50">
        <v>0.17</v>
      </c>
      <c r="S226" s="48">
        <v>170</v>
      </c>
      <c r="T226" s="48">
        <v>170</v>
      </c>
      <c r="U226" s="48">
        <v>120</v>
      </c>
      <c r="V226" s="48">
        <v>0</v>
      </c>
    </row>
    <row r="227" ht="17.6" customHeight="1" spans="1:22">
      <c r="A227" s="32"/>
      <c r="B227" s="32"/>
      <c r="C227" s="32"/>
      <c r="D227" s="56">
        <v>42235</v>
      </c>
      <c r="E227" s="54" t="s">
        <v>289</v>
      </c>
      <c r="F227" s="25" t="s">
        <v>45</v>
      </c>
      <c r="G227" s="35" t="s">
        <v>33</v>
      </c>
      <c r="H227" s="36">
        <v>1</v>
      </c>
      <c r="I227" s="36">
        <v>1</v>
      </c>
      <c r="J227" s="55">
        <v>-2</v>
      </c>
      <c r="K227" s="38">
        <v>-1.5</v>
      </c>
      <c r="L227" s="38">
        <v>-1</v>
      </c>
      <c r="M227" s="43">
        <v>180</v>
      </c>
      <c r="N227" s="37">
        <v>-2</v>
      </c>
      <c r="O227" s="37">
        <f t="shared" si="7"/>
        <v>0</v>
      </c>
      <c r="P227" s="11">
        <v>25.61</v>
      </c>
      <c r="Q227" s="38">
        <v>25.58</v>
      </c>
      <c r="R227" s="38">
        <v>-0.03</v>
      </c>
      <c r="S227" s="48">
        <v>170</v>
      </c>
      <c r="T227" s="48">
        <v>170</v>
      </c>
      <c r="U227" s="48">
        <v>120</v>
      </c>
      <c r="V227" s="48">
        <v>45</v>
      </c>
    </row>
    <row r="228" ht="17.6" customHeight="1" spans="1:22">
      <c r="A228" s="32"/>
      <c r="B228" s="32"/>
      <c r="C228" s="32"/>
      <c r="D228" s="33"/>
      <c r="E228" s="34"/>
      <c r="F228" s="25" t="s">
        <v>45</v>
      </c>
      <c r="G228" s="35" t="s">
        <v>34</v>
      </c>
      <c r="H228" s="36">
        <v>1</v>
      </c>
      <c r="I228" s="36">
        <v>1</v>
      </c>
      <c r="J228" s="55">
        <v>-1.375</v>
      </c>
      <c r="K228" s="38">
        <v>-0.75</v>
      </c>
      <c r="L228" s="38">
        <v>-1</v>
      </c>
      <c r="M228" s="43">
        <v>180</v>
      </c>
      <c r="N228" s="37">
        <f>K228+0.5*L228</f>
        <v>-1.25</v>
      </c>
      <c r="O228" s="37">
        <f t="shared" si="7"/>
        <v>0.125</v>
      </c>
      <c r="P228" s="11">
        <v>25.23</v>
      </c>
      <c r="Q228" s="38">
        <v>25.25</v>
      </c>
      <c r="R228" s="50">
        <v>0.02</v>
      </c>
      <c r="S228" s="48">
        <v>170</v>
      </c>
      <c r="T228" s="48">
        <v>170</v>
      </c>
      <c r="U228" s="48">
        <v>45</v>
      </c>
      <c r="V228" s="48">
        <v>15</v>
      </c>
    </row>
    <row r="229" ht="17.6" customHeight="1" spans="1:22">
      <c r="A229" s="32"/>
      <c r="B229" s="32"/>
      <c r="C229" s="32"/>
      <c r="D229" s="33">
        <v>42387</v>
      </c>
      <c r="E229" s="57" t="s">
        <v>291</v>
      </c>
      <c r="F229" s="25" t="s">
        <v>39</v>
      </c>
      <c r="G229" s="35" t="s">
        <v>33</v>
      </c>
      <c r="H229" s="46">
        <v>1</v>
      </c>
      <c r="I229" s="46">
        <v>1</v>
      </c>
      <c r="J229" s="55">
        <v>-0.75</v>
      </c>
      <c r="K229" s="38">
        <v>-0.5</v>
      </c>
      <c r="L229" s="38">
        <v>-0.25</v>
      </c>
      <c r="M229" s="43">
        <v>175</v>
      </c>
      <c r="N229" s="37">
        <v>-0.625</v>
      </c>
      <c r="O229" s="37">
        <f t="shared" si="7"/>
        <v>0.125</v>
      </c>
      <c r="P229" s="37">
        <v>23.6</v>
      </c>
      <c r="Q229" s="38">
        <v>23.61</v>
      </c>
      <c r="R229" s="38">
        <v>0.01</v>
      </c>
      <c r="S229" s="48">
        <v>170</v>
      </c>
      <c r="T229" s="48">
        <v>170</v>
      </c>
      <c r="U229" s="48">
        <v>80</v>
      </c>
      <c r="V229" s="48">
        <v>3</v>
      </c>
    </row>
    <row r="230" ht="17.6" customHeight="1" spans="1:22">
      <c r="A230" s="32"/>
      <c r="B230" s="32"/>
      <c r="C230" s="32"/>
      <c r="D230" s="33"/>
      <c r="E230" s="34"/>
      <c r="F230" s="25" t="s">
        <v>39</v>
      </c>
      <c r="G230" s="35" t="s">
        <v>34</v>
      </c>
      <c r="H230" s="46">
        <v>1</v>
      </c>
      <c r="I230" s="46">
        <v>1</v>
      </c>
      <c r="J230" s="55">
        <v>-0.5</v>
      </c>
      <c r="K230" s="38">
        <v>-0.5</v>
      </c>
      <c r="L230" s="38">
        <v>0</v>
      </c>
      <c r="M230" s="43">
        <v>0</v>
      </c>
      <c r="N230" s="37">
        <f>K230+0.5*L230</f>
        <v>-0.5</v>
      </c>
      <c r="O230" s="37">
        <f t="shared" si="7"/>
        <v>0</v>
      </c>
      <c r="P230" s="49">
        <v>23.54</v>
      </c>
      <c r="Q230" s="38">
        <v>23.6</v>
      </c>
      <c r="R230" s="50">
        <v>0.06</v>
      </c>
      <c r="S230" s="48">
        <v>170</v>
      </c>
      <c r="T230" s="48">
        <v>170</v>
      </c>
      <c r="U230" s="48">
        <v>120</v>
      </c>
      <c r="V230" s="48">
        <v>24</v>
      </c>
    </row>
    <row r="231" ht="17.6" customHeight="1" spans="1:22">
      <c r="A231" s="58" t="str">
        <f>[1]取镜!C249</f>
        <v>北京</v>
      </c>
      <c r="B231" s="58" t="s">
        <v>295</v>
      </c>
      <c r="C231" s="58" t="s">
        <v>29</v>
      </c>
      <c r="D231" s="56">
        <v>42113</v>
      </c>
      <c r="E231" s="59" t="s">
        <v>296</v>
      </c>
      <c r="F231" s="25" t="s">
        <v>48</v>
      </c>
      <c r="G231" s="35" t="s">
        <v>33</v>
      </c>
      <c r="H231" s="46">
        <v>1</v>
      </c>
      <c r="I231" s="46">
        <v>1</v>
      </c>
      <c r="J231" s="55">
        <v>-1</v>
      </c>
      <c r="K231" s="38">
        <v>-0.5</v>
      </c>
      <c r="L231" s="38">
        <v>-0.5</v>
      </c>
      <c r="M231" s="43">
        <v>160</v>
      </c>
      <c r="N231" s="37">
        <v>-0.75</v>
      </c>
      <c r="O231" s="37">
        <f t="shared" si="7"/>
        <v>0.25</v>
      </c>
      <c r="P231" s="37">
        <v>23.3</v>
      </c>
      <c r="Q231" s="38">
        <v>23.18</v>
      </c>
      <c r="R231" s="38">
        <v>-0.12</v>
      </c>
      <c r="S231" s="48">
        <v>170</v>
      </c>
      <c r="T231" s="48">
        <v>170</v>
      </c>
      <c r="U231" s="48">
        <v>80</v>
      </c>
      <c r="V231" s="48">
        <v>24</v>
      </c>
    </row>
    <row r="232" ht="17.6" customHeight="1" spans="1:22">
      <c r="A232" s="58" t="str">
        <f>[1]取镜!C250</f>
        <v>北京</v>
      </c>
      <c r="B232" s="58"/>
      <c r="C232" s="58"/>
      <c r="D232" s="56"/>
      <c r="E232" s="59"/>
      <c r="F232" s="25" t="s">
        <v>48</v>
      </c>
      <c r="G232" s="35" t="s">
        <v>34</v>
      </c>
      <c r="H232" s="46">
        <v>1</v>
      </c>
      <c r="I232" s="46">
        <v>1</v>
      </c>
      <c r="J232" s="55">
        <v>-0.75</v>
      </c>
      <c r="K232" s="38">
        <v>-0.5</v>
      </c>
      <c r="L232" s="38">
        <v>0</v>
      </c>
      <c r="M232" s="43">
        <v>0</v>
      </c>
      <c r="N232" s="37">
        <f>K232+0.5*L232</f>
        <v>-0.5</v>
      </c>
      <c r="O232" s="37">
        <f t="shared" si="7"/>
        <v>0.25</v>
      </c>
      <c r="P232" s="49">
        <v>23.03</v>
      </c>
      <c r="Q232" s="38">
        <v>22.98</v>
      </c>
      <c r="R232" s="50">
        <v>-0.05</v>
      </c>
      <c r="S232" s="48">
        <v>170</v>
      </c>
      <c r="T232" s="48">
        <v>170</v>
      </c>
      <c r="U232" s="48">
        <v>80</v>
      </c>
      <c r="V232" s="48">
        <v>45</v>
      </c>
    </row>
    <row r="233" ht="17.6" customHeight="1" spans="1:22">
      <c r="A233" s="58" t="str">
        <f>[1]取镜!C251</f>
        <v>石家庄人民眼科</v>
      </c>
      <c r="B233" s="58" t="s">
        <v>297</v>
      </c>
      <c r="C233" s="58" t="s">
        <v>37</v>
      </c>
      <c r="D233" s="56">
        <v>43560</v>
      </c>
      <c r="E233" s="59" t="s">
        <v>298</v>
      </c>
      <c r="F233" s="25" t="s">
        <v>39</v>
      </c>
      <c r="G233" s="35" t="s">
        <v>33</v>
      </c>
      <c r="H233" s="46">
        <v>1</v>
      </c>
      <c r="I233" s="46">
        <v>1</v>
      </c>
      <c r="J233" s="55">
        <v>-1.125</v>
      </c>
      <c r="K233" s="38">
        <v>-1.5</v>
      </c>
      <c r="L233" s="38"/>
      <c r="M233" s="43"/>
      <c r="N233" s="37">
        <v>-1.5</v>
      </c>
      <c r="O233" s="37">
        <f t="shared" si="7"/>
        <v>-0.375</v>
      </c>
      <c r="P233" s="37">
        <v>23.54</v>
      </c>
      <c r="Q233" s="38">
        <v>23.79</v>
      </c>
      <c r="R233" s="38">
        <v>0.25</v>
      </c>
      <c r="S233" s="48">
        <v>170</v>
      </c>
      <c r="T233" s="48">
        <v>170</v>
      </c>
      <c r="U233" s="48">
        <v>80</v>
      </c>
      <c r="V233" s="48">
        <v>65</v>
      </c>
    </row>
    <row r="234" ht="17.6" customHeight="1" spans="1:22">
      <c r="A234" s="58" t="str">
        <f>[1]取镜!C252</f>
        <v>石家庄人民眼科</v>
      </c>
      <c r="B234" s="58"/>
      <c r="C234" s="58"/>
      <c r="D234" s="56"/>
      <c r="E234" s="59"/>
      <c r="F234" s="25" t="s">
        <v>39</v>
      </c>
      <c r="G234" s="35" t="s">
        <v>34</v>
      </c>
      <c r="H234" s="46">
        <v>1</v>
      </c>
      <c r="I234" s="46">
        <v>1</v>
      </c>
      <c r="J234" s="55">
        <v>-0.875</v>
      </c>
      <c r="K234" s="38">
        <v>-0.75</v>
      </c>
      <c r="L234" s="38">
        <v>-0.75</v>
      </c>
      <c r="M234" s="43">
        <v>170</v>
      </c>
      <c r="N234" s="37">
        <f>K234+0.5*L234</f>
        <v>-1.125</v>
      </c>
      <c r="O234" s="37">
        <f t="shared" si="7"/>
        <v>-0.25</v>
      </c>
      <c r="P234" s="49">
        <v>23.26</v>
      </c>
      <c r="Q234" s="50">
        <v>23.59</v>
      </c>
      <c r="R234" s="50">
        <v>0.33</v>
      </c>
      <c r="S234" s="48">
        <v>170</v>
      </c>
      <c r="T234" s="48">
        <v>170</v>
      </c>
      <c r="U234" s="48">
        <v>80</v>
      </c>
      <c r="V234" s="48">
        <v>65</v>
      </c>
    </row>
    <row r="235" ht="17.6" customHeight="1" spans="1:22">
      <c r="A235" s="58" t="str">
        <f>[1]取镜!C253</f>
        <v>石家庄人民眼科</v>
      </c>
      <c r="B235" s="58" t="s">
        <v>475</v>
      </c>
      <c r="C235" s="58" t="s">
        <v>37</v>
      </c>
      <c r="D235" s="56">
        <v>42723</v>
      </c>
      <c r="E235" s="59" t="s">
        <v>300</v>
      </c>
      <c r="F235" s="25" t="s">
        <v>45</v>
      </c>
      <c r="G235" s="35" t="s">
        <v>33</v>
      </c>
      <c r="H235" s="46">
        <v>1</v>
      </c>
      <c r="I235" s="46">
        <v>1</v>
      </c>
      <c r="J235" s="55">
        <v>-1.25</v>
      </c>
      <c r="K235" s="38">
        <v>-0.75</v>
      </c>
      <c r="L235" s="38">
        <v>-1.25</v>
      </c>
      <c r="M235" s="43">
        <v>5</v>
      </c>
      <c r="N235" s="37">
        <v>-1.375</v>
      </c>
      <c r="O235" s="37">
        <f t="shared" ref="O235:O240" si="8">N235-J235</f>
        <v>-0.125</v>
      </c>
      <c r="P235" s="37">
        <v>24.49</v>
      </c>
      <c r="Q235" s="38">
        <v>24.58</v>
      </c>
      <c r="R235" s="38">
        <v>0.09</v>
      </c>
      <c r="S235" s="48">
        <v>170</v>
      </c>
      <c r="T235" s="48">
        <v>170</v>
      </c>
      <c r="U235" s="48">
        <v>60</v>
      </c>
      <c r="V235" s="48">
        <v>24</v>
      </c>
    </row>
    <row r="236" ht="17.6" customHeight="1" spans="1:22">
      <c r="A236" s="58" t="str">
        <f>[1]取镜!C254</f>
        <v>石家庄人民眼科</v>
      </c>
      <c r="B236" s="58"/>
      <c r="C236" s="58"/>
      <c r="D236" s="56"/>
      <c r="E236" s="59"/>
      <c r="F236" s="25" t="s">
        <v>45</v>
      </c>
      <c r="G236" s="35" t="s">
        <v>34</v>
      </c>
      <c r="H236" s="46">
        <v>1</v>
      </c>
      <c r="I236" s="46">
        <v>1</v>
      </c>
      <c r="J236" s="55">
        <v>-1.375</v>
      </c>
      <c r="K236" s="38">
        <v>-0.5</v>
      </c>
      <c r="L236" s="38">
        <v>-1.75</v>
      </c>
      <c r="M236" s="43">
        <v>5</v>
      </c>
      <c r="N236" s="37">
        <f>K236+0.5*L236</f>
        <v>-1.375</v>
      </c>
      <c r="O236" s="37">
        <f t="shared" si="8"/>
        <v>0</v>
      </c>
      <c r="P236" s="49">
        <v>24.42</v>
      </c>
      <c r="Q236" s="38">
        <v>24.52</v>
      </c>
      <c r="R236" s="50">
        <v>0.1</v>
      </c>
      <c r="S236" s="48">
        <v>170</v>
      </c>
      <c r="T236" s="48">
        <v>170</v>
      </c>
      <c r="U236" s="48">
        <v>120</v>
      </c>
      <c r="V236" s="48">
        <v>45</v>
      </c>
    </row>
    <row r="237" ht="17.6" customHeight="1" spans="1:22">
      <c r="A237" s="32"/>
      <c r="B237" s="32"/>
      <c r="C237" s="32"/>
      <c r="D237" s="33">
        <v>42534</v>
      </c>
      <c r="E237" s="54" t="s">
        <v>302</v>
      </c>
      <c r="F237" s="25" t="s">
        <v>45</v>
      </c>
      <c r="G237" s="35" t="s">
        <v>33</v>
      </c>
      <c r="H237" s="46">
        <v>1</v>
      </c>
      <c r="I237" s="46">
        <v>1</v>
      </c>
      <c r="J237" s="55">
        <v>-1.25</v>
      </c>
      <c r="K237" s="207" t="s">
        <v>476</v>
      </c>
      <c r="L237" s="207" t="s">
        <v>476</v>
      </c>
      <c r="M237" s="43">
        <v>160</v>
      </c>
      <c r="N237" s="37">
        <v>-0.75</v>
      </c>
      <c r="O237" s="37">
        <f t="shared" si="8"/>
        <v>0.5</v>
      </c>
      <c r="P237" s="37">
        <v>22.69</v>
      </c>
      <c r="Q237" s="38">
        <v>22.67</v>
      </c>
      <c r="R237" s="60">
        <v>-0.02</v>
      </c>
      <c r="S237" s="61" t="s">
        <v>477</v>
      </c>
      <c r="T237" s="62"/>
      <c r="U237" s="62"/>
      <c r="V237" s="63"/>
    </row>
    <row r="238" ht="17.6" customHeight="1" spans="1:22">
      <c r="A238" s="32"/>
      <c r="B238" s="32"/>
      <c r="C238" s="32"/>
      <c r="D238" s="33"/>
      <c r="E238" s="34"/>
      <c r="F238" s="25" t="s">
        <v>45</v>
      </c>
      <c r="G238" s="35" t="s">
        <v>34</v>
      </c>
      <c r="H238" s="46">
        <v>1</v>
      </c>
      <c r="I238" s="46">
        <v>1</v>
      </c>
      <c r="J238" s="55">
        <v>-1.25</v>
      </c>
      <c r="K238" s="207" t="s">
        <v>478</v>
      </c>
      <c r="L238" s="207" t="s">
        <v>476</v>
      </c>
      <c r="M238" s="43">
        <v>20</v>
      </c>
      <c r="N238" s="37">
        <f>K238+0.5*L238</f>
        <v>-0.5</v>
      </c>
      <c r="O238" s="37">
        <f t="shared" si="8"/>
        <v>0.75</v>
      </c>
      <c r="P238" s="49">
        <v>22.62</v>
      </c>
      <c r="Q238" s="38">
        <v>22.58</v>
      </c>
      <c r="R238" s="64">
        <v>-0.04</v>
      </c>
      <c r="S238" s="65"/>
      <c r="T238" s="66"/>
      <c r="U238" s="66"/>
      <c r="V238" s="67"/>
    </row>
    <row r="239" ht="17.6" customHeight="1" spans="1:22">
      <c r="A239" s="32"/>
      <c r="B239" s="32"/>
      <c r="C239" s="32"/>
      <c r="D239" s="33">
        <v>41054</v>
      </c>
      <c r="E239" s="54" t="s">
        <v>304</v>
      </c>
      <c r="F239" s="25" t="s">
        <v>48</v>
      </c>
      <c r="G239" s="35" t="s">
        <v>33</v>
      </c>
      <c r="H239" s="46">
        <v>1</v>
      </c>
      <c r="I239" s="46">
        <v>1</v>
      </c>
      <c r="J239" s="55">
        <v>-5</v>
      </c>
      <c r="K239" s="38">
        <v>-4.75</v>
      </c>
      <c r="L239" s="38">
        <v>-1</v>
      </c>
      <c r="M239" s="43">
        <v>170</v>
      </c>
      <c r="N239" s="37">
        <v>-5.25</v>
      </c>
      <c r="O239" s="37">
        <f t="shared" si="8"/>
        <v>-0.25</v>
      </c>
      <c r="P239" s="37">
        <v>25.54</v>
      </c>
      <c r="Q239" s="38">
        <v>25.61</v>
      </c>
      <c r="R239" s="38">
        <v>0.07</v>
      </c>
      <c r="S239" s="48">
        <v>170</v>
      </c>
      <c r="T239" s="48">
        <v>170</v>
      </c>
      <c r="U239" s="48">
        <v>80</v>
      </c>
      <c r="V239" s="48">
        <v>35</v>
      </c>
    </row>
    <row r="240" ht="17.6" customHeight="1" spans="1:22">
      <c r="A240" s="32"/>
      <c r="B240" s="32"/>
      <c r="C240" s="32"/>
      <c r="D240" s="33"/>
      <c r="E240" s="34"/>
      <c r="F240" s="25" t="s">
        <v>48</v>
      </c>
      <c r="G240" s="35" t="s">
        <v>34</v>
      </c>
      <c r="H240" s="46">
        <v>1</v>
      </c>
      <c r="I240" s="46">
        <v>1</v>
      </c>
      <c r="J240" s="55">
        <v>-4.75</v>
      </c>
      <c r="K240" s="38">
        <v>-4.75</v>
      </c>
      <c r="L240" s="38">
        <v>-0.75</v>
      </c>
      <c r="M240" s="43">
        <v>10</v>
      </c>
      <c r="N240" s="37">
        <f>K240+0.5*L240</f>
        <v>-5.125</v>
      </c>
      <c r="O240" s="37">
        <f t="shared" si="8"/>
        <v>-0.375</v>
      </c>
      <c r="P240" s="49">
        <v>25.58</v>
      </c>
      <c r="Q240" s="38">
        <v>25.59</v>
      </c>
      <c r="R240" s="50">
        <v>0.01</v>
      </c>
      <c r="S240" s="48">
        <v>170</v>
      </c>
      <c r="T240" s="48">
        <v>170</v>
      </c>
      <c r="U240" s="48">
        <v>80</v>
      </c>
      <c r="V240" s="48">
        <v>45</v>
      </c>
    </row>
    <row r="241" ht="17.6" customHeight="1" spans="1:22">
      <c r="A241" s="58" t="str">
        <f>[1]取镜!C255</f>
        <v>石家庄人民眼科</v>
      </c>
      <c r="B241" s="68" t="s">
        <v>305</v>
      </c>
      <c r="C241" s="58" t="s">
        <v>37</v>
      </c>
      <c r="D241" s="56">
        <v>40672</v>
      </c>
      <c r="E241" s="59" t="s">
        <v>306</v>
      </c>
      <c r="F241" s="25" t="s">
        <v>31</v>
      </c>
      <c r="G241" s="35" t="s">
        <v>33</v>
      </c>
      <c r="H241" s="46">
        <v>1</v>
      </c>
      <c r="I241" s="46">
        <v>1</v>
      </c>
      <c r="J241" s="55"/>
      <c r="K241" s="38">
        <v>-2.5</v>
      </c>
      <c r="L241" s="38">
        <v>-1</v>
      </c>
      <c r="M241" s="43">
        <v>170</v>
      </c>
      <c r="N241" s="37">
        <v>-3</v>
      </c>
      <c r="O241" s="37"/>
      <c r="P241" s="37"/>
      <c r="Q241" s="38">
        <v>25</v>
      </c>
      <c r="R241" s="38"/>
      <c r="S241" s="48">
        <v>170</v>
      </c>
      <c r="T241" s="48">
        <v>170</v>
      </c>
      <c r="U241" s="48">
        <v>35</v>
      </c>
      <c r="V241" s="48">
        <v>8</v>
      </c>
    </row>
    <row r="242" ht="17.6" customHeight="1" spans="1:22">
      <c r="A242" s="58" t="str">
        <f>[1]取镜!C256</f>
        <v>石家庄人民眼科</v>
      </c>
      <c r="B242" s="58"/>
      <c r="C242" s="58"/>
      <c r="D242" s="56"/>
      <c r="E242" s="59"/>
      <c r="F242" s="25" t="s">
        <v>31</v>
      </c>
      <c r="G242" s="35" t="s">
        <v>34</v>
      </c>
      <c r="H242" s="46">
        <v>1</v>
      </c>
      <c r="I242" s="46">
        <v>1</v>
      </c>
      <c r="J242" s="55"/>
      <c r="K242" s="38">
        <v>-2</v>
      </c>
      <c r="L242" s="38">
        <v>-1.25</v>
      </c>
      <c r="M242" s="43">
        <v>5</v>
      </c>
      <c r="N242" s="37">
        <f>K242+0.5*L242</f>
        <v>-2.625</v>
      </c>
      <c r="O242" s="37"/>
      <c r="P242" s="37"/>
      <c r="Q242" s="38">
        <v>24.99</v>
      </c>
      <c r="R242" s="38"/>
      <c r="S242" s="48">
        <v>170</v>
      </c>
      <c r="T242" s="48">
        <v>170</v>
      </c>
      <c r="U242" s="48">
        <v>60</v>
      </c>
      <c r="V242" s="48">
        <v>35</v>
      </c>
    </row>
    <row r="243" ht="17.6" customHeight="1" spans="1:22">
      <c r="A243" s="58" t="str">
        <f>[1]取镜!C257</f>
        <v>石家庄人民眼科</v>
      </c>
      <c r="B243" s="58" t="s">
        <v>307</v>
      </c>
      <c r="C243" s="58" t="s">
        <v>29</v>
      </c>
      <c r="D243" s="56">
        <v>41988</v>
      </c>
      <c r="E243" s="59" t="s">
        <v>308</v>
      </c>
      <c r="F243" s="25" t="s">
        <v>31</v>
      </c>
      <c r="G243" s="35" t="s">
        <v>33</v>
      </c>
      <c r="H243" s="36">
        <v>1</v>
      </c>
      <c r="I243" s="36">
        <v>1</v>
      </c>
      <c r="J243" s="55">
        <v>-1.75</v>
      </c>
      <c r="K243" s="52"/>
      <c r="L243" s="52"/>
      <c r="M243" s="53"/>
      <c r="N243" s="53"/>
      <c r="O243" s="53"/>
      <c r="P243" s="53">
        <v>25.43</v>
      </c>
      <c r="Q243" s="38">
        <v>25.33</v>
      </c>
      <c r="R243" s="38">
        <v>-0.1</v>
      </c>
      <c r="S243" s="51"/>
      <c r="T243" s="51"/>
      <c r="U243" s="51"/>
      <c r="V243" s="51"/>
    </row>
    <row r="244" ht="17.6" customHeight="1" spans="1:22">
      <c r="A244" s="58" t="str">
        <f>[1]取镜!C258</f>
        <v>石家庄人民眼科</v>
      </c>
      <c r="B244" s="58"/>
      <c r="C244" s="58"/>
      <c r="D244" s="56"/>
      <c r="E244" s="59"/>
      <c r="F244" s="25" t="s">
        <v>31</v>
      </c>
      <c r="G244" s="35" t="s">
        <v>34</v>
      </c>
      <c r="H244" s="36">
        <v>1</v>
      </c>
      <c r="I244" s="36">
        <v>1</v>
      </c>
      <c r="J244" s="55">
        <v>-2</v>
      </c>
      <c r="K244" s="52"/>
      <c r="L244" s="52"/>
      <c r="M244" s="53"/>
      <c r="N244" s="53"/>
      <c r="O244" s="53"/>
      <c r="P244" s="69">
        <v>25.47</v>
      </c>
      <c r="Q244" s="38">
        <v>25.44</v>
      </c>
      <c r="R244" s="50">
        <v>-0.03</v>
      </c>
      <c r="S244" s="51"/>
      <c r="T244" s="51"/>
      <c r="U244" s="51"/>
      <c r="V244" s="51"/>
    </row>
    <row r="245" ht="17.6" customHeight="1" spans="1:22">
      <c r="A245" s="58" t="str">
        <f>[1]取镜!C261</f>
        <v>北京</v>
      </c>
      <c r="B245" s="58" t="s">
        <v>311</v>
      </c>
      <c r="C245" s="58" t="s">
        <v>29</v>
      </c>
      <c r="D245" s="70">
        <v>42318</v>
      </c>
      <c r="E245" s="59" t="s">
        <v>312</v>
      </c>
      <c r="F245" s="25" t="s">
        <v>48</v>
      </c>
      <c r="G245" s="35" t="s">
        <v>33</v>
      </c>
      <c r="H245" s="36">
        <v>1</v>
      </c>
      <c r="I245" s="36">
        <v>1</v>
      </c>
      <c r="J245" s="55">
        <v>-1</v>
      </c>
      <c r="K245" s="38">
        <v>-0.5</v>
      </c>
      <c r="L245" s="38">
        <v>-0.5</v>
      </c>
      <c r="M245" s="43">
        <v>170</v>
      </c>
      <c r="N245" s="37">
        <v>-0.75</v>
      </c>
      <c r="O245" s="37">
        <f>N245-J245</f>
        <v>0.25</v>
      </c>
      <c r="P245" s="37">
        <v>23.24</v>
      </c>
      <c r="Q245" s="38">
        <v>23.2</v>
      </c>
      <c r="R245" s="38">
        <v>-0.04</v>
      </c>
      <c r="S245" s="48">
        <v>170</v>
      </c>
      <c r="T245" s="48">
        <v>170</v>
      </c>
      <c r="U245" s="48">
        <v>45</v>
      </c>
      <c r="V245" s="48">
        <v>8</v>
      </c>
    </row>
    <row r="246" ht="17.6" customHeight="1" spans="1:22">
      <c r="A246" s="58"/>
      <c r="B246" s="58"/>
      <c r="C246" s="58"/>
      <c r="D246" s="56"/>
      <c r="E246" s="59"/>
      <c r="F246" s="25" t="s">
        <v>48</v>
      </c>
      <c r="G246" s="35" t="s">
        <v>34</v>
      </c>
      <c r="H246" s="36">
        <v>1</v>
      </c>
      <c r="I246" s="36">
        <v>1</v>
      </c>
      <c r="J246" s="55">
        <v>-0.625</v>
      </c>
      <c r="K246" s="38">
        <v>-0.5</v>
      </c>
      <c r="L246" s="38">
        <v>-0.5</v>
      </c>
      <c r="M246" s="43">
        <v>175</v>
      </c>
      <c r="N246" s="37">
        <f>K246+0.5*L246</f>
        <v>-0.75</v>
      </c>
      <c r="O246" s="37">
        <f t="shared" ref="O246:O277" si="9">N246-J246</f>
        <v>-0.125</v>
      </c>
      <c r="P246" s="49">
        <v>23.16</v>
      </c>
      <c r="Q246" s="38">
        <v>23.17</v>
      </c>
      <c r="R246" s="50">
        <v>0.01</v>
      </c>
      <c r="S246" s="48">
        <v>170</v>
      </c>
      <c r="T246" s="48">
        <v>170</v>
      </c>
      <c r="U246" s="48">
        <v>120</v>
      </c>
      <c r="V246" s="48">
        <v>24</v>
      </c>
    </row>
    <row r="247" ht="17.6" customHeight="1" spans="1:22">
      <c r="A247" s="58" t="s">
        <v>27</v>
      </c>
      <c r="B247" s="58" t="s">
        <v>316</v>
      </c>
      <c r="C247" s="58"/>
      <c r="D247" s="56"/>
      <c r="E247" s="59" t="s">
        <v>317</v>
      </c>
      <c r="F247" s="25" t="s">
        <v>39</v>
      </c>
      <c r="G247" s="35" t="s">
        <v>33</v>
      </c>
      <c r="H247" s="36">
        <v>1</v>
      </c>
      <c r="I247" s="36">
        <v>1</v>
      </c>
      <c r="J247" s="55">
        <v>-3</v>
      </c>
      <c r="K247" s="38">
        <v>-3</v>
      </c>
      <c r="L247" s="38">
        <v>-1</v>
      </c>
      <c r="M247" s="43">
        <v>10</v>
      </c>
      <c r="N247" s="37">
        <v>-3.5</v>
      </c>
      <c r="O247" s="37">
        <f t="shared" si="9"/>
        <v>-0.5</v>
      </c>
      <c r="P247" s="37">
        <v>25.37</v>
      </c>
      <c r="Q247" s="38">
        <v>25.61</v>
      </c>
      <c r="R247" s="38">
        <v>0.24</v>
      </c>
      <c r="S247" s="48">
        <v>170</v>
      </c>
      <c r="T247" s="48">
        <v>170</v>
      </c>
      <c r="U247" s="48">
        <v>120</v>
      </c>
      <c r="V247" s="48">
        <v>65</v>
      </c>
    </row>
    <row r="248" ht="17.6" customHeight="1" spans="1:22">
      <c r="A248" s="58"/>
      <c r="B248" s="58"/>
      <c r="C248" s="58"/>
      <c r="D248" s="56"/>
      <c r="E248" s="59"/>
      <c r="F248" s="25" t="s">
        <v>39</v>
      </c>
      <c r="G248" s="35" t="s">
        <v>34</v>
      </c>
      <c r="H248" s="36">
        <v>1</v>
      </c>
      <c r="I248" s="36">
        <v>1</v>
      </c>
      <c r="J248" s="55">
        <v>-2.75</v>
      </c>
      <c r="K248" s="38">
        <v>-2.75</v>
      </c>
      <c r="L248" s="38">
        <v>-1.75</v>
      </c>
      <c r="M248" s="43">
        <v>155</v>
      </c>
      <c r="N248" s="37">
        <f>K248+0.5*L248</f>
        <v>-3.625</v>
      </c>
      <c r="O248" s="37">
        <f t="shared" si="9"/>
        <v>-0.875</v>
      </c>
      <c r="P248" s="49">
        <v>25.33</v>
      </c>
      <c r="Q248" s="38">
        <v>25.61</v>
      </c>
      <c r="R248" s="50">
        <v>0.28</v>
      </c>
      <c r="S248" s="48">
        <v>170</v>
      </c>
      <c r="T248" s="48">
        <v>170</v>
      </c>
      <c r="U248" s="48">
        <v>80</v>
      </c>
      <c r="V248" s="48">
        <v>24</v>
      </c>
    </row>
    <row r="249" ht="17.6" customHeight="1" spans="1:22">
      <c r="A249" s="58" t="s">
        <v>27</v>
      </c>
      <c r="B249" s="58" t="s">
        <v>318</v>
      </c>
      <c r="C249" s="58"/>
      <c r="D249" s="56"/>
      <c r="E249" s="71" t="s">
        <v>319</v>
      </c>
      <c r="F249" s="72" t="s">
        <v>45</v>
      </c>
      <c r="G249" s="35" t="s">
        <v>33</v>
      </c>
      <c r="H249" s="36">
        <v>1</v>
      </c>
      <c r="I249" s="36">
        <v>1</v>
      </c>
      <c r="J249" s="55">
        <v>-2.125</v>
      </c>
      <c r="K249" s="38">
        <v>-1.5</v>
      </c>
      <c r="L249" s="38">
        <v>-0.5</v>
      </c>
      <c r="M249" s="43">
        <v>175</v>
      </c>
      <c r="N249" s="37">
        <v>-1.75</v>
      </c>
      <c r="O249" s="37">
        <f t="shared" si="9"/>
        <v>0.375</v>
      </c>
      <c r="P249" s="37">
        <v>25.31</v>
      </c>
      <c r="Q249" s="38">
        <v>25.29</v>
      </c>
      <c r="R249" s="38">
        <v>-0.02</v>
      </c>
      <c r="S249" s="48">
        <v>170</v>
      </c>
      <c r="T249" s="48">
        <v>170</v>
      </c>
      <c r="U249" s="48">
        <v>60</v>
      </c>
      <c r="V249" s="48">
        <v>24</v>
      </c>
    </row>
    <row r="250" ht="17.6" customHeight="1" spans="1:22">
      <c r="A250" s="58" t="s">
        <v>27</v>
      </c>
      <c r="B250" s="58"/>
      <c r="C250" s="58"/>
      <c r="D250" s="56"/>
      <c r="E250" s="73"/>
      <c r="F250" s="72" t="s">
        <v>45</v>
      </c>
      <c r="G250" s="35" t="s">
        <v>34</v>
      </c>
      <c r="H250" s="36">
        <v>1</v>
      </c>
      <c r="I250" s="36">
        <v>1</v>
      </c>
      <c r="J250" s="55">
        <v>-2.5</v>
      </c>
      <c r="K250" s="38">
        <v>-1.75</v>
      </c>
      <c r="L250" s="38">
        <v>-0.75</v>
      </c>
      <c r="M250" s="43">
        <v>175</v>
      </c>
      <c r="N250" s="37">
        <f>K250+0.5*L250</f>
        <v>-2.125</v>
      </c>
      <c r="O250" s="37">
        <f t="shared" si="9"/>
        <v>0.375</v>
      </c>
      <c r="P250" s="49">
        <v>25.24</v>
      </c>
      <c r="Q250" s="38">
        <v>25.28</v>
      </c>
      <c r="R250" s="50">
        <v>0.04</v>
      </c>
      <c r="S250" s="48">
        <v>170</v>
      </c>
      <c r="T250" s="48">
        <v>170</v>
      </c>
      <c r="U250" s="48">
        <v>35</v>
      </c>
      <c r="V250" s="48">
        <v>24</v>
      </c>
    </row>
    <row r="251" s="1" customFormat="1" ht="17.6" customHeight="1" spans="1:22">
      <c r="A251" s="58" t="s">
        <v>139</v>
      </c>
      <c r="B251" s="58" t="s">
        <v>320</v>
      </c>
      <c r="C251" s="58" t="s">
        <v>37</v>
      </c>
      <c r="D251" s="56">
        <v>41488</v>
      </c>
      <c r="E251" s="59" t="s">
        <v>321</v>
      </c>
      <c r="F251" s="74" t="s">
        <v>31</v>
      </c>
      <c r="G251" s="35" t="s">
        <v>33</v>
      </c>
      <c r="H251" s="75">
        <v>1</v>
      </c>
      <c r="I251" s="75">
        <v>1</v>
      </c>
      <c r="J251" s="55">
        <v>-0.75</v>
      </c>
      <c r="K251" s="76">
        <v>-0.75</v>
      </c>
      <c r="L251" s="76">
        <v>-0.25</v>
      </c>
      <c r="M251" s="77">
        <v>165</v>
      </c>
      <c r="N251" s="37">
        <v>-0.875</v>
      </c>
      <c r="O251" s="37">
        <f t="shared" si="9"/>
        <v>-0.125</v>
      </c>
      <c r="P251" s="37">
        <v>24.24</v>
      </c>
      <c r="Q251" s="76">
        <v>24.1</v>
      </c>
      <c r="R251" s="76">
        <v>-0.14</v>
      </c>
      <c r="S251" s="32"/>
      <c r="T251" s="32"/>
      <c r="U251" s="32"/>
      <c r="V251" s="32"/>
    </row>
    <row r="252" s="1" customFormat="1" ht="17.6" customHeight="1" spans="1:22">
      <c r="A252" s="58"/>
      <c r="B252" s="58"/>
      <c r="C252" s="58"/>
      <c r="E252" s="59"/>
      <c r="F252" s="74" t="s">
        <v>31</v>
      </c>
      <c r="G252" s="35" t="s">
        <v>34</v>
      </c>
      <c r="H252" s="75">
        <v>1</v>
      </c>
      <c r="I252" s="75">
        <v>1</v>
      </c>
      <c r="J252" s="55">
        <v>-0.75</v>
      </c>
      <c r="K252" s="76">
        <v>-0.5</v>
      </c>
      <c r="L252" s="76">
        <v>-0.75</v>
      </c>
      <c r="M252" s="77">
        <v>165</v>
      </c>
      <c r="N252" s="37">
        <f>K252+0.5*L252</f>
        <v>-0.875</v>
      </c>
      <c r="O252" s="37">
        <f t="shared" si="9"/>
        <v>-0.125</v>
      </c>
      <c r="P252" s="49">
        <v>24.07</v>
      </c>
      <c r="Q252" s="76">
        <v>23.97</v>
      </c>
      <c r="R252" s="78">
        <v>-0.1</v>
      </c>
      <c r="S252" s="32"/>
      <c r="T252" s="32"/>
      <c r="U252" s="32"/>
      <c r="V252" s="32"/>
    </row>
    <row r="253" ht="17.6" customHeight="1" spans="1:22">
      <c r="A253" s="58" t="str">
        <f>[1]取镜!C272</f>
        <v>石家庄人民眼科</v>
      </c>
      <c r="B253" s="58" t="s">
        <v>322</v>
      </c>
      <c r="C253" s="58" t="s">
        <v>37</v>
      </c>
      <c r="D253" s="56">
        <v>42173</v>
      </c>
      <c r="E253" s="59" t="s">
        <v>323</v>
      </c>
      <c r="F253" s="25" t="s">
        <v>45</v>
      </c>
      <c r="G253" s="35" t="s">
        <v>33</v>
      </c>
      <c r="H253" s="46">
        <v>1</v>
      </c>
      <c r="I253" s="46">
        <v>1</v>
      </c>
      <c r="J253" s="55">
        <v>-3</v>
      </c>
      <c r="K253" s="38">
        <v>-3</v>
      </c>
      <c r="L253" s="38">
        <v>-0.75</v>
      </c>
      <c r="M253" s="43">
        <v>175</v>
      </c>
      <c r="N253" s="37">
        <v>-3.375</v>
      </c>
      <c r="O253" s="37">
        <f t="shared" si="9"/>
        <v>-0.375</v>
      </c>
      <c r="P253" s="37">
        <v>24.79</v>
      </c>
      <c r="Q253" s="38">
        <v>24.94</v>
      </c>
      <c r="R253" s="38">
        <v>0.15</v>
      </c>
      <c r="S253" s="48">
        <v>170</v>
      </c>
      <c r="T253" s="48">
        <v>170</v>
      </c>
      <c r="U253" s="48">
        <v>35</v>
      </c>
      <c r="V253" s="48">
        <v>18</v>
      </c>
    </row>
    <row r="254" ht="17.6" customHeight="1" spans="1:22">
      <c r="A254" s="58" t="str">
        <f>[1]取镜!C273</f>
        <v>石家庄人民眼科</v>
      </c>
      <c r="B254" s="58"/>
      <c r="C254" s="58"/>
      <c r="D254" s="56"/>
      <c r="E254" s="59"/>
      <c r="F254" s="25" t="s">
        <v>45</v>
      </c>
      <c r="G254" s="35" t="s">
        <v>34</v>
      </c>
      <c r="H254" s="46">
        <v>1</v>
      </c>
      <c r="I254" s="46">
        <v>1</v>
      </c>
      <c r="J254" s="55">
        <v>-3</v>
      </c>
      <c r="K254" s="38">
        <v>-3.25</v>
      </c>
      <c r="L254" s="38">
        <v>0</v>
      </c>
      <c r="M254" s="43">
        <v>0</v>
      </c>
      <c r="N254" s="37">
        <f>K254+0.5*L254</f>
        <v>-3.25</v>
      </c>
      <c r="O254" s="37">
        <f t="shared" si="9"/>
        <v>-0.25</v>
      </c>
      <c r="P254" s="49">
        <v>24.8</v>
      </c>
      <c r="Q254" s="38">
        <v>25</v>
      </c>
      <c r="R254" s="50">
        <v>0.2</v>
      </c>
      <c r="S254" s="48">
        <v>170</v>
      </c>
      <c r="T254" s="48">
        <v>170</v>
      </c>
      <c r="U254" s="48">
        <v>80</v>
      </c>
      <c r="V254" s="48">
        <v>45</v>
      </c>
    </row>
    <row r="255" ht="17.6" customHeight="1" spans="1:22">
      <c r="A255" s="58" t="str">
        <f>[1]取镜!C274</f>
        <v>石家庄人民眼科</v>
      </c>
      <c r="B255" s="58" t="s">
        <v>324</v>
      </c>
      <c r="C255" s="58" t="s">
        <v>29</v>
      </c>
      <c r="D255" s="56">
        <v>42846</v>
      </c>
      <c r="E255" s="59" t="s">
        <v>325</v>
      </c>
      <c r="F255" s="25" t="s">
        <v>39</v>
      </c>
      <c r="G255" s="35" t="s">
        <v>33</v>
      </c>
      <c r="H255" s="46">
        <v>1</v>
      </c>
      <c r="I255" s="46">
        <v>1</v>
      </c>
      <c r="J255" s="55">
        <v>-1.5</v>
      </c>
      <c r="K255" s="38">
        <v>-1.5</v>
      </c>
      <c r="L255" s="38"/>
      <c r="M255" s="43"/>
      <c r="N255" s="37">
        <v>-1.5</v>
      </c>
      <c r="O255" s="37">
        <f t="shared" si="9"/>
        <v>0</v>
      </c>
      <c r="P255" s="37">
        <v>24.29</v>
      </c>
      <c r="Q255" s="38">
        <v>24.35</v>
      </c>
      <c r="R255" s="38">
        <v>0.06</v>
      </c>
      <c r="S255" s="48">
        <v>170</v>
      </c>
      <c r="T255" s="48">
        <v>170</v>
      </c>
      <c r="U255" s="48">
        <v>35</v>
      </c>
      <c r="V255" s="48">
        <v>0</v>
      </c>
    </row>
    <row r="256" ht="17.6" customHeight="1" spans="1:22">
      <c r="A256" s="58" t="s">
        <v>27</v>
      </c>
      <c r="B256" s="58"/>
      <c r="C256" s="58"/>
      <c r="D256" s="56"/>
      <c r="E256" s="59"/>
      <c r="F256" s="25" t="s">
        <v>39</v>
      </c>
      <c r="G256" s="35" t="s">
        <v>34</v>
      </c>
      <c r="H256" s="46">
        <v>1</v>
      </c>
      <c r="I256" s="46">
        <v>1</v>
      </c>
      <c r="J256" s="55">
        <v>-2</v>
      </c>
      <c r="K256" s="38">
        <v>-2</v>
      </c>
      <c r="L256" s="38">
        <v>-0.5</v>
      </c>
      <c r="M256" s="43">
        <v>10</v>
      </c>
      <c r="N256" s="37">
        <f>K256+0.5*L256</f>
        <v>-2.25</v>
      </c>
      <c r="O256" s="37">
        <f t="shared" si="9"/>
        <v>-0.25</v>
      </c>
      <c r="P256" s="49">
        <v>24.1</v>
      </c>
      <c r="Q256" s="38">
        <v>24.21</v>
      </c>
      <c r="R256" s="50">
        <v>0.11</v>
      </c>
      <c r="S256" s="48">
        <v>170</v>
      </c>
      <c r="T256" s="48">
        <v>170</v>
      </c>
      <c r="U256" s="48">
        <v>35</v>
      </c>
      <c r="V256" s="48">
        <v>4</v>
      </c>
    </row>
    <row r="257" ht="17.6" customHeight="1" spans="1:22">
      <c r="A257" s="58" t="s">
        <v>27</v>
      </c>
      <c r="B257" s="58" t="s">
        <v>326</v>
      </c>
      <c r="C257" s="58" t="s">
        <v>37</v>
      </c>
      <c r="D257" s="56">
        <v>41821</v>
      </c>
      <c r="E257" s="59" t="s">
        <v>327</v>
      </c>
      <c r="F257" s="25" t="s">
        <v>45</v>
      </c>
      <c r="G257" s="35" t="s">
        <v>33</v>
      </c>
      <c r="H257" s="46">
        <v>0.8</v>
      </c>
      <c r="I257" s="46">
        <v>1</v>
      </c>
      <c r="J257" s="55">
        <v>-1.75</v>
      </c>
      <c r="K257" s="38">
        <v>-2.25</v>
      </c>
      <c r="L257" s="38">
        <v>-0.5</v>
      </c>
      <c r="M257" s="43">
        <v>170</v>
      </c>
      <c r="N257" s="37">
        <v>-2.5</v>
      </c>
      <c r="O257" s="37">
        <f t="shared" si="9"/>
        <v>-0.75</v>
      </c>
      <c r="P257" s="37">
        <v>24.4</v>
      </c>
      <c r="Q257" s="38">
        <v>24.63</v>
      </c>
      <c r="R257" s="38">
        <v>0.23</v>
      </c>
      <c r="S257" s="48"/>
      <c r="T257" s="48"/>
      <c r="U257" s="48"/>
      <c r="V257" s="48"/>
    </row>
    <row r="258" ht="17.6" customHeight="1" spans="1:22">
      <c r="A258" s="58" t="s">
        <v>27</v>
      </c>
      <c r="B258" s="58"/>
      <c r="C258" s="58"/>
      <c r="D258" s="56"/>
      <c r="E258" s="59"/>
      <c r="F258" s="25" t="s">
        <v>45</v>
      </c>
      <c r="G258" s="35" t="s">
        <v>34</v>
      </c>
      <c r="H258" s="46">
        <v>0.8</v>
      </c>
      <c r="I258" s="46">
        <v>1</v>
      </c>
      <c r="J258" s="55">
        <v>-1.625</v>
      </c>
      <c r="K258" s="38">
        <v>-2</v>
      </c>
      <c r="L258" s="38">
        <v>-0.75</v>
      </c>
      <c r="M258" s="43">
        <v>175</v>
      </c>
      <c r="N258" s="37">
        <f>K258+0.5*L258</f>
        <v>-2.375</v>
      </c>
      <c r="O258" s="37">
        <f t="shared" si="9"/>
        <v>-0.75</v>
      </c>
      <c r="P258" s="49">
        <v>24.45</v>
      </c>
      <c r="Q258" s="38">
        <v>24.67</v>
      </c>
      <c r="R258" s="50">
        <v>0.22</v>
      </c>
      <c r="S258" s="48"/>
      <c r="T258" s="48"/>
      <c r="U258" s="48"/>
      <c r="V258" s="48"/>
    </row>
    <row r="259" ht="17.6" customHeight="1" spans="1:22">
      <c r="A259" s="58" t="s">
        <v>27</v>
      </c>
      <c r="B259" s="58" t="s">
        <v>328</v>
      </c>
      <c r="C259" s="58" t="s">
        <v>37</v>
      </c>
      <c r="D259" s="56">
        <v>40865</v>
      </c>
      <c r="E259" s="59" t="s">
        <v>329</v>
      </c>
      <c r="F259" s="25" t="s">
        <v>31</v>
      </c>
      <c r="G259" s="35" t="s">
        <v>33</v>
      </c>
      <c r="H259" s="46">
        <v>1</v>
      </c>
      <c r="I259" s="46">
        <v>1</v>
      </c>
      <c r="J259" s="55">
        <v>-1.25</v>
      </c>
      <c r="K259" s="38">
        <v>-1</v>
      </c>
      <c r="L259" s="38"/>
      <c r="M259" s="43"/>
      <c r="N259" s="37">
        <v>-1</v>
      </c>
      <c r="O259" s="37">
        <f t="shared" si="9"/>
        <v>0.25</v>
      </c>
      <c r="P259" s="37">
        <v>24.06</v>
      </c>
      <c r="Q259" s="38">
        <v>23.9</v>
      </c>
      <c r="R259" s="38">
        <v>-0.16</v>
      </c>
      <c r="S259" s="48">
        <v>170</v>
      </c>
      <c r="T259" s="48">
        <v>170</v>
      </c>
      <c r="U259" s="48">
        <v>25</v>
      </c>
      <c r="V259" s="48">
        <v>6</v>
      </c>
    </row>
    <row r="260" ht="17.6" customHeight="1" spans="1:22">
      <c r="A260" s="58" t="s">
        <v>27</v>
      </c>
      <c r="B260" s="58"/>
      <c r="C260" s="58"/>
      <c r="D260" s="56"/>
      <c r="E260" s="59"/>
      <c r="F260" s="25" t="s">
        <v>31</v>
      </c>
      <c r="G260" s="35" t="s">
        <v>34</v>
      </c>
      <c r="H260" s="46">
        <v>1</v>
      </c>
      <c r="I260" s="46">
        <v>1</v>
      </c>
      <c r="J260" s="55">
        <v>-1.125</v>
      </c>
      <c r="K260" s="38">
        <v>-0.75</v>
      </c>
      <c r="L260" s="38"/>
      <c r="M260" s="43"/>
      <c r="N260" s="37">
        <f>K260+0.5*L260</f>
        <v>-0.75</v>
      </c>
      <c r="O260" s="37">
        <f t="shared" si="9"/>
        <v>0.375</v>
      </c>
      <c r="P260" s="49">
        <v>23.81</v>
      </c>
      <c r="Q260" s="38">
        <v>23.73</v>
      </c>
      <c r="R260" s="50">
        <v>-0.08</v>
      </c>
      <c r="S260" s="48">
        <v>170</v>
      </c>
      <c r="T260" s="48">
        <v>170</v>
      </c>
      <c r="U260" s="48">
        <v>25</v>
      </c>
      <c r="V260" s="48">
        <v>8</v>
      </c>
    </row>
    <row r="261" ht="17.6" customHeight="1" spans="1:22">
      <c r="A261" s="58" t="s">
        <v>27</v>
      </c>
      <c r="B261" s="58" t="s">
        <v>332</v>
      </c>
      <c r="C261" s="58" t="s">
        <v>37</v>
      </c>
      <c r="D261" s="56">
        <v>42637</v>
      </c>
      <c r="E261" s="59" t="s">
        <v>333</v>
      </c>
      <c r="F261" s="25" t="s">
        <v>39</v>
      </c>
      <c r="G261" s="79" t="s">
        <v>33</v>
      </c>
      <c r="H261" s="46">
        <v>1</v>
      </c>
      <c r="I261" s="46">
        <v>1</v>
      </c>
      <c r="J261" s="55">
        <v>-2</v>
      </c>
      <c r="K261" s="38">
        <v>-2</v>
      </c>
      <c r="L261" s="38">
        <v>-0.25</v>
      </c>
      <c r="M261" s="43">
        <v>145</v>
      </c>
      <c r="N261" s="37">
        <v>-2.125</v>
      </c>
      <c r="O261" s="37">
        <f t="shared" si="9"/>
        <v>-0.125</v>
      </c>
      <c r="P261" s="37">
        <v>26.12</v>
      </c>
      <c r="Q261" s="38">
        <v>26.22</v>
      </c>
      <c r="R261" s="38">
        <v>0.1</v>
      </c>
      <c r="S261" s="48">
        <v>170</v>
      </c>
      <c r="T261" s="48">
        <v>170</v>
      </c>
      <c r="U261" s="48">
        <v>120</v>
      </c>
      <c r="V261" s="48">
        <v>15</v>
      </c>
    </row>
    <row r="262" ht="17.6" customHeight="1" spans="1:22">
      <c r="A262" s="58" t="s">
        <v>27</v>
      </c>
      <c r="B262" s="58"/>
      <c r="C262" s="58"/>
      <c r="D262" s="56"/>
      <c r="E262" s="59"/>
      <c r="F262" s="25" t="s">
        <v>39</v>
      </c>
      <c r="G262" s="80" t="s">
        <v>34</v>
      </c>
      <c r="H262" s="46">
        <v>1</v>
      </c>
      <c r="I262" s="46">
        <v>1</v>
      </c>
      <c r="J262" s="55">
        <v>-2</v>
      </c>
      <c r="K262" s="38">
        <v>-2</v>
      </c>
      <c r="L262" s="38"/>
      <c r="M262" s="43">
        <v>155</v>
      </c>
      <c r="N262" s="37">
        <f>K262+0.5*L262</f>
        <v>-2</v>
      </c>
      <c r="O262" s="37">
        <f t="shared" si="9"/>
        <v>0</v>
      </c>
      <c r="P262" s="49">
        <v>26.03</v>
      </c>
      <c r="Q262" s="38">
        <v>26.2</v>
      </c>
      <c r="R262" s="50">
        <v>0.17</v>
      </c>
      <c r="S262" s="48">
        <v>170</v>
      </c>
      <c r="T262" s="48">
        <v>170</v>
      </c>
      <c r="U262" s="48">
        <v>45</v>
      </c>
      <c r="V262" s="48">
        <v>15</v>
      </c>
    </row>
    <row r="263" ht="17.6" customHeight="1" spans="1:22">
      <c r="A263" s="58">
        <f>[1]取镜!C284</f>
        <v>0</v>
      </c>
      <c r="B263" s="58" t="s">
        <v>334</v>
      </c>
      <c r="C263" s="58" t="s">
        <v>29</v>
      </c>
      <c r="D263" s="56">
        <v>41957</v>
      </c>
      <c r="E263" s="59" t="s">
        <v>335</v>
      </c>
      <c r="F263" s="25" t="s">
        <v>39</v>
      </c>
      <c r="G263" s="35" t="s">
        <v>33</v>
      </c>
      <c r="H263" s="46">
        <v>1</v>
      </c>
      <c r="I263" s="46">
        <v>1</v>
      </c>
      <c r="J263" s="55">
        <v>0</v>
      </c>
      <c r="K263" s="38">
        <v>-0.25</v>
      </c>
      <c r="L263" s="38">
        <v>-0.5</v>
      </c>
      <c r="M263" s="43">
        <v>110</v>
      </c>
      <c r="N263" s="37">
        <v>-0.5</v>
      </c>
      <c r="O263" s="37">
        <f t="shared" si="9"/>
        <v>-0.5</v>
      </c>
      <c r="P263" s="37">
        <v>23.59</v>
      </c>
      <c r="Q263" s="38">
        <v>23.79</v>
      </c>
      <c r="R263" s="38">
        <v>0.2</v>
      </c>
      <c r="S263" s="48">
        <v>170</v>
      </c>
      <c r="T263" s="48">
        <v>170</v>
      </c>
      <c r="U263" s="48">
        <v>35</v>
      </c>
      <c r="V263" s="48">
        <v>15</v>
      </c>
    </row>
    <row r="264" ht="17.6" customHeight="1" spans="1:22">
      <c r="A264" s="58" t="s">
        <v>27</v>
      </c>
      <c r="B264" s="58"/>
      <c r="C264" s="58"/>
      <c r="D264" s="56"/>
      <c r="E264" s="59"/>
      <c r="F264" s="25" t="s">
        <v>39</v>
      </c>
      <c r="G264" s="35" t="s">
        <v>34</v>
      </c>
      <c r="H264" s="46">
        <v>1</v>
      </c>
      <c r="I264" s="46">
        <v>1</v>
      </c>
      <c r="J264" s="55">
        <v>0</v>
      </c>
      <c r="K264" s="38">
        <v>-0.5</v>
      </c>
      <c r="L264" s="38">
        <v>-0.5</v>
      </c>
      <c r="M264" s="43">
        <v>10</v>
      </c>
      <c r="N264" s="37">
        <f>K264+0.5*L264</f>
        <v>-0.75</v>
      </c>
      <c r="O264" s="37">
        <f t="shared" si="9"/>
        <v>-0.75</v>
      </c>
      <c r="P264" s="49">
        <v>24.15</v>
      </c>
      <c r="Q264" s="38">
        <v>24.04</v>
      </c>
      <c r="R264" s="50">
        <v>-0.11</v>
      </c>
      <c r="S264" s="48">
        <v>170</v>
      </c>
      <c r="T264" s="48">
        <v>170</v>
      </c>
      <c r="U264" s="48">
        <v>35</v>
      </c>
      <c r="V264" s="48">
        <v>8</v>
      </c>
    </row>
    <row r="265" ht="17.6" customHeight="1" spans="1:22">
      <c r="A265" s="58" t="s">
        <v>27</v>
      </c>
      <c r="B265" s="68" t="s">
        <v>336</v>
      </c>
      <c r="C265" s="81" t="s">
        <v>29</v>
      </c>
      <c r="D265" s="56">
        <v>41934</v>
      </c>
      <c r="E265" s="59" t="s">
        <v>337</v>
      </c>
      <c r="F265" s="25" t="s">
        <v>48</v>
      </c>
      <c r="G265" s="35" t="s">
        <v>33</v>
      </c>
      <c r="H265" s="46">
        <v>1</v>
      </c>
      <c r="I265" s="46">
        <v>1</v>
      </c>
      <c r="J265" s="55">
        <v>-2.25</v>
      </c>
      <c r="K265" s="38">
        <v>-2.25</v>
      </c>
      <c r="L265" s="38"/>
      <c r="M265" s="43"/>
      <c r="N265" s="37">
        <v>-2.25</v>
      </c>
      <c r="O265" s="37">
        <f t="shared" si="9"/>
        <v>0</v>
      </c>
      <c r="P265" s="37">
        <v>24.33</v>
      </c>
      <c r="Q265" s="38">
        <v>24.39</v>
      </c>
      <c r="R265" s="38">
        <v>0.06</v>
      </c>
      <c r="S265" s="48">
        <v>170</v>
      </c>
      <c r="T265" s="48">
        <v>170</v>
      </c>
      <c r="U265" s="48">
        <v>120</v>
      </c>
      <c r="V265" s="48">
        <v>65</v>
      </c>
    </row>
    <row r="266" ht="17.6" customHeight="1" spans="1:22">
      <c r="A266" s="58" t="str">
        <f>[1]取镜!C287</f>
        <v>石家庄人民眼科</v>
      </c>
      <c r="B266" s="58"/>
      <c r="C266" s="58"/>
      <c r="D266" s="82"/>
      <c r="E266" s="59"/>
      <c r="F266" s="25" t="s">
        <v>48</v>
      </c>
      <c r="G266" s="35" t="s">
        <v>34</v>
      </c>
      <c r="H266" s="46">
        <v>1</v>
      </c>
      <c r="I266" s="46">
        <v>1</v>
      </c>
      <c r="J266" s="55">
        <v>-2.625</v>
      </c>
      <c r="K266" s="38">
        <v>-2.25</v>
      </c>
      <c r="L266" s="38">
        <v>-1</v>
      </c>
      <c r="M266" s="43">
        <v>170</v>
      </c>
      <c r="N266" s="37">
        <f>K266+0.5*L266</f>
        <v>-2.75</v>
      </c>
      <c r="O266" s="37">
        <f t="shared" si="9"/>
        <v>-0.125</v>
      </c>
      <c r="P266" s="49">
        <v>24.39</v>
      </c>
      <c r="Q266" s="38">
        <v>24.55</v>
      </c>
      <c r="R266" s="50">
        <v>0.16</v>
      </c>
      <c r="S266" s="48">
        <v>170</v>
      </c>
      <c r="T266" s="48">
        <v>170</v>
      </c>
      <c r="U266" s="48">
        <v>80</v>
      </c>
      <c r="V266" s="48">
        <v>15</v>
      </c>
    </row>
    <row r="267" ht="17.6" customHeight="1" spans="1:22">
      <c r="A267" s="58" t="str">
        <f>[1]取镜!C288</f>
        <v>石家庄人民眼科</v>
      </c>
      <c r="B267" s="58" t="s">
        <v>338</v>
      </c>
      <c r="C267" s="58" t="s">
        <v>29</v>
      </c>
      <c r="D267" s="56">
        <v>41823</v>
      </c>
      <c r="E267" s="59" t="s">
        <v>339</v>
      </c>
      <c r="F267" s="25" t="s">
        <v>48</v>
      </c>
      <c r="G267" s="35" t="s">
        <v>33</v>
      </c>
      <c r="H267" s="46"/>
      <c r="I267" s="46"/>
      <c r="J267" s="55"/>
      <c r="K267" s="38">
        <v>-1.5</v>
      </c>
      <c r="L267" s="38">
        <v>-1</v>
      </c>
      <c r="M267" s="43">
        <v>160</v>
      </c>
      <c r="N267" s="37">
        <v>-2</v>
      </c>
      <c r="O267" s="37"/>
      <c r="P267" s="37">
        <v>23.44</v>
      </c>
      <c r="Q267" s="38">
        <v>23.51</v>
      </c>
      <c r="R267" s="38">
        <v>0.07</v>
      </c>
      <c r="S267" s="48">
        <v>170</v>
      </c>
      <c r="T267" s="48">
        <v>170</v>
      </c>
      <c r="U267" s="48">
        <v>120</v>
      </c>
      <c r="V267" s="48">
        <v>65</v>
      </c>
    </row>
    <row r="268" ht="17.6" customHeight="1" spans="1:22">
      <c r="A268" s="58" t="str">
        <f>[1]取镜!C289</f>
        <v>石家庄人民眼科</v>
      </c>
      <c r="B268" s="58"/>
      <c r="C268" s="58"/>
      <c r="D268" s="56"/>
      <c r="E268" s="59"/>
      <c r="F268" s="25" t="s">
        <v>48</v>
      </c>
      <c r="G268" s="35" t="s">
        <v>34</v>
      </c>
      <c r="H268" s="46"/>
      <c r="I268" s="46"/>
      <c r="J268" s="55"/>
      <c r="K268" s="38">
        <v>-1.75</v>
      </c>
      <c r="L268" s="38">
        <v>-1.25</v>
      </c>
      <c r="M268" s="43">
        <v>175</v>
      </c>
      <c r="N268" s="37">
        <f>K268+0.5*L268</f>
        <v>-2.375</v>
      </c>
      <c r="O268" s="37"/>
      <c r="P268" s="49">
        <v>23.56</v>
      </c>
      <c r="Q268" s="38">
        <v>23.68</v>
      </c>
      <c r="R268" s="50">
        <v>0.12</v>
      </c>
      <c r="S268" s="48">
        <v>170</v>
      </c>
      <c r="T268" s="48">
        <v>0</v>
      </c>
      <c r="U268" s="48">
        <v>120</v>
      </c>
      <c r="V268" s="48">
        <v>65</v>
      </c>
    </row>
    <row r="269" ht="17.6" customHeight="1" spans="1:22">
      <c r="A269" s="58" t="s">
        <v>27</v>
      </c>
      <c r="B269" s="58" t="s">
        <v>479</v>
      </c>
      <c r="C269" s="58" t="s">
        <v>29</v>
      </c>
      <c r="D269" s="56">
        <v>41746</v>
      </c>
      <c r="E269" s="59" t="s">
        <v>340</v>
      </c>
      <c r="F269" s="25" t="s">
        <v>31</v>
      </c>
      <c r="G269" s="35" t="s">
        <v>33</v>
      </c>
      <c r="H269" s="46">
        <v>1</v>
      </c>
      <c r="I269" s="46">
        <v>1</v>
      </c>
      <c r="J269" s="55"/>
      <c r="K269" s="52"/>
      <c r="L269" s="52"/>
      <c r="M269" s="53"/>
      <c r="N269" s="53"/>
      <c r="O269" s="37"/>
      <c r="P269" s="53"/>
      <c r="Q269" s="38">
        <v>23.68</v>
      </c>
      <c r="R269" s="38"/>
      <c r="S269" s="48">
        <v>170</v>
      </c>
      <c r="T269" s="48">
        <v>80</v>
      </c>
      <c r="U269" s="48">
        <v>45</v>
      </c>
      <c r="V269" s="48">
        <v>15</v>
      </c>
    </row>
    <row r="270" ht="17.6" customHeight="1" spans="1:22">
      <c r="A270" s="58" t="s">
        <v>27</v>
      </c>
      <c r="B270" s="58"/>
      <c r="C270" s="58"/>
      <c r="D270" s="56"/>
      <c r="E270" s="59"/>
      <c r="F270" s="25" t="s">
        <v>31</v>
      </c>
      <c r="G270" s="35" t="s">
        <v>34</v>
      </c>
      <c r="H270" s="46">
        <v>1</v>
      </c>
      <c r="I270" s="46">
        <v>1</v>
      </c>
      <c r="J270" s="55"/>
      <c r="K270" s="52"/>
      <c r="L270" s="52"/>
      <c r="M270" s="53"/>
      <c r="N270" s="53"/>
      <c r="O270" s="37"/>
      <c r="P270" s="53"/>
      <c r="Q270" s="38">
        <v>24.27</v>
      </c>
      <c r="R270" s="38"/>
      <c r="S270" s="48">
        <v>170</v>
      </c>
      <c r="T270" s="48">
        <v>170</v>
      </c>
      <c r="U270" s="48">
        <v>120</v>
      </c>
      <c r="V270" s="48">
        <v>6</v>
      </c>
    </row>
    <row r="271" ht="16.8" customHeight="1" spans="1:22">
      <c r="A271" s="32"/>
      <c r="B271" s="32"/>
      <c r="C271" s="32"/>
      <c r="D271" s="33">
        <v>42210</v>
      </c>
      <c r="E271" s="83" t="s">
        <v>342</v>
      </c>
      <c r="F271" s="84" t="s">
        <v>45</v>
      </c>
      <c r="G271" s="35" t="s">
        <v>33</v>
      </c>
      <c r="H271" s="46">
        <v>1</v>
      </c>
      <c r="I271" s="46">
        <v>1</v>
      </c>
      <c r="J271" s="55">
        <v>0</v>
      </c>
      <c r="K271" s="38">
        <v>-3</v>
      </c>
      <c r="L271" s="38"/>
      <c r="M271" s="43"/>
      <c r="N271" s="37">
        <v>-3</v>
      </c>
      <c r="O271" s="37"/>
      <c r="P271" s="37"/>
      <c r="Q271" s="38">
        <v>24.78</v>
      </c>
      <c r="R271" s="38"/>
      <c r="S271" s="48">
        <v>170</v>
      </c>
      <c r="T271" s="48">
        <v>170</v>
      </c>
      <c r="U271" s="48">
        <v>120</v>
      </c>
      <c r="V271" s="48">
        <v>15</v>
      </c>
    </row>
    <row r="272" ht="16.8" customHeight="1" spans="1:22">
      <c r="A272" s="32"/>
      <c r="B272" s="32"/>
      <c r="C272" s="32"/>
      <c r="D272" s="33"/>
      <c r="E272" s="34"/>
      <c r="F272" s="4" t="s">
        <v>45</v>
      </c>
      <c r="G272" s="35" t="s">
        <v>34</v>
      </c>
      <c r="H272" s="46">
        <v>1</v>
      </c>
      <c r="I272" s="36">
        <v>1</v>
      </c>
      <c r="J272" s="55">
        <v>0</v>
      </c>
      <c r="K272" s="38">
        <v>-2.75</v>
      </c>
      <c r="L272" s="38"/>
      <c r="M272" s="43"/>
      <c r="N272" s="37">
        <f>K272+0.5*L272</f>
        <v>-2.75</v>
      </c>
      <c r="O272" s="37"/>
      <c r="P272" s="37"/>
      <c r="Q272" s="38">
        <v>24.9</v>
      </c>
      <c r="R272" s="38"/>
      <c r="S272" s="48">
        <v>170</v>
      </c>
      <c r="T272" s="48">
        <v>170</v>
      </c>
      <c r="U272" s="48">
        <v>120</v>
      </c>
      <c r="V272" s="48">
        <v>65</v>
      </c>
    </row>
    <row r="273" ht="17.6" customHeight="1" spans="1:22">
      <c r="A273" s="58" t="s">
        <v>27</v>
      </c>
      <c r="B273" s="68" t="s">
        <v>343</v>
      </c>
      <c r="C273" s="81" t="s">
        <v>37</v>
      </c>
      <c r="D273" s="82">
        <v>41795</v>
      </c>
      <c r="E273" s="83" t="s">
        <v>344</v>
      </c>
      <c r="F273" s="84" t="s">
        <v>48</v>
      </c>
      <c r="G273" s="35" t="s">
        <v>33</v>
      </c>
      <c r="H273" s="46">
        <v>1</v>
      </c>
      <c r="I273" s="46">
        <v>1</v>
      </c>
      <c r="J273" s="55">
        <v>-1.25</v>
      </c>
      <c r="K273" s="38">
        <v>-0.75</v>
      </c>
      <c r="L273" s="38">
        <v>-1</v>
      </c>
      <c r="M273" s="43">
        <v>180</v>
      </c>
      <c r="N273" s="37">
        <v>-1.25</v>
      </c>
      <c r="O273" s="37">
        <f t="shared" si="9"/>
        <v>0</v>
      </c>
      <c r="P273" s="37">
        <v>24.74</v>
      </c>
      <c r="Q273" s="38">
        <v>24.72</v>
      </c>
      <c r="R273" s="38">
        <v>-0.02</v>
      </c>
      <c r="S273" s="48">
        <v>170</v>
      </c>
      <c r="T273" s="48">
        <v>170</v>
      </c>
      <c r="U273" s="48">
        <v>80</v>
      </c>
      <c r="V273" s="48">
        <v>45</v>
      </c>
    </row>
    <row r="274" ht="17.6" customHeight="1" spans="1:22">
      <c r="A274" s="58" t="str">
        <f>[1]取镜!C297</f>
        <v>石家庄人民眼科</v>
      </c>
      <c r="B274" s="85"/>
      <c r="D274" s="82"/>
      <c r="E274" s="42"/>
      <c r="F274" s="4" t="s">
        <v>48</v>
      </c>
      <c r="G274" s="35" t="s">
        <v>34</v>
      </c>
      <c r="H274" s="46">
        <v>1</v>
      </c>
      <c r="I274" s="46">
        <v>1</v>
      </c>
      <c r="J274" s="55">
        <v>-2.125</v>
      </c>
      <c r="K274" s="38">
        <v>-1.25</v>
      </c>
      <c r="L274" s="38">
        <v>-1</v>
      </c>
      <c r="M274" s="43">
        <v>160</v>
      </c>
      <c r="N274" s="37">
        <f>K274+0.5*L274</f>
        <v>-1.75</v>
      </c>
      <c r="O274" s="37">
        <f t="shared" si="9"/>
        <v>0.375</v>
      </c>
      <c r="P274" s="49">
        <v>24.97</v>
      </c>
      <c r="Q274" s="38">
        <v>24.98</v>
      </c>
      <c r="R274" s="50">
        <v>0.01</v>
      </c>
      <c r="S274" s="48">
        <v>170</v>
      </c>
      <c r="T274" s="48">
        <v>170</v>
      </c>
      <c r="U274" s="48">
        <v>120</v>
      </c>
      <c r="V274" s="48">
        <v>24</v>
      </c>
    </row>
    <row r="275" ht="18" customHeight="1" spans="1:22">
      <c r="A275" s="81" t="s">
        <v>27</v>
      </c>
      <c r="B275" s="86" t="s">
        <v>345</v>
      </c>
      <c r="C275" s="87" t="s">
        <v>37</v>
      </c>
      <c r="D275" s="88">
        <v>42611</v>
      </c>
      <c r="E275" s="89" t="s">
        <v>346</v>
      </c>
      <c r="F275" s="84" t="s">
        <v>39</v>
      </c>
      <c r="G275" s="32" t="s">
        <v>33</v>
      </c>
      <c r="H275" s="46">
        <v>1</v>
      </c>
      <c r="I275" s="46">
        <v>1</v>
      </c>
      <c r="J275" s="47"/>
      <c r="K275" s="38">
        <v>-2.25</v>
      </c>
      <c r="L275" s="38">
        <v>-0.25</v>
      </c>
      <c r="M275" s="43">
        <v>165</v>
      </c>
      <c r="N275" s="37">
        <v>-2.375</v>
      </c>
      <c r="O275" s="37"/>
      <c r="P275" s="37">
        <v>25</v>
      </c>
      <c r="Q275" s="38">
        <v>25.16</v>
      </c>
      <c r="R275" s="38">
        <v>0.16</v>
      </c>
      <c r="S275" s="48">
        <v>170</v>
      </c>
      <c r="T275" s="48">
        <v>170</v>
      </c>
      <c r="U275" s="48">
        <v>35</v>
      </c>
      <c r="V275" s="48">
        <v>24</v>
      </c>
    </row>
    <row r="276" ht="17.6" customHeight="1" spans="1:22">
      <c r="A276" s="81" t="s">
        <v>27</v>
      </c>
      <c r="B276" s="85"/>
      <c r="D276" s="90"/>
      <c r="F276" s="4" t="s">
        <v>39</v>
      </c>
      <c r="G276" s="32" t="s">
        <v>34</v>
      </c>
      <c r="H276" s="46">
        <v>1</v>
      </c>
      <c r="I276" s="46">
        <v>1</v>
      </c>
      <c r="J276" s="47"/>
      <c r="K276" s="38">
        <v>-1.5</v>
      </c>
      <c r="L276" s="38">
        <v>-1.25</v>
      </c>
      <c r="M276" s="43">
        <v>180</v>
      </c>
      <c r="N276" s="37">
        <f>K276+0.5*L276</f>
        <v>-2.125</v>
      </c>
      <c r="O276" s="37"/>
      <c r="P276" s="49">
        <v>24.93</v>
      </c>
      <c r="Q276" s="38">
        <v>25.07</v>
      </c>
      <c r="R276" s="50">
        <v>0.14</v>
      </c>
      <c r="S276" s="48">
        <v>170</v>
      </c>
      <c r="T276" s="48">
        <v>170</v>
      </c>
      <c r="U276" s="48">
        <v>120</v>
      </c>
      <c r="V276" s="48">
        <v>45</v>
      </c>
    </row>
    <row r="277" ht="17.6" customHeight="1" spans="1:22">
      <c r="A277" s="81" t="s">
        <v>27</v>
      </c>
      <c r="B277" s="68" t="s">
        <v>349</v>
      </c>
      <c r="C277" s="81" t="s">
        <v>29</v>
      </c>
      <c r="D277" s="82">
        <v>41941</v>
      </c>
      <c r="E277" s="89" t="s">
        <v>350</v>
      </c>
      <c r="F277" s="84" t="s">
        <v>48</v>
      </c>
      <c r="G277" s="32" t="s">
        <v>33</v>
      </c>
      <c r="H277" s="46">
        <v>1</v>
      </c>
      <c r="I277" s="46">
        <v>1</v>
      </c>
      <c r="J277" s="55">
        <v>-1.25</v>
      </c>
      <c r="K277" s="38">
        <v>-1</v>
      </c>
      <c r="L277" s="38">
        <v>-0.25</v>
      </c>
      <c r="M277" s="43">
        <v>170</v>
      </c>
      <c r="N277" s="37">
        <v>-1.125</v>
      </c>
      <c r="O277" s="37">
        <f t="shared" si="9"/>
        <v>0.125</v>
      </c>
      <c r="P277" s="37">
        <v>23.68</v>
      </c>
      <c r="Q277" s="38">
        <v>23.6</v>
      </c>
      <c r="R277" s="38">
        <v>-0.08</v>
      </c>
      <c r="S277" s="48">
        <v>170</v>
      </c>
      <c r="T277" s="48">
        <v>120</v>
      </c>
      <c r="U277" s="48">
        <v>80</v>
      </c>
      <c r="V277" s="48">
        <v>15</v>
      </c>
    </row>
    <row r="278" ht="17.6" customHeight="1" spans="1:22">
      <c r="A278" s="81" t="s">
        <v>27</v>
      </c>
      <c r="B278" s="85"/>
      <c r="D278" s="90"/>
      <c r="F278" s="4" t="s">
        <v>48</v>
      </c>
      <c r="G278" s="32" t="s">
        <v>34</v>
      </c>
      <c r="H278" s="46">
        <v>1</v>
      </c>
      <c r="I278" s="46">
        <v>1</v>
      </c>
      <c r="J278" s="55">
        <v>-0.875</v>
      </c>
      <c r="K278" s="38">
        <v>-0.5</v>
      </c>
      <c r="L278" s="38">
        <v>-0.25</v>
      </c>
      <c r="M278" s="43">
        <v>170</v>
      </c>
      <c r="N278" s="37">
        <f>K278+0.5*L278</f>
        <v>-0.625</v>
      </c>
      <c r="O278" s="37">
        <f t="shared" ref="O278:O309" si="10">N278-J278</f>
        <v>0.25</v>
      </c>
      <c r="P278" s="49">
        <v>23.49</v>
      </c>
      <c r="Q278" s="38">
        <v>23.47</v>
      </c>
      <c r="R278" s="50">
        <v>-0.02</v>
      </c>
      <c r="S278" s="48">
        <v>170</v>
      </c>
      <c r="T278" s="48">
        <v>120</v>
      </c>
      <c r="U278" s="48">
        <v>60</v>
      </c>
      <c r="V278" s="48">
        <v>15</v>
      </c>
    </row>
    <row r="279" ht="17.6" customHeight="1" spans="1:22">
      <c r="A279" s="81" t="s">
        <v>27</v>
      </c>
      <c r="B279" s="68" t="s">
        <v>351</v>
      </c>
      <c r="C279" s="81" t="s">
        <v>29</v>
      </c>
      <c r="D279" s="82">
        <v>42288</v>
      </c>
      <c r="E279" s="89" t="s">
        <v>352</v>
      </c>
      <c r="F279" s="84" t="s">
        <v>45</v>
      </c>
      <c r="G279" s="32" t="s">
        <v>33</v>
      </c>
      <c r="H279" s="46">
        <v>1</v>
      </c>
      <c r="I279" s="46">
        <v>1</v>
      </c>
      <c r="J279" s="55">
        <v>-3.375</v>
      </c>
      <c r="K279" s="38">
        <v>-3.5</v>
      </c>
      <c r="L279" s="38"/>
      <c r="M279" s="43"/>
      <c r="N279" s="37">
        <v>-3.5</v>
      </c>
      <c r="O279" s="37">
        <f t="shared" si="10"/>
        <v>-0.125</v>
      </c>
      <c r="P279" s="37">
        <v>24.72</v>
      </c>
      <c r="Q279" s="38">
        <v>24.84</v>
      </c>
      <c r="R279" s="38">
        <v>0.12</v>
      </c>
      <c r="S279" s="48">
        <v>170</v>
      </c>
      <c r="T279" s="48">
        <v>170</v>
      </c>
      <c r="U279" s="48">
        <v>60</v>
      </c>
      <c r="V279" s="48">
        <v>45</v>
      </c>
    </row>
    <row r="280" ht="17.6" customHeight="1" spans="1:22">
      <c r="A280" s="81" t="s">
        <v>27</v>
      </c>
      <c r="B280" s="85"/>
      <c r="D280" s="90"/>
      <c r="F280" s="4" t="s">
        <v>45</v>
      </c>
      <c r="G280" s="32" t="s">
        <v>34</v>
      </c>
      <c r="H280" s="46">
        <v>1</v>
      </c>
      <c r="I280" s="46">
        <v>1</v>
      </c>
      <c r="J280" s="55">
        <v>-3</v>
      </c>
      <c r="K280" s="38">
        <v>-3</v>
      </c>
      <c r="L280" s="38">
        <v>-0.75</v>
      </c>
      <c r="M280" s="43">
        <v>175</v>
      </c>
      <c r="N280" s="37">
        <f>K280+0.5*L280</f>
        <v>-3.375</v>
      </c>
      <c r="O280" s="37">
        <f t="shared" si="10"/>
        <v>-0.375</v>
      </c>
      <c r="P280" s="49">
        <v>24.64</v>
      </c>
      <c r="Q280" s="38">
        <v>24.75</v>
      </c>
      <c r="R280" s="50">
        <v>0.11</v>
      </c>
      <c r="S280" s="48">
        <v>170</v>
      </c>
      <c r="T280" s="48">
        <v>170</v>
      </c>
      <c r="U280" s="48">
        <v>80</v>
      </c>
      <c r="V280" s="48">
        <v>8</v>
      </c>
    </row>
    <row r="281" ht="17.6" customHeight="1" spans="1:22">
      <c r="A281" s="81" t="s">
        <v>27</v>
      </c>
      <c r="B281" s="68" t="s">
        <v>353</v>
      </c>
      <c r="C281" s="81" t="s">
        <v>29</v>
      </c>
      <c r="D281" s="82">
        <v>42094</v>
      </c>
      <c r="E281" s="89" t="s">
        <v>354</v>
      </c>
      <c r="F281" s="84" t="s">
        <v>31</v>
      </c>
      <c r="G281" s="32" t="s">
        <v>33</v>
      </c>
      <c r="H281" s="46">
        <v>1</v>
      </c>
      <c r="I281" s="46">
        <v>1</v>
      </c>
      <c r="J281" s="55">
        <v>-2.625</v>
      </c>
      <c r="K281" s="38">
        <v>-2</v>
      </c>
      <c r="L281" s="38">
        <v>-1</v>
      </c>
      <c r="M281" s="43">
        <v>170</v>
      </c>
      <c r="N281" s="37">
        <v>-2.5</v>
      </c>
      <c r="O281" s="37">
        <f t="shared" si="10"/>
        <v>0.125</v>
      </c>
      <c r="P281" s="37">
        <v>23.64</v>
      </c>
      <c r="Q281" s="38">
        <v>23.69</v>
      </c>
      <c r="R281" s="38">
        <v>0.05</v>
      </c>
      <c r="S281" s="48">
        <v>170</v>
      </c>
      <c r="T281" s="48">
        <v>170</v>
      </c>
      <c r="U281" s="48">
        <v>15</v>
      </c>
      <c r="V281" s="48">
        <v>0</v>
      </c>
    </row>
    <row r="282" ht="17.6" customHeight="1" spans="1:22">
      <c r="A282" s="81" t="s">
        <v>27</v>
      </c>
      <c r="B282" s="85"/>
      <c r="D282" s="90"/>
      <c r="F282" s="4" t="s">
        <v>31</v>
      </c>
      <c r="G282" s="32" t="s">
        <v>34</v>
      </c>
      <c r="H282" s="46">
        <v>1</v>
      </c>
      <c r="I282" s="46">
        <v>1</v>
      </c>
      <c r="J282" s="55">
        <v>1.375</v>
      </c>
      <c r="K282" s="38">
        <v>-3</v>
      </c>
      <c r="L282" s="38">
        <v>-1.5</v>
      </c>
      <c r="M282" s="43">
        <v>170</v>
      </c>
      <c r="N282" s="37">
        <f>K282+0.5*L282</f>
        <v>-3.75</v>
      </c>
      <c r="O282" s="37">
        <f t="shared" si="10"/>
        <v>-5.125</v>
      </c>
      <c r="P282" s="49">
        <v>23.86</v>
      </c>
      <c r="Q282" s="38">
        <v>24.11</v>
      </c>
      <c r="R282" s="50">
        <v>0.25</v>
      </c>
      <c r="S282" s="48">
        <v>170</v>
      </c>
      <c r="T282" s="48">
        <v>170</v>
      </c>
      <c r="U282" s="48">
        <v>80</v>
      </c>
      <c r="V282" s="48">
        <v>45</v>
      </c>
    </row>
    <row r="283" ht="17.6" customHeight="1" spans="1:22">
      <c r="A283" s="81" t="s">
        <v>27</v>
      </c>
      <c r="B283" s="68" t="s">
        <v>355</v>
      </c>
      <c r="C283" s="81" t="s">
        <v>29</v>
      </c>
      <c r="D283" s="82">
        <v>42690</v>
      </c>
      <c r="E283" s="89" t="s">
        <v>356</v>
      </c>
      <c r="F283" s="84" t="s">
        <v>45</v>
      </c>
      <c r="G283" s="32" t="s">
        <v>33</v>
      </c>
      <c r="H283" s="46">
        <v>1</v>
      </c>
      <c r="I283" s="46">
        <v>1</v>
      </c>
      <c r="J283" s="55">
        <v>-3</v>
      </c>
      <c r="K283" s="38">
        <v>-3</v>
      </c>
      <c r="L283" s="38">
        <v>-0.5</v>
      </c>
      <c r="M283" s="43">
        <v>170</v>
      </c>
      <c r="N283" s="37">
        <v>-3.25</v>
      </c>
      <c r="O283" s="37">
        <f t="shared" si="10"/>
        <v>-0.25</v>
      </c>
      <c r="P283" s="37">
        <v>24.88</v>
      </c>
      <c r="Q283" s="38">
        <v>25.11</v>
      </c>
      <c r="R283" s="38">
        <v>0.23</v>
      </c>
      <c r="S283" s="48">
        <v>120</v>
      </c>
      <c r="T283" s="48">
        <v>80</v>
      </c>
      <c r="U283" s="48">
        <v>25</v>
      </c>
      <c r="V283" s="48">
        <v>8</v>
      </c>
    </row>
    <row r="284" ht="17.6" customHeight="1" spans="1:22">
      <c r="A284" s="81" t="s">
        <v>27</v>
      </c>
      <c r="B284" s="85"/>
      <c r="D284" s="90"/>
      <c r="F284" s="4" t="s">
        <v>45</v>
      </c>
      <c r="G284" s="32" t="s">
        <v>34</v>
      </c>
      <c r="H284" s="46">
        <v>1</v>
      </c>
      <c r="I284" s="46">
        <v>1</v>
      </c>
      <c r="J284" s="55">
        <v>-3</v>
      </c>
      <c r="K284" s="38">
        <v>-2.75</v>
      </c>
      <c r="L284" s="38">
        <v>-1</v>
      </c>
      <c r="M284" s="43">
        <v>165</v>
      </c>
      <c r="N284" s="37">
        <f>K284+0.5*L284</f>
        <v>-3.25</v>
      </c>
      <c r="O284" s="37">
        <f t="shared" si="10"/>
        <v>-0.25</v>
      </c>
      <c r="P284" s="49">
        <v>24.75</v>
      </c>
      <c r="Q284" s="38">
        <v>24.98</v>
      </c>
      <c r="R284" s="50">
        <v>0.23</v>
      </c>
      <c r="S284" s="48">
        <v>170</v>
      </c>
      <c r="T284" s="48">
        <v>170</v>
      </c>
      <c r="U284" s="48">
        <v>80</v>
      </c>
      <c r="V284" s="48">
        <v>24</v>
      </c>
    </row>
    <row r="285" ht="17.6" customHeight="1" spans="1:22">
      <c r="A285" s="81" t="s">
        <v>27</v>
      </c>
      <c r="B285" s="68" t="s">
        <v>357</v>
      </c>
      <c r="C285" s="81" t="s">
        <v>37</v>
      </c>
      <c r="D285" s="82">
        <v>42449</v>
      </c>
      <c r="E285" s="89" t="s">
        <v>358</v>
      </c>
      <c r="F285" s="84" t="s">
        <v>48</v>
      </c>
      <c r="G285" s="32" t="s">
        <v>33</v>
      </c>
      <c r="H285" s="46">
        <v>1</v>
      </c>
      <c r="I285" s="46">
        <v>1</v>
      </c>
      <c r="J285" s="55">
        <v>-1.75</v>
      </c>
      <c r="K285" s="52"/>
      <c r="L285" s="52"/>
      <c r="M285" s="53"/>
      <c r="N285" s="53"/>
      <c r="O285" s="37">
        <f t="shared" si="10"/>
        <v>1.75</v>
      </c>
      <c r="P285" s="53">
        <v>23.72</v>
      </c>
      <c r="Q285" s="38">
        <v>23.93</v>
      </c>
      <c r="R285" s="38">
        <v>0.21</v>
      </c>
      <c r="S285" s="48">
        <v>170</v>
      </c>
      <c r="T285" s="48">
        <v>170</v>
      </c>
      <c r="U285" s="48">
        <v>120</v>
      </c>
      <c r="V285" s="48">
        <v>65</v>
      </c>
    </row>
    <row r="286" ht="17.6" customHeight="1" spans="1:22">
      <c r="A286" s="81" t="s">
        <v>27</v>
      </c>
      <c r="B286" s="85"/>
      <c r="D286" s="90"/>
      <c r="F286" s="4" t="s">
        <v>48</v>
      </c>
      <c r="G286" s="32" t="s">
        <v>34</v>
      </c>
      <c r="H286" s="46">
        <v>1</v>
      </c>
      <c r="I286" s="46">
        <v>1</v>
      </c>
      <c r="J286" s="55">
        <v>-1.875</v>
      </c>
      <c r="K286" s="52"/>
      <c r="L286" s="52"/>
      <c r="M286" s="53"/>
      <c r="N286" s="53"/>
      <c r="O286" s="37">
        <f t="shared" si="10"/>
        <v>1.875</v>
      </c>
      <c r="P286" s="69">
        <v>23.86</v>
      </c>
      <c r="Q286" s="38">
        <v>24.09</v>
      </c>
      <c r="R286" s="50">
        <v>0.23</v>
      </c>
      <c r="S286" s="48">
        <v>170</v>
      </c>
      <c r="T286" s="48">
        <v>170</v>
      </c>
      <c r="U286" s="48">
        <v>120</v>
      </c>
      <c r="V286" s="48">
        <v>8</v>
      </c>
    </row>
    <row r="287" ht="17.6" customHeight="1" spans="1:22">
      <c r="A287" s="81" t="s">
        <v>27</v>
      </c>
      <c r="B287" s="68" t="s">
        <v>359</v>
      </c>
      <c r="C287" s="81" t="s">
        <v>29</v>
      </c>
      <c r="D287" s="82">
        <v>41983</v>
      </c>
      <c r="E287" s="89" t="s">
        <v>360</v>
      </c>
      <c r="F287" s="84" t="s">
        <v>31</v>
      </c>
      <c r="G287" s="32" t="s">
        <v>33</v>
      </c>
      <c r="H287" s="5">
        <v>1</v>
      </c>
      <c r="I287" s="5">
        <v>1</v>
      </c>
      <c r="J287" s="55">
        <v>-1.375</v>
      </c>
      <c r="K287" s="7">
        <v>-1.75</v>
      </c>
      <c r="L287" s="7">
        <v>-0.5</v>
      </c>
      <c r="M287" s="8">
        <v>180</v>
      </c>
      <c r="N287" s="37">
        <v>-2</v>
      </c>
      <c r="O287" s="37">
        <f t="shared" si="10"/>
        <v>-0.625</v>
      </c>
      <c r="P287" s="37">
        <v>24</v>
      </c>
      <c r="Q287" s="10">
        <v>24.19</v>
      </c>
      <c r="R287">
        <v>0.19</v>
      </c>
      <c r="S287" s="11">
        <v>170</v>
      </c>
      <c r="T287" s="11">
        <v>170</v>
      </c>
      <c r="U287" s="11">
        <v>80</v>
      </c>
      <c r="V287" s="11">
        <v>3</v>
      </c>
    </row>
    <row r="288" ht="17.6" customHeight="1" spans="1:22">
      <c r="A288" s="81" t="s">
        <v>27</v>
      </c>
      <c r="B288" s="85"/>
      <c r="D288" s="90"/>
      <c r="F288" s="4" t="s">
        <v>31</v>
      </c>
      <c r="G288" s="32" t="s">
        <v>34</v>
      </c>
      <c r="H288" s="5">
        <v>1</v>
      </c>
      <c r="I288" s="5">
        <v>1</v>
      </c>
      <c r="J288" s="55">
        <v>-1.75</v>
      </c>
      <c r="K288" s="7">
        <v>-2</v>
      </c>
      <c r="L288" s="7">
        <v>-0.75</v>
      </c>
      <c r="M288" s="8">
        <v>165</v>
      </c>
      <c r="N288" s="37">
        <f>K288+0.5*L288</f>
        <v>-2.375</v>
      </c>
      <c r="O288" s="37">
        <f t="shared" si="10"/>
        <v>-0.625</v>
      </c>
      <c r="P288" s="49">
        <v>24.19</v>
      </c>
      <c r="Q288" s="10">
        <v>24.44</v>
      </c>
      <c r="R288" s="91">
        <v>0.25</v>
      </c>
      <c r="S288" s="11">
        <v>170</v>
      </c>
      <c r="T288" s="11">
        <v>170</v>
      </c>
      <c r="U288" s="11">
        <v>15</v>
      </c>
      <c r="V288" s="11">
        <v>4</v>
      </c>
    </row>
    <row r="289" ht="17.6" customHeight="1" spans="1:22">
      <c r="A289" s="81" t="s">
        <v>27</v>
      </c>
      <c r="B289" s="68" t="s">
        <v>361</v>
      </c>
      <c r="C289" s="81" t="s">
        <v>29</v>
      </c>
      <c r="D289" s="82">
        <v>41539</v>
      </c>
      <c r="E289" s="89" t="s">
        <v>362</v>
      </c>
      <c r="F289" s="84" t="s">
        <v>48</v>
      </c>
      <c r="G289" s="32" t="s">
        <v>33</v>
      </c>
      <c r="H289" s="5">
        <v>1</v>
      </c>
      <c r="I289" s="5">
        <v>1</v>
      </c>
      <c r="J289" s="55">
        <v>-1.125</v>
      </c>
      <c r="K289" s="7">
        <v>-1</v>
      </c>
      <c r="L289" s="7">
        <v>-0.5</v>
      </c>
      <c r="M289" s="8">
        <v>160</v>
      </c>
      <c r="N289" s="37">
        <v>-1.25</v>
      </c>
      <c r="O289" s="37">
        <f t="shared" si="10"/>
        <v>-0.125</v>
      </c>
      <c r="P289" s="37">
        <v>23.53</v>
      </c>
      <c r="Q289" s="10">
        <v>23.47</v>
      </c>
      <c r="R289">
        <v>-0.06</v>
      </c>
      <c r="S289" s="11">
        <v>170</v>
      </c>
      <c r="T289" s="11">
        <v>170</v>
      </c>
      <c r="U289" s="11">
        <v>120</v>
      </c>
      <c r="V289" s="11">
        <v>45</v>
      </c>
    </row>
    <row r="290" ht="17.6" customHeight="1" spans="1:22">
      <c r="A290" s="81" t="s">
        <v>27</v>
      </c>
      <c r="B290" s="85"/>
      <c r="D290" s="90"/>
      <c r="F290" s="4" t="s">
        <v>48</v>
      </c>
      <c r="G290" s="32" t="s">
        <v>34</v>
      </c>
      <c r="H290" s="5">
        <v>1</v>
      </c>
      <c r="I290" s="5">
        <v>1</v>
      </c>
      <c r="J290" s="55">
        <v>-1.125</v>
      </c>
      <c r="K290" s="7">
        <v>-0.1</v>
      </c>
      <c r="L290" s="7">
        <v>-1.5</v>
      </c>
      <c r="M290" s="8">
        <v>160</v>
      </c>
      <c r="N290" s="37">
        <f>K290+0.5*L290</f>
        <v>-0.85</v>
      </c>
      <c r="O290" s="37">
        <f t="shared" si="10"/>
        <v>0.275</v>
      </c>
      <c r="P290" s="49">
        <v>23.58</v>
      </c>
      <c r="Q290" s="10">
        <v>23.5</v>
      </c>
      <c r="R290" s="91">
        <v>-0.08</v>
      </c>
      <c r="S290" s="11">
        <v>170</v>
      </c>
      <c r="T290" s="11">
        <v>170</v>
      </c>
      <c r="U290" s="11">
        <v>45</v>
      </c>
      <c r="V290" s="11">
        <v>24</v>
      </c>
    </row>
    <row r="291" ht="17.6" customHeight="1" spans="1:22">
      <c r="A291" s="81" t="s">
        <v>27</v>
      </c>
      <c r="B291" s="68" t="s">
        <v>363</v>
      </c>
      <c r="C291" s="81" t="s">
        <v>37</v>
      </c>
      <c r="D291" s="82">
        <v>43151</v>
      </c>
      <c r="E291" s="89" t="s">
        <v>364</v>
      </c>
      <c r="F291" s="84" t="s">
        <v>39</v>
      </c>
      <c r="G291" s="32" t="s">
        <v>33</v>
      </c>
      <c r="H291" s="5">
        <v>1</v>
      </c>
      <c r="I291" s="5">
        <v>1</v>
      </c>
      <c r="J291" s="55">
        <v>-2.75</v>
      </c>
      <c r="K291" s="7">
        <v>-1.25</v>
      </c>
      <c r="L291" s="7">
        <v>-1.25</v>
      </c>
      <c r="M291" s="8">
        <v>5</v>
      </c>
      <c r="N291" s="37">
        <v>-1.875</v>
      </c>
      <c r="O291" s="37">
        <f t="shared" si="10"/>
        <v>0.875</v>
      </c>
      <c r="P291" s="37">
        <v>25.58</v>
      </c>
      <c r="Q291" s="10">
        <v>25.63</v>
      </c>
      <c r="R291">
        <v>0.05</v>
      </c>
      <c r="S291" s="11">
        <v>170</v>
      </c>
      <c r="T291" s="11">
        <v>170</v>
      </c>
      <c r="U291" s="11">
        <v>45</v>
      </c>
      <c r="V291" s="11">
        <v>8</v>
      </c>
    </row>
    <row r="292" ht="17.6" customHeight="1" spans="1:22">
      <c r="A292" s="81" t="s">
        <v>27</v>
      </c>
      <c r="B292" s="85"/>
      <c r="D292" s="90"/>
      <c r="F292" s="4" t="s">
        <v>39</v>
      </c>
      <c r="G292" s="32" t="s">
        <v>34</v>
      </c>
      <c r="H292" s="5">
        <v>1</v>
      </c>
      <c r="I292" s="5">
        <v>1</v>
      </c>
      <c r="J292" s="55">
        <v>-1.25</v>
      </c>
      <c r="K292" s="7">
        <v>-0.5</v>
      </c>
      <c r="L292" s="7">
        <v>-1.5</v>
      </c>
      <c r="M292" s="8">
        <v>180</v>
      </c>
      <c r="N292" s="37">
        <f>K292+0.5*L292</f>
        <v>-1.25</v>
      </c>
      <c r="O292" s="37">
        <f t="shared" si="10"/>
        <v>0</v>
      </c>
      <c r="P292" s="49">
        <v>25.14</v>
      </c>
      <c r="Q292" s="10">
        <v>25.18</v>
      </c>
      <c r="R292" s="91">
        <v>0.04</v>
      </c>
      <c r="S292" s="11">
        <v>170</v>
      </c>
      <c r="T292" s="11">
        <v>170</v>
      </c>
      <c r="U292" s="11">
        <v>120</v>
      </c>
      <c r="V292" s="11">
        <v>35</v>
      </c>
    </row>
    <row r="293" ht="16.8" customHeight="1" spans="1:22">
      <c r="A293" s="81" t="s">
        <v>27</v>
      </c>
      <c r="B293" s="92" t="s">
        <v>365</v>
      </c>
      <c r="C293" s="81" t="s">
        <v>37</v>
      </c>
      <c r="D293" s="82">
        <v>43277</v>
      </c>
      <c r="E293" s="89" t="s">
        <v>366</v>
      </c>
      <c r="F293" s="84" t="s">
        <v>48</v>
      </c>
      <c r="G293" s="32" t="s">
        <v>33</v>
      </c>
      <c r="H293" s="5">
        <v>0.8</v>
      </c>
      <c r="I293" s="5">
        <v>1</v>
      </c>
      <c r="J293" s="55">
        <v>-1.75</v>
      </c>
      <c r="K293" s="7">
        <v>-2</v>
      </c>
      <c r="N293" s="37">
        <v>-2</v>
      </c>
      <c r="O293" s="37">
        <f t="shared" si="10"/>
        <v>-0.25</v>
      </c>
      <c r="P293" s="37">
        <v>23.61</v>
      </c>
    </row>
    <row r="294" ht="17.6" customHeight="1" spans="1:22">
      <c r="A294" s="81" t="s">
        <v>27</v>
      </c>
      <c r="B294" s="85"/>
      <c r="D294" s="90"/>
      <c r="F294" s="4" t="s">
        <v>48</v>
      </c>
      <c r="G294" s="32" t="s">
        <v>34</v>
      </c>
      <c r="H294" s="5">
        <v>0.8</v>
      </c>
      <c r="I294" s="5">
        <v>1</v>
      </c>
      <c r="J294" s="55">
        <v>-2.5</v>
      </c>
      <c r="K294" s="7">
        <v>-3</v>
      </c>
      <c r="N294" s="37">
        <f>K294+0.5*L294</f>
        <v>-3</v>
      </c>
      <c r="O294" s="37">
        <f t="shared" si="10"/>
        <v>-0.5</v>
      </c>
      <c r="P294" s="49">
        <v>24</v>
      </c>
    </row>
    <row r="295" ht="17.6" customHeight="1" spans="1:22">
      <c r="A295" s="81" t="s">
        <v>27</v>
      </c>
      <c r="B295" s="68" t="s">
        <v>367</v>
      </c>
      <c r="C295" s="81" t="s">
        <v>29</v>
      </c>
      <c r="D295" s="82">
        <v>41939</v>
      </c>
      <c r="E295" s="89" t="s">
        <v>368</v>
      </c>
      <c r="F295" s="93" t="s">
        <v>45</v>
      </c>
      <c r="G295" s="32" t="s">
        <v>33</v>
      </c>
      <c r="H295" s="5">
        <v>1</v>
      </c>
      <c r="I295" s="5">
        <v>1</v>
      </c>
      <c r="J295" s="55">
        <v>-1</v>
      </c>
      <c r="K295" s="7">
        <v>-0.5</v>
      </c>
      <c r="N295" s="37">
        <v>-0.5</v>
      </c>
      <c r="O295" s="37">
        <f t="shared" si="10"/>
        <v>0.5</v>
      </c>
      <c r="P295" s="37">
        <v>24.19</v>
      </c>
      <c r="Q295" s="10">
        <v>23.92</v>
      </c>
      <c r="R295">
        <v>-0.27</v>
      </c>
      <c r="S295" s="11">
        <v>170</v>
      </c>
      <c r="T295" s="11">
        <v>170</v>
      </c>
      <c r="U295" s="11">
        <v>80</v>
      </c>
      <c r="V295" s="11">
        <v>8</v>
      </c>
    </row>
    <row r="296" ht="17.6" customHeight="1" spans="1:22">
      <c r="A296" s="81" t="s">
        <v>27</v>
      </c>
      <c r="B296" s="85"/>
      <c r="D296" s="90"/>
      <c r="F296" s="4" t="s">
        <v>45</v>
      </c>
      <c r="G296" s="32" t="s">
        <v>34</v>
      </c>
      <c r="H296" s="5">
        <v>1</v>
      </c>
      <c r="I296" s="5">
        <v>1</v>
      </c>
      <c r="J296" s="55">
        <v>-1.25</v>
      </c>
      <c r="K296" s="7">
        <v>-0.5</v>
      </c>
      <c r="N296" s="37">
        <f>K296+0.5*L296</f>
        <v>-0.5</v>
      </c>
      <c r="O296" s="37">
        <f t="shared" si="10"/>
        <v>0.75</v>
      </c>
      <c r="P296" s="49">
        <v>24.09</v>
      </c>
      <c r="Q296" s="10">
        <v>23.94</v>
      </c>
      <c r="R296" s="91">
        <v>-0.15</v>
      </c>
      <c r="S296" s="11">
        <v>170</v>
      </c>
      <c r="T296" s="11">
        <v>170</v>
      </c>
      <c r="U296" s="11">
        <v>120</v>
      </c>
      <c r="V296" s="11">
        <v>24</v>
      </c>
    </row>
    <row r="297" ht="17.6" customHeight="1" spans="1:22">
      <c r="A297" s="81" t="s">
        <v>27</v>
      </c>
      <c r="B297" s="68" t="s">
        <v>369</v>
      </c>
      <c r="C297" s="81" t="s">
        <v>29</v>
      </c>
      <c r="D297" s="70">
        <v>42706</v>
      </c>
      <c r="E297" s="89" t="s">
        <v>370</v>
      </c>
      <c r="F297" s="93" t="s">
        <v>31</v>
      </c>
      <c r="G297" s="32" t="s">
        <v>33</v>
      </c>
      <c r="H297" s="5">
        <v>1</v>
      </c>
      <c r="I297" s="5">
        <v>1</v>
      </c>
      <c r="J297" s="55">
        <v>-1.75</v>
      </c>
      <c r="K297" s="7">
        <v>-1.75</v>
      </c>
      <c r="N297" s="37">
        <v>-1.75</v>
      </c>
      <c r="O297" s="37">
        <f t="shared" si="10"/>
        <v>0</v>
      </c>
      <c r="P297" s="37">
        <v>23.43</v>
      </c>
      <c r="Q297" s="10">
        <v>23.43</v>
      </c>
      <c r="R297">
        <v>0</v>
      </c>
    </row>
    <row r="298" ht="17.6" customHeight="1" spans="1:22">
      <c r="A298" s="81" t="s">
        <v>27</v>
      </c>
      <c r="B298" s="85"/>
      <c r="D298" s="90"/>
      <c r="F298" s="4" t="s">
        <v>31</v>
      </c>
      <c r="G298" s="32" t="s">
        <v>34</v>
      </c>
      <c r="H298" s="5">
        <v>1</v>
      </c>
      <c r="I298" s="5">
        <v>1</v>
      </c>
      <c r="J298" s="55">
        <v>-1.625</v>
      </c>
      <c r="K298" s="7">
        <v>-1.75</v>
      </c>
      <c r="N298" s="37">
        <f>K298+0.5*L298</f>
        <v>-1.75</v>
      </c>
      <c r="O298" s="37">
        <f t="shared" si="10"/>
        <v>-0.125</v>
      </c>
      <c r="P298" s="49">
        <v>23.44</v>
      </c>
      <c r="Q298" s="10">
        <v>23.45</v>
      </c>
      <c r="R298" s="91">
        <v>0.01</v>
      </c>
    </row>
    <row r="299" ht="17.6" customHeight="1" spans="1:22">
      <c r="A299" s="81" t="s">
        <v>27</v>
      </c>
      <c r="B299" s="68" t="s">
        <v>371</v>
      </c>
      <c r="C299" s="81" t="s">
        <v>29</v>
      </c>
      <c r="D299" s="82">
        <v>42679</v>
      </c>
      <c r="E299" s="89" t="s">
        <v>372</v>
      </c>
      <c r="F299" s="84" t="s">
        <v>45</v>
      </c>
      <c r="G299" s="32" t="s">
        <v>33</v>
      </c>
      <c r="H299" s="5">
        <v>1</v>
      </c>
      <c r="I299" s="5">
        <v>1</v>
      </c>
      <c r="J299" s="55">
        <v>-1</v>
      </c>
      <c r="K299" s="7">
        <v>-0.75</v>
      </c>
      <c r="N299" s="37">
        <v>-0.75</v>
      </c>
      <c r="O299" s="37">
        <f t="shared" si="10"/>
        <v>0.25</v>
      </c>
      <c r="P299" s="37">
        <v>23.65</v>
      </c>
      <c r="Q299" s="10">
        <v>23.65</v>
      </c>
      <c r="R299">
        <v>0</v>
      </c>
      <c r="S299" s="11">
        <v>170</v>
      </c>
      <c r="T299" s="11">
        <v>170</v>
      </c>
      <c r="U299" s="11">
        <v>15</v>
      </c>
      <c r="V299" s="11">
        <v>3</v>
      </c>
    </row>
    <row r="300" ht="17.6" customHeight="1" spans="1:22">
      <c r="A300" s="81" t="s">
        <v>27</v>
      </c>
      <c r="B300" s="85"/>
      <c r="D300" s="90"/>
      <c r="F300" s="4" t="s">
        <v>45</v>
      </c>
      <c r="G300" s="32" t="s">
        <v>34</v>
      </c>
      <c r="H300" s="5">
        <v>1</v>
      </c>
      <c r="I300" s="5">
        <v>1</v>
      </c>
      <c r="J300" s="55">
        <v>-1</v>
      </c>
      <c r="K300" s="7">
        <v>-0.75</v>
      </c>
      <c r="L300" s="7">
        <v>-0.75</v>
      </c>
      <c r="M300" s="8">
        <v>180</v>
      </c>
      <c r="N300" s="37">
        <f>K300+0.5*L300</f>
        <v>-1.125</v>
      </c>
      <c r="O300" s="37">
        <f t="shared" si="10"/>
        <v>-0.125</v>
      </c>
      <c r="P300" s="49">
        <v>23.76</v>
      </c>
      <c r="Q300" s="10">
        <v>23.73</v>
      </c>
      <c r="R300" s="91">
        <v>-0.03</v>
      </c>
      <c r="S300" s="11">
        <v>170</v>
      </c>
      <c r="T300" s="11">
        <v>170</v>
      </c>
      <c r="U300" s="11">
        <v>45</v>
      </c>
      <c r="V300" s="11">
        <v>8</v>
      </c>
    </row>
    <row r="301" ht="17.6" customHeight="1" spans="1:22">
      <c r="A301" s="81" t="s">
        <v>27</v>
      </c>
      <c r="B301" s="85" t="s">
        <v>373</v>
      </c>
      <c r="C301" s="1" t="s">
        <v>37</v>
      </c>
      <c r="D301" s="82">
        <v>42459</v>
      </c>
      <c r="E301" s="89" t="s">
        <v>374</v>
      </c>
      <c r="F301" s="84" t="s">
        <v>31</v>
      </c>
      <c r="G301" s="32" t="s">
        <v>33</v>
      </c>
      <c r="H301" s="5">
        <v>1</v>
      </c>
      <c r="I301" s="5">
        <v>1</v>
      </c>
      <c r="J301" s="55">
        <v>-4</v>
      </c>
      <c r="K301" s="7">
        <v>-3.25</v>
      </c>
      <c r="L301" s="7">
        <v>-1.5</v>
      </c>
      <c r="M301" s="8">
        <v>5</v>
      </c>
      <c r="N301" s="37">
        <v>-4</v>
      </c>
      <c r="O301" s="37">
        <f t="shared" si="10"/>
        <v>0</v>
      </c>
      <c r="P301" s="37">
        <v>25.73</v>
      </c>
      <c r="Q301" s="10">
        <v>25.88</v>
      </c>
      <c r="R301">
        <v>0.15</v>
      </c>
    </row>
    <row r="302" ht="17.6" customHeight="1" spans="1:22">
      <c r="A302" s="81" t="s">
        <v>27</v>
      </c>
      <c r="B302" s="85"/>
      <c r="D302" s="90"/>
      <c r="F302" s="4" t="s">
        <v>31</v>
      </c>
      <c r="G302" s="32" t="s">
        <v>34</v>
      </c>
      <c r="H302" s="5">
        <v>1</v>
      </c>
      <c r="I302" s="5">
        <v>1</v>
      </c>
      <c r="J302" s="55">
        <v>-3.125</v>
      </c>
      <c r="K302" s="7">
        <v>-2</v>
      </c>
      <c r="L302" s="7">
        <v>-2</v>
      </c>
      <c r="M302" s="8">
        <v>180</v>
      </c>
      <c r="N302" s="37">
        <f>K302+0.5*L302</f>
        <v>-3</v>
      </c>
      <c r="O302" s="37">
        <f t="shared" si="10"/>
        <v>0.125</v>
      </c>
      <c r="P302" s="49">
        <v>25.31</v>
      </c>
      <c r="Q302" s="10">
        <v>25.44</v>
      </c>
      <c r="R302" s="91">
        <v>0.13</v>
      </c>
    </row>
    <row r="303" ht="18" customHeight="1" spans="1:22">
      <c r="A303" s="81" t="s">
        <v>27</v>
      </c>
      <c r="B303" s="86" t="s">
        <v>375</v>
      </c>
      <c r="C303" s="87" t="s">
        <v>29</v>
      </c>
      <c r="D303" s="88">
        <v>42773</v>
      </c>
      <c r="E303" s="94" t="s">
        <v>376</v>
      </c>
      <c r="F303" s="93" t="s">
        <v>31</v>
      </c>
      <c r="G303" s="32" t="s">
        <v>33</v>
      </c>
      <c r="H303" s="5">
        <v>1</v>
      </c>
      <c r="I303" s="5">
        <v>1</v>
      </c>
      <c r="J303" s="55">
        <v>-1.125</v>
      </c>
      <c r="K303" s="7">
        <v>-0.75</v>
      </c>
      <c r="L303" s="7">
        <v>-0.5</v>
      </c>
      <c r="M303" s="8">
        <v>175</v>
      </c>
      <c r="N303" s="37">
        <v>-1</v>
      </c>
      <c r="O303" s="37">
        <f t="shared" si="10"/>
        <v>0.125</v>
      </c>
      <c r="P303" s="37">
        <v>22.9</v>
      </c>
      <c r="Q303" s="10">
        <v>22.94</v>
      </c>
      <c r="R303">
        <v>0.04</v>
      </c>
      <c r="S303" s="11">
        <v>170</v>
      </c>
      <c r="T303" s="11">
        <v>170</v>
      </c>
      <c r="U303" s="11">
        <v>60</v>
      </c>
      <c r="V303" s="11">
        <v>8</v>
      </c>
    </row>
    <row r="304" ht="17.6" customHeight="1" spans="1:22">
      <c r="A304" s="81" t="s">
        <v>27</v>
      </c>
      <c r="B304" s="85"/>
      <c r="D304" s="90"/>
      <c r="F304" s="4" t="s">
        <v>31</v>
      </c>
      <c r="G304" s="32" t="s">
        <v>34</v>
      </c>
      <c r="H304" s="5">
        <v>1</v>
      </c>
      <c r="I304" s="5">
        <v>1</v>
      </c>
      <c r="J304" s="55">
        <v>-1.125</v>
      </c>
      <c r="K304" s="7">
        <v>-1.25</v>
      </c>
      <c r="L304" s="7">
        <v>-0.5</v>
      </c>
      <c r="M304" s="8">
        <v>180</v>
      </c>
      <c r="N304" s="37">
        <f>K304+0.5*L304</f>
        <v>-1.5</v>
      </c>
      <c r="O304" s="37">
        <f t="shared" si="10"/>
        <v>-0.375</v>
      </c>
      <c r="P304" s="49">
        <v>22.97</v>
      </c>
      <c r="Q304" s="10">
        <v>23.15</v>
      </c>
      <c r="R304" s="91">
        <v>0.18</v>
      </c>
      <c r="S304" s="11">
        <v>170</v>
      </c>
      <c r="T304" s="11">
        <v>170</v>
      </c>
      <c r="U304" s="11">
        <v>120</v>
      </c>
      <c r="V304" s="11">
        <v>65</v>
      </c>
    </row>
    <row r="305" ht="18" customHeight="1" spans="1:22">
      <c r="A305" s="81" t="s">
        <v>27</v>
      </c>
      <c r="B305" s="86" t="s">
        <v>377</v>
      </c>
      <c r="C305" s="87" t="s">
        <v>29</v>
      </c>
      <c r="D305" s="88">
        <v>42426</v>
      </c>
      <c r="E305" s="94" t="s">
        <v>378</v>
      </c>
      <c r="F305" s="4" t="s">
        <v>48</v>
      </c>
      <c r="G305" s="32" t="s">
        <v>33</v>
      </c>
      <c r="H305" s="5">
        <v>1</v>
      </c>
      <c r="I305" s="5">
        <v>1</v>
      </c>
      <c r="J305" s="55">
        <v>-1.75</v>
      </c>
      <c r="K305" s="7">
        <v>-1.75</v>
      </c>
      <c r="L305" s="7">
        <v>-0.5</v>
      </c>
      <c r="M305" s="8">
        <v>180</v>
      </c>
      <c r="N305" s="37">
        <v>-2</v>
      </c>
      <c r="O305" s="37">
        <f t="shared" si="10"/>
        <v>-0.25</v>
      </c>
      <c r="P305" s="37">
        <v>23.79</v>
      </c>
      <c r="Q305" s="10">
        <v>23.9</v>
      </c>
      <c r="R305">
        <v>0.11</v>
      </c>
      <c r="S305" s="11">
        <v>170</v>
      </c>
      <c r="T305" s="11">
        <v>170</v>
      </c>
      <c r="U305" s="11">
        <v>35</v>
      </c>
      <c r="V305" s="11">
        <v>0</v>
      </c>
    </row>
    <row r="306" ht="17.6" customHeight="1" spans="1:22">
      <c r="A306" s="81" t="s">
        <v>27</v>
      </c>
      <c r="B306" s="85"/>
      <c r="D306" s="90"/>
      <c r="F306" s="95" t="s">
        <v>48</v>
      </c>
      <c r="G306" s="32" t="s">
        <v>34</v>
      </c>
      <c r="H306" s="5">
        <v>1</v>
      </c>
      <c r="I306" s="5">
        <v>1</v>
      </c>
      <c r="J306" s="55">
        <v>-1.625</v>
      </c>
      <c r="K306" s="7">
        <v>-1</v>
      </c>
      <c r="L306" s="7">
        <v>-1</v>
      </c>
      <c r="M306" s="8">
        <v>160</v>
      </c>
      <c r="N306" s="37">
        <f>K306+0.5*L306</f>
        <v>-1.5</v>
      </c>
      <c r="O306" s="37">
        <f t="shared" si="10"/>
        <v>0.125</v>
      </c>
      <c r="P306" s="49">
        <v>23.74</v>
      </c>
      <c r="Q306" s="10">
        <v>23.82</v>
      </c>
      <c r="R306" s="91">
        <v>0.08</v>
      </c>
      <c r="S306" s="11">
        <v>170</v>
      </c>
      <c r="T306" s="11">
        <v>170</v>
      </c>
      <c r="U306" s="11">
        <v>35</v>
      </c>
      <c r="V306" s="11">
        <v>3</v>
      </c>
    </row>
    <row r="307" ht="17.6" customHeight="1" spans="1:22">
      <c r="A307" s="81" t="s">
        <v>27</v>
      </c>
      <c r="B307" s="68" t="s">
        <v>379</v>
      </c>
      <c r="C307" s="81" t="s">
        <v>37</v>
      </c>
      <c r="D307" s="82">
        <v>41839</v>
      </c>
      <c r="E307" s="89" t="s">
        <v>380</v>
      </c>
      <c r="F307" s="84" t="s">
        <v>31</v>
      </c>
      <c r="G307" s="32" t="s">
        <v>33</v>
      </c>
      <c r="H307" s="5">
        <v>1</v>
      </c>
      <c r="I307" s="5">
        <v>1</v>
      </c>
      <c r="J307" s="55">
        <v>-1</v>
      </c>
      <c r="K307" s="7">
        <v>-0.5</v>
      </c>
      <c r="L307" s="7">
        <v>-1.5</v>
      </c>
      <c r="M307" s="8">
        <v>175</v>
      </c>
      <c r="N307" s="37">
        <v>-1.25</v>
      </c>
      <c r="O307" s="37">
        <f t="shared" si="10"/>
        <v>-0.25</v>
      </c>
      <c r="P307" s="37">
        <v>24.51</v>
      </c>
      <c r="Q307" s="10">
        <v>24.69</v>
      </c>
      <c r="R307">
        <v>0.18</v>
      </c>
      <c r="S307" s="11">
        <v>170</v>
      </c>
      <c r="T307" s="11">
        <v>170</v>
      </c>
      <c r="U307" s="11">
        <v>15</v>
      </c>
      <c r="V307" s="11">
        <v>4</v>
      </c>
    </row>
    <row r="308" ht="17.6" customHeight="1" spans="1:22">
      <c r="A308" s="81" t="s">
        <v>27</v>
      </c>
      <c r="B308" s="85"/>
      <c r="D308" s="90"/>
      <c r="F308" s="95" t="s">
        <v>31</v>
      </c>
      <c r="G308" s="32" t="s">
        <v>34</v>
      </c>
      <c r="H308" s="5">
        <v>1</v>
      </c>
      <c r="I308" s="5">
        <v>1</v>
      </c>
      <c r="J308" s="55">
        <v>-1.125</v>
      </c>
      <c r="K308" s="7">
        <v>-0.5</v>
      </c>
      <c r="L308" s="7">
        <v>-1.25</v>
      </c>
      <c r="M308" s="8">
        <v>170</v>
      </c>
      <c r="N308" s="37">
        <f>K308+0.5*L308</f>
        <v>-1.125</v>
      </c>
      <c r="O308" s="37">
        <f t="shared" si="10"/>
        <v>0</v>
      </c>
      <c r="P308" s="49">
        <v>24.63</v>
      </c>
      <c r="Q308" s="10">
        <v>24.77</v>
      </c>
      <c r="R308" s="91">
        <v>0.14</v>
      </c>
      <c r="S308" s="11">
        <v>170</v>
      </c>
      <c r="T308" s="11">
        <v>45</v>
      </c>
      <c r="U308" s="11">
        <v>25</v>
      </c>
      <c r="V308" s="11">
        <v>4</v>
      </c>
    </row>
    <row r="309" ht="17.6" customHeight="1" spans="1:22">
      <c r="A309" s="81" t="s">
        <v>27</v>
      </c>
      <c r="B309" s="68" t="s">
        <v>381</v>
      </c>
      <c r="C309" s="81" t="s">
        <v>29</v>
      </c>
      <c r="D309" s="82">
        <v>42093</v>
      </c>
      <c r="E309" s="89" t="s">
        <v>382</v>
      </c>
      <c r="F309" s="95" t="s">
        <v>31</v>
      </c>
      <c r="G309" s="32" t="s">
        <v>33</v>
      </c>
      <c r="J309" s="55">
        <v>-1.75</v>
      </c>
      <c r="K309" s="7">
        <v>-1.5</v>
      </c>
      <c r="L309" s="7">
        <v>-0.5</v>
      </c>
      <c r="M309" s="8">
        <v>15</v>
      </c>
      <c r="N309" s="37">
        <v>-1.75</v>
      </c>
      <c r="O309" s="37">
        <f t="shared" si="10"/>
        <v>0</v>
      </c>
      <c r="P309" s="37">
        <v>24.05</v>
      </c>
      <c r="Q309" s="10">
        <v>24.05</v>
      </c>
      <c r="R309">
        <v>0</v>
      </c>
      <c r="S309" s="11">
        <v>170</v>
      </c>
      <c r="T309" s="11">
        <v>170</v>
      </c>
      <c r="U309" s="11">
        <v>120</v>
      </c>
      <c r="V309" s="11">
        <v>0</v>
      </c>
    </row>
    <row r="310" ht="17.6" customHeight="1" spans="1:22">
      <c r="A310" s="81" t="s">
        <v>27</v>
      </c>
      <c r="B310" s="85"/>
      <c r="D310" s="90"/>
      <c r="F310" s="95" t="s">
        <v>31</v>
      </c>
      <c r="G310" s="32" t="s">
        <v>34</v>
      </c>
      <c r="J310" s="55">
        <v>-1.75</v>
      </c>
      <c r="K310" s="7">
        <v>-1.75</v>
      </c>
      <c r="L310" s="7">
        <v>-0.5</v>
      </c>
      <c r="M310" s="8">
        <v>155</v>
      </c>
      <c r="N310" s="37">
        <f>K310+0.5*L310</f>
        <v>-2</v>
      </c>
      <c r="O310" s="37">
        <f t="shared" ref="O310:O326" si="11">N310-J310</f>
        <v>-0.25</v>
      </c>
      <c r="P310" s="49">
        <v>23.98</v>
      </c>
      <c r="Q310" s="10">
        <v>23.98</v>
      </c>
      <c r="R310" s="91">
        <v>0</v>
      </c>
      <c r="S310" s="11">
        <v>170</v>
      </c>
      <c r="T310" s="11">
        <v>170</v>
      </c>
      <c r="U310" s="11">
        <v>80</v>
      </c>
      <c r="V310" s="11">
        <v>0</v>
      </c>
    </row>
    <row r="311" ht="18" customHeight="1" spans="1:22">
      <c r="A311" s="81" t="s">
        <v>27</v>
      </c>
      <c r="B311" s="86" t="s">
        <v>383</v>
      </c>
      <c r="C311" s="87" t="s">
        <v>29</v>
      </c>
      <c r="D311" s="88">
        <v>41808</v>
      </c>
      <c r="E311" s="94" t="s">
        <v>384</v>
      </c>
      <c r="F311" s="95" t="s">
        <v>48</v>
      </c>
      <c r="G311" s="32" t="s">
        <v>33</v>
      </c>
      <c r="H311" s="5">
        <v>1</v>
      </c>
      <c r="I311" s="5">
        <v>1</v>
      </c>
      <c r="J311" s="55">
        <v>-2.5</v>
      </c>
      <c r="K311" s="7">
        <v>-2</v>
      </c>
      <c r="L311" s="7">
        <v>-0.75</v>
      </c>
      <c r="M311" s="8">
        <v>165</v>
      </c>
      <c r="N311" s="37">
        <v>-2.375</v>
      </c>
      <c r="O311" s="37">
        <f t="shared" si="11"/>
        <v>0.125</v>
      </c>
      <c r="P311" s="37">
        <v>25.59</v>
      </c>
      <c r="Q311" s="10">
        <v>25.42</v>
      </c>
      <c r="R311">
        <v>-0.17</v>
      </c>
      <c r="S311" s="11">
        <v>170</v>
      </c>
      <c r="T311" s="11">
        <v>170</v>
      </c>
      <c r="U311" s="11">
        <v>80</v>
      </c>
      <c r="V311" s="11">
        <v>0</v>
      </c>
    </row>
    <row r="312" ht="17.6" customHeight="1" spans="1:22">
      <c r="A312" s="81" t="s">
        <v>27</v>
      </c>
      <c r="B312" s="85"/>
      <c r="D312" s="90"/>
      <c r="F312" s="95" t="s">
        <v>48</v>
      </c>
      <c r="G312" s="32" t="s">
        <v>34</v>
      </c>
      <c r="H312" s="5">
        <v>1</v>
      </c>
      <c r="I312" s="5">
        <v>1</v>
      </c>
      <c r="J312" s="55">
        <v>-4</v>
      </c>
      <c r="K312" s="7">
        <v>-3.5</v>
      </c>
      <c r="L312" s="7">
        <v>-1.25</v>
      </c>
      <c r="M312" s="8">
        <v>5</v>
      </c>
      <c r="N312" s="37">
        <f>K312+0.5*L312</f>
        <v>-4.125</v>
      </c>
      <c r="O312" s="37">
        <f t="shared" si="11"/>
        <v>-0.125</v>
      </c>
      <c r="P312" s="49">
        <v>25.91</v>
      </c>
      <c r="Q312" s="10">
        <v>25.99</v>
      </c>
      <c r="R312" s="91">
        <v>0.08</v>
      </c>
      <c r="S312" s="11">
        <v>170</v>
      </c>
      <c r="T312" s="11">
        <v>170</v>
      </c>
      <c r="U312" s="11">
        <v>100</v>
      </c>
      <c r="V312" s="11">
        <v>45</v>
      </c>
    </row>
    <row r="313" ht="18" customHeight="1" spans="1:22">
      <c r="A313" s="96" t="s">
        <v>27</v>
      </c>
      <c r="B313" s="86" t="s">
        <v>388</v>
      </c>
      <c r="C313" s="87" t="s">
        <v>29</v>
      </c>
      <c r="D313" s="88">
        <v>41059</v>
      </c>
      <c r="E313" s="97" t="s">
        <v>389</v>
      </c>
      <c r="F313" s="95" t="s">
        <v>45</v>
      </c>
      <c r="G313" s="32" t="s">
        <v>33</v>
      </c>
      <c r="H313" s="5">
        <v>1</v>
      </c>
      <c r="I313" s="5">
        <v>1</v>
      </c>
      <c r="J313" s="98"/>
      <c r="K313" s="7">
        <v>-1</v>
      </c>
      <c r="L313" s="7">
        <v>-2</v>
      </c>
      <c r="M313" s="8">
        <v>175</v>
      </c>
      <c r="N313" s="37">
        <v>-2</v>
      </c>
      <c r="O313" s="37"/>
      <c r="P313" s="37">
        <v>24.7</v>
      </c>
      <c r="Q313" s="10">
        <v>24.86</v>
      </c>
      <c r="R313">
        <v>0.16</v>
      </c>
      <c r="S313" s="11">
        <v>170</v>
      </c>
      <c r="T313" s="11">
        <v>170</v>
      </c>
      <c r="U313" s="11">
        <v>45</v>
      </c>
      <c r="V313" s="11">
        <v>24</v>
      </c>
    </row>
    <row r="314" ht="17" customHeight="1" spans="1:22">
      <c r="A314" s="96" t="s">
        <v>27</v>
      </c>
      <c r="B314" s="87"/>
      <c r="C314" s="87"/>
      <c r="D314" s="87"/>
      <c r="E314" s="97"/>
      <c r="F314" s="95" t="s">
        <v>45</v>
      </c>
      <c r="G314" s="32" t="s">
        <v>34</v>
      </c>
      <c r="H314" s="5">
        <v>1</v>
      </c>
      <c r="I314" s="5">
        <v>1</v>
      </c>
      <c r="K314" s="7">
        <v>-1.5</v>
      </c>
      <c r="L314" s="7">
        <v>-2.25</v>
      </c>
      <c r="M314" s="8">
        <v>180</v>
      </c>
      <c r="N314" s="37">
        <f>K314+0.5*L314</f>
        <v>-2.625</v>
      </c>
      <c r="O314" s="37"/>
      <c r="P314" s="49">
        <v>24.74</v>
      </c>
      <c r="Q314" s="10">
        <v>24.89</v>
      </c>
      <c r="R314" s="91">
        <v>0.15</v>
      </c>
      <c r="S314" s="11">
        <v>170</v>
      </c>
      <c r="T314" s="11">
        <v>170</v>
      </c>
      <c r="U314" s="11">
        <v>45</v>
      </c>
      <c r="V314" s="11">
        <v>24</v>
      </c>
    </row>
    <row r="315" ht="18" customHeight="1" spans="1:22">
      <c r="A315" s="96" t="s">
        <v>27</v>
      </c>
      <c r="B315" s="86" t="s">
        <v>394</v>
      </c>
      <c r="C315" s="87" t="s">
        <v>37</v>
      </c>
      <c r="D315" s="88">
        <v>42822</v>
      </c>
      <c r="E315" s="97" t="s">
        <v>395</v>
      </c>
      <c r="F315" s="84" t="s">
        <v>48</v>
      </c>
      <c r="G315" s="32" t="s">
        <v>33</v>
      </c>
      <c r="H315" s="5">
        <v>1</v>
      </c>
      <c r="I315" s="5">
        <v>1</v>
      </c>
      <c r="J315" s="55">
        <v>-2.375</v>
      </c>
      <c r="K315" s="7">
        <v>-1.75</v>
      </c>
      <c r="L315" s="7">
        <v>-1</v>
      </c>
      <c r="M315" s="8">
        <v>170</v>
      </c>
      <c r="N315" s="37">
        <v>-2.25</v>
      </c>
      <c r="O315" s="37">
        <f t="shared" si="11"/>
        <v>0.125</v>
      </c>
      <c r="P315" s="37">
        <v>24.17</v>
      </c>
      <c r="Q315" s="10">
        <v>24.28</v>
      </c>
      <c r="R315">
        <v>0.11</v>
      </c>
      <c r="S315" s="11">
        <v>170</v>
      </c>
      <c r="T315" s="11">
        <v>170</v>
      </c>
      <c r="U315" s="11">
        <v>120</v>
      </c>
      <c r="V315" s="11">
        <v>65</v>
      </c>
    </row>
    <row r="316" ht="17" customHeight="1" spans="1:22">
      <c r="A316" s="96" t="s">
        <v>27</v>
      </c>
      <c r="B316" s="87"/>
      <c r="C316" s="87"/>
      <c r="D316" s="87"/>
      <c r="E316" s="97"/>
      <c r="F316" s="4" t="s">
        <v>48</v>
      </c>
      <c r="G316" s="32" t="s">
        <v>34</v>
      </c>
      <c r="H316" s="5">
        <v>1</v>
      </c>
      <c r="I316" s="5">
        <v>1</v>
      </c>
      <c r="J316" s="55">
        <v>-2.375</v>
      </c>
      <c r="K316" s="7">
        <v>-1.75</v>
      </c>
      <c r="L316" s="7">
        <v>-1</v>
      </c>
      <c r="M316" s="8">
        <v>175</v>
      </c>
      <c r="N316" s="37">
        <f>K316+0.5*L316</f>
        <v>-2.25</v>
      </c>
      <c r="O316" s="37">
        <f t="shared" si="11"/>
        <v>0.125</v>
      </c>
      <c r="P316" s="49">
        <v>24.19</v>
      </c>
      <c r="Q316" s="10">
        <v>24.31</v>
      </c>
      <c r="R316" s="91">
        <v>0.12</v>
      </c>
      <c r="S316" s="11">
        <v>170</v>
      </c>
      <c r="T316" s="11">
        <v>120</v>
      </c>
      <c r="U316" s="11">
        <v>120</v>
      </c>
      <c r="V316" s="11">
        <v>65</v>
      </c>
    </row>
    <row r="317" ht="17" customHeight="1" spans="1:22">
      <c r="A317" s="96" t="s">
        <v>27</v>
      </c>
      <c r="B317" s="87"/>
      <c r="C317" s="87"/>
      <c r="D317" s="87"/>
      <c r="E317" s="97" t="s">
        <v>396</v>
      </c>
      <c r="F317" s="95" t="s">
        <v>39</v>
      </c>
      <c r="G317" s="32" t="s">
        <v>33</v>
      </c>
      <c r="H317" s="5">
        <v>1</v>
      </c>
      <c r="I317" s="5">
        <v>1</v>
      </c>
      <c r="J317" s="55">
        <v>-0.75</v>
      </c>
      <c r="K317" s="7">
        <v>-1.25</v>
      </c>
      <c r="N317" s="37">
        <v>-1.25</v>
      </c>
      <c r="O317" s="37">
        <f t="shared" si="11"/>
        <v>-0.5</v>
      </c>
      <c r="P317" s="37">
        <v>24.21</v>
      </c>
      <c r="Q317" s="10">
        <v>24.42</v>
      </c>
      <c r="R317">
        <v>0.21</v>
      </c>
      <c r="S317" s="11">
        <v>170</v>
      </c>
      <c r="T317" s="11">
        <v>170</v>
      </c>
      <c r="U317" s="11">
        <v>45</v>
      </c>
      <c r="V317" s="11">
        <v>35</v>
      </c>
    </row>
    <row r="318" ht="17" customHeight="1" spans="1:22">
      <c r="A318" s="96" t="s">
        <v>27</v>
      </c>
      <c r="B318" s="87"/>
      <c r="C318" s="87"/>
      <c r="D318" s="87"/>
      <c r="E318" s="97"/>
      <c r="F318" s="99" t="s">
        <v>39</v>
      </c>
      <c r="G318" s="32" t="s">
        <v>34</v>
      </c>
      <c r="H318" s="5">
        <v>1</v>
      </c>
      <c r="I318" s="5">
        <v>1</v>
      </c>
      <c r="J318" s="55">
        <v>-0.875</v>
      </c>
      <c r="K318" s="7">
        <v>-1.25</v>
      </c>
      <c r="N318" s="37">
        <f>K318+0.5*L318</f>
        <v>-1.25</v>
      </c>
      <c r="O318" s="37">
        <f t="shared" si="11"/>
        <v>-0.375</v>
      </c>
      <c r="P318" s="49">
        <v>24.19</v>
      </c>
      <c r="Q318" s="10">
        <v>24.41</v>
      </c>
      <c r="R318" s="91">
        <v>0.22</v>
      </c>
      <c r="S318" s="11">
        <v>170</v>
      </c>
      <c r="T318" s="11">
        <v>170</v>
      </c>
      <c r="U318" s="11">
        <v>120</v>
      </c>
      <c r="V318" s="11">
        <v>65</v>
      </c>
    </row>
    <row r="319" ht="18" customHeight="1" spans="1:22">
      <c r="A319" s="96" t="s">
        <v>27</v>
      </c>
      <c r="B319" s="86" t="s">
        <v>404</v>
      </c>
      <c r="C319" s="87" t="s">
        <v>29</v>
      </c>
      <c r="D319" s="88">
        <v>41650</v>
      </c>
      <c r="E319" s="97" t="s">
        <v>405</v>
      </c>
      <c r="F319" s="100" t="s">
        <v>48</v>
      </c>
      <c r="G319" s="32" t="s">
        <v>33</v>
      </c>
      <c r="H319" s="5">
        <v>1</v>
      </c>
      <c r="I319" s="5">
        <v>1</v>
      </c>
      <c r="J319" s="55">
        <v>-1.75</v>
      </c>
      <c r="K319" s="7">
        <v>-1.5</v>
      </c>
      <c r="N319" s="37">
        <v>-1.5</v>
      </c>
      <c r="O319" s="37">
        <f t="shared" si="11"/>
        <v>0.25</v>
      </c>
      <c r="P319" s="37">
        <v>23.92</v>
      </c>
      <c r="Q319" s="10">
        <v>24.04</v>
      </c>
      <c r="R319">
        <v>0.12</v>
      </c>
      <c r="S319" s="11">
        <v>170</v>
      </c>
      <c r="T319" s="11">
        <v>170</v>
      </c>
      <c r="U319" s="11">
        <v>25</v>
      </c>
      <c r="V319" s="11">
        <v>4</v>
      </c>
    </row>
    <row r="320" ht="17" customHeight="1" spans="1:22">
      <c r="A320" s="96" t="s">
        <v>27</v>
      </c>
      <c r="B320" s="87"/>
      <c r="C320" s="87"/>
      <c r="D320" s="87"/>
      <c r="E320" s="101"/>
      <c r="F320" s="99" t="s">
        <v>48</v>
      </c>
      <c r="G320" s="32" t="s">
        <v>34</v>
      </c>
      <c r="H320" s="5">
        <v>1</v>
      </c>
      <c r="I320" s="5">
        <v>1</v>
      </c>
      <c r="J320" s="55">
        <v>-2.25</v>
      </c>
      <c r="K320" s="7">
        <v>-2</v>
      </c>
      <c r="N320" s="37">
        <f>K320+0.5*L320</f>
        <v>-2</v>
      </c>
      <c r="O320" s="37">
        <f t="shared" si="11"/>
        <v>0.25</v>
      </c>
      <c r="P320" s="49">
        <v>24.05</v>
      </c>
      <c r="Q320" s="10">
        <v>24.19</v>
      </c>
      <c r="R320" s="91">
        <v>0.14</v>
      </c>
      <c r="S320" s="11">
        <v>170</v>
      </c>
      <c r="T320" s="11">
        <v>170</v>
      </c>
      <c r="U320" s="11">
        <v>9</v>
      </c>
      <c r="V320" s="11">
        <v>0</v>
      </c>
    </row>
    <row r="321" ht="18" customHeight="1" spans="1:22">
      <c r="A321" s="96" t="s">
        <v>27</v>
      </c>
      <c r="B321" s="86" t="s">
        <v>406</v>
      </c>
      <c r="C321" s="87" t="s">
        <v>37</v>
      </c>
      <c r="D321" s="88">
        <v>41858</v>
      </c>
      <c r="E321" s="97" t="s">
        <v>407</v>
      </c>
      <c r="F321" s="95" t="s">
        <v>48</v>
      </c>
      <c r="G321" s="32" t="s">
        <v>33</v>
      </c>
      <c r="H321" s="5">
        <v>1</v>
      </c>
      <c r="I321" s="5">
        <v>1</v>
      </c>
      <c r="J321" s="98"/>
      <c r="K321" s="7">
        <v>-3.5</v>
      </c>
      <c r="L321" s="7">
        <v>-0.75</v>
      </c>
      <c r="M321" s="8">
        <v>15</v>
      </c>
      <c r="N321" s="37">
        <v>-3.875</v>
      </c>
      <c r="O321" s="37"/>
      <c r="P321" s="37"/>
      <c r="Q321" s="10">
        <v>25.5</v>
      </c>
      <c r="S321" s="11">
        <v>170</v>
      </c>
      <c r="T321" s="11">
        <v>170</v>
      </c>
      <c r="U321" s="11">
        <v>45</v>
      </c>
      <c r="V321" s="11">
        <v>6</v>
      </c>
    </row>
    <row r="322" ht="17" customHeight="1" spans="1:22">
      <c r="A322" s="96" t="s">
        <v>27</v>
      </c>
      <c r="B322" s="87"/>
      <c r="C322" s="87"/>
      <c r="D322" s="87"/>
      <c r="E322" s="101"/>
      <c r="F322" s="99" t="s">
        <v>48</v>
      </c>
      <c r="G322" s="32" t="s">
        <v>34</v>
      </c>
      <c r="H322" s="5">
        <v>1</v>
      </c>
      <c r="I322" s="5">
        <v>1</v>
      </c>
      <c r="K322" s="7">
        <v>-2.75</v>
      </c>
      <c r="L322" s="7">
        <v>-1.25</v>
      </c>
      <c r="M322" s="8">
        <v>170</v>
      </c>
      <c r="N322" s="37">
        <f>K322+0.5*L322</f>
        <v>-3.375</v>
      </c>
      <c r="O322" s="37"/>
      <c r="P322" s="37"/>
      <c r="Q322" s="10">
        <v>25.22</v>
      </c>
      <c r="S322" s="11">
        <v>170</v>
      </c>
      <c r="T322" s="11">
        <v>80</v>
      </c>
      <c r="U322" s="11">
        <v>60</v>
      </c>
      <c r="V322" s="11">
        <v>8</v>
      </c>
    </row>
    <row r="323" ht="18" customHeight="1" spans="1:22">
      <c r="A323" s="96" t="s">
        <v>27</v>
      </c>
      <c r="B323" s="86" t="s">
        <v>414</v>
      </c>
      <c r="C323" s="87" t="s">
        <v>37</v>
      </c>
      <c r="D323" s="88">
        <v>42749</v>
      </c>
      <c r="E323" s="97" t="s">
        <v>415</v>
      </c>
      <c r="F323" s="95" t="s">
        <v>48</v>
      </c>
      <c r="G323" s="32" t="s">
        <v>33</v>
      </c>
      <c r="H323" s="5">
        <v>1</v>
      </c>
      <c r="I323" s="5">
        <v>1</v>
      </c>
      <c r="J323" s="98"/>
      <c r="K323" s="7">
        <v>-0.75</v>
      </c>
      <c r="L323" s="7">
        <v>-0.75</v>
      </c>
      <c r="M323" s="8">
        <v>165</v>
      </c>
      <c r="N323" s="37">
        <v>-1.125</v>
      </c>
      <c r="O323" s="37"/>
      <c r="P323" s="37">
        <v>23.93</v>
      </c>
      <c r="Q323" s="10">
        <v>24</v>
      </c>
      <c r="R323">
        <v>0.07</v>
      </c>
    </row>
    <row r="324" ht="17" customHeight="1" spans="1:22">
      <c r="A324" s="96" t="s">
        <v>27</v>
      </c>
      <c r="B324" s="87"/>
      <c r="C324" s="87"/>
      <c r="D324" s="87"/>
      <c r="E324" s="101"/>
      <c r="F324" s="102" t="s">
        <v>48</v>
      </c>
      <c r="G324" s="32" t="s">
        <v>34</v>
      </c>
      <c r="H324" s="5">
        <v>1</v>
      </c>
      <c r="I324" s="5">
        <v>1</v>
      </c>
      <c r="K324" s="7">
        <v>-1.25</v>
      </c>
      <c r="L324" s="7">
        <v>-1</v>
      </c>
      <c r="M324" s="8">
        <v>5</v>
      </c>
      <c r="N324" s="37">
        <f>K324+0.5*L324</f>
        <v>-1.75</v>
      </c>
      <c r="O324" s="37"/>
      <c r="P324" s="49">
        <v>24.23</v>
      </c>
      <c r="Q324" s="10">
        <v>24.33</v>
      </c>
      <c r="R324" s="91">
        <v>0.1</v>
      </c>
    </row>
    <row r="325" ht="17.6" customHeight="1" spans="1:22">
      <c r="A325" s="96" t="s">
        <v>27</v>
      </c>
      <c r="B325" s="68" t="s">
        <v>431</v>
      </c>
      <c r="C325" s="81" t="s">
        <v>37</v>
      </c>
      <c r="D325" s="90"/>
      <c r="E325" s="103" t="s">
        <v>432</v>
      </c>
      <c r="F325" s="104" t="s">
        <v>31</v>
      </c>
      <c r="G325" s="32" t="s">
        <v>33</v>
      </c>
      <c r="H325" s="5">
        <v>1</v>
      </c>
      <c r="I325" s="5">
        <v>1</v>
      </c>
      <c r="J325" s="55">
        <v>-4.375</v>
      </c>
      <c r="K325" s="7">
        <v>-3.75</v>
      </c>
      <c r="L325" s="7">
        <v>-0.75</v>
      </c>
      <c r="M325" s="8">
        <v>20</v>
      </c>
      <c r="N325" s="37">
        <v>-4.125</v>
      </c>
      <c r="O325" s="37">
        <f t="shared" si="11"/>
        <v>0.25</v>
      </c>
      <c r="P325" s="37">
        <v>25.25</v>
      </c>
      <c r="Q325" s="10">
        <v>25.2</v>
      </c>
      <c r="R325">
        <v>-0.05</v>
      </c>
      <c r="S325" s="11">
        <v>170</v>
      </c>
      <c r="T325" s="11">
        <v>170</v>
      </c>
      <c r="U325" s="11">
        <v>45</v>
      </c>
      <c r="V325" s="11">
        <v>35</v>
      </c>
    </row>
    <row r="326" ht="17.6" customHeight="1" spans="1:22">
      <c r="A326" s="96" t="s">
        <v>27</v>
      </c>
      <c r="B326" s="85"/>
      <c r="D326" s="90"/>
      <c r="E326" s="105"/>
      <c r="F326" s="106" t="s">
        <v>31</v>
      </c>
      <c r="G326" s="32" t="s">
        <v>34</v>
      </c>
      <c r="H326" s="5">
        <v>1</v>
      </c>
      <c r="I326" s="5">
        <v>1</v>
      </c>
      <c r="J326" s="55">
        <v>-4.75</v>
      </c>
      <c r="K326" s="7">
        <v>-4.25</v>
      </c>
      <c r="L326" s="7">
        <v>-1.25</v>
      </c>
      <c r="M326" s="8">
        <v>160</v>
      </c>
      <c r="N326" s="37">
        <f>K326+0.5*L326</f>
        <v>-4.875</v>
      </c>
      <c r="O326" s="37">
        <f t="shared" si="11"/>
        <v>-0.125</v>
      </c>
      <c r="P326" s="49">
        <v>25.58</v>
      </c>
      <c r="Q326" s="10">
        <v>25.68</v>
      </c>
      <c r="R326" s="91">
        <v>0.1</v>
      </c>
      <c r="S326" s="11">
        <v>170</v>
      </c>
      <c r="T326" s="11">
        <v>170</v>
      </c>
      <c r="U326" s="11">
        <v>120</v>
      </c>
      <c r="V326" s="11">
        <v>65</v>
      </c>
    </row>
  </sheetData>
  <autoFilter xmlns:etc="http://www.wps.cn/officeDocument/2017/etCustomData" ref="A1:AC326" etc:filterBottomFollowUsedRange="0">
    <extLst/>
  </autoFilter>
  <mergeCells count="3">
    <mergeCell ref="H1:I1"/>
    <mergeCell ref="K1:M1"/>
    <mergeCell ref="S1:V1"/>
  </mergeCells>
  <dataValidations count="5">
    <dataValidation type="decimal" operator="between" allowBlank="1" showErrorMessage="1" errorTitle="错误提示" error="请输入一个小数：数字介于 0 至 1 之间" sqref="G261:G262 H275:J276 H313:J314 H321:J324 H327:J1048576 H219:I274 H277:I312 H315:I320 H325:I326 H1:J218" errorStyle="information">
      <formula1>0</formula1>
      <formula2>1</formula2>
    </dataValidation>
    <dataValidation type="decimal" operator="between" allowBlank="1" showErrorMessage="1" errorTitle="错误提示" error="请输入一个小数：数字介于 -6.5 至 0.25 之间" sqref="J219:J274 J277:J312 J315:J320 J325:J326 K$1:K$1048576" errorStyle="information">
      <formula1>-6.5</formula1>
      <formula2>0.25</formula2>
    </dataValidation>
    <dataValidation type="decimal" operator="between" allowBlank="1" showErrorMessage="1" errorTitle="错误提示" error="请输入一个小数：数字介于 -2 至 0 之间" sqref="L$1:L$1048576" errorStyle="information">
      <formula1>-2</formula1>
      <formula2>0</formula2>
    </dataValidation>
    <dataValidation type="whole" operator="between" allowBlank="1" showErrorMessage="1" errorTitle="错误提示" error="请输入一个整数：数字介于 0 至 180 之间" sqref="M$1:M$1048576 N269:N270 N285:N286 P269:P270 P285:P286 N243:P244 E249:F250" errorStyle="information">
      <formula1>0</formula1>
      <formula2>180</formula2>
    </dataValidation>
    <dataValidation type="decimal" operator="between" allowBlank="1" showErrorMessage="1" errorTitle="错误提示" error="请输入一个小数：数字介于 20 至 30 之间" sqref="N245:N268 N271:N284 N287:N326 O245:O326 P245:P268 P271:P284 P287:P326 N3:P122 N125:P192 N197:P240 N1:P2 N123:P124 N241:P242 N193:P196 N327:P1048576 Q$1:R$1048576" errorStyle="information">
      <formula1>20</formula1>
      <formula2>30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基线</vt:lpstr>
      <vt:lpstr>六个月复查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joyoflife</dc:creator>
  <cp:lastModifiedBy>joyoflife</cp:lastModifiedBy>
  <dcterms:created xsi:type="dcterms:W3CDTF">2026-04-08T04:11:00Z</dcterms:created>
  <dcterms:modified xsi:type="dcterms:W3CDTF">2026-04-06T15:48:07Z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BBA9F9307EF49E537132D369CCCC1800_41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